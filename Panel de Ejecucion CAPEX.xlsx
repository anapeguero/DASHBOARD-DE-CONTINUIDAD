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.peguero\Downloads\"/>
    </mc:Choice>
  </mc:AlternateContent>
  <xr:revisionPtr revIDLastSave="0" documentId="13_ncr:1_{91F40E6C-1AA5-4990-9F72-C72B659307FE}" xr6:coauthVersionLast="47" xr6:coauthVersionMax="47" xr10:uidLastSave="{00000000-0000-0000-0000-000000000000}"/>
  <bookViews>
    <workbookView xWindow="28635" yWindow="-165" windowWidth="29130" windowHeight="15810" tabRatio="500" xr2:uid="{00000000-000D-0000-FFFF-FFFF00000000}"/>
  </bookViews>
  <sheets>
    <sheet name="Detalle Centro-Supra" sheetId="4" r:id="rId1"/>
    <sheet name="Hoja1" sheetId="6" r:id="rId2"/>
    <sheet name="Detalle por Centro" sheetId="5" r:id="rId3"/>
    <sheet name="Hoja4" sheetId="9" r:id="rId4"/>
  </sheets>
  <definedNames>
    <definedName name="_xlnm._FilterDatabase" localSheetId="0" hidden="1">'Detalle Centro-Supra'!$A$1:$K$671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0" i="4" l="1"/>
  <c r="F156" i="4"/>
  <c r="G142" i="4"/>
  <c r="F95" i="4"/>
  <c r="G144" i="4"/>
  <c r="F328" i="4"/>
  <c r="D57" i="6"/>
  <c r="H601" i="4"/>
  <c r="F647" i="4"/>
  <c r="F235" i="4"/>
  <c r="G159" i="4"/>
  <c r="I661" i="4" l="1"/>
  <c r="I660" i="4"/>
  <c r="I657" i="4"/>
  <c r="I656" i="4"/>
  <c r="I655" i="4"/>
  <c r="I654" i="4"/>
  <c r="I653" i="4"/>
  <c r="I652" i="4"/>
  <c r="I651" i="4"/>
  <c r="I649" i="4"/>
  <c r="I648" i="4"/>
  <c r="I647" i="4"/>
  <c r="I543" i="4"/>
  <c r="I542" i="4"/>
  <c r="I433" i="4"/>
  <c r="I314" i="4"/>
  <c r="I225" i="4"/>
  <c r="C57" i="6"/>
  <c r="G57" i="6"/>
  <c r="F57" i="6"/>
  <c r="E57" i="6"/>
  <c r="G604" i="4"/>
  <c r="G659" i="4"/>
  <c r="F655" i="4"/>
  <c r="H336" i="4"/>
  <c r="I336" i="4" s="1"/>
  <c r="H340" i="4"/>
  <c r="I340" i="4" s="1"/>
  <c r="H350" i="4"/>
  <c r="I350" i="4" s="1"/>
  <c r="H356" i="4"/>
  <c r="I356" i="4" s="1"/>
  <c r="H375" i="4"/>
  <c r="I375" i="4" s="1"/>
  <c r="H402" i="4"/>
  <c r="I402" i="4" s="1"/>
  <c r="H404" i="4"/>
  <c r="I404" i="4" s="1"/>
  <c r="H407" i="4"/>
  <c r="I407" i="4" s="1"/>
  <c r="H412" i="4"/>
  <c r="I412" i="4" s="1"/>
  <c r="H416" i="4"/>
  <c r="I416" i="4" s="1"/>
  <c r="H418" i="4"/>
  <c r="I418" i="4" s="1"/>
  <c r="H429" i="4"/>
  <c r="I429" i="4" s="1"/>
  <c r="H439" i="4"/>
  <c r="I439" i="4" s="1"/>
  <c r="H650" i="4"/>
  <c r="I650" i="4" s="1"/>
  <c r="G651" i="4"/>
  <c r="G603" i="4"/>
  <c r="G600" i="4"/>
  <c r="H600" i="4" s="1"/>
  <c r="G313" i="4"/>
  <c r="F68" i="4"/>
  <c r="G629" i="4"/>
  <c r="G480" i="4"/>
  <c r="F442" i="4" l="1"/>
  <c r="H442" i="4" s="1"/>
  <c r="I442" i="4" s="1"/>
  <c r="F23" i="4"/>
  <c r="F351" i="4"/>
  <c r="F293" i="4"/>
  <c r="F201" i="4"/>
  <c r="F441" i="4"/>
  <c r="H441" i="4" s="1"/>
  <c r="I441" i="4" s="1"/>
  <c r="F268" i="4"/>
  <c r="F203" i="4"/>
  <c r="F106" i="4"/>
  <c r="H522" i="4"/>
  <c r="I522" i="4" s="1"/>
  <c r="K522" i="4"/>
  <c r="F232" i="4"/>
  <c r="F159" i="4"/>
  <c r="F6" i="4"/>
  <c r="F410" i="4"/>
  <c r="J522" i="4" l="1"/>
  <c r="F184" i="4" l="1"/>
  <c r="F147" i="4"/>
  <c r="F640" i="4" l="1"/>
  <c r="F73" i="4"/>
  <c r="E106" i="5"/>
  <c r="D106" i="5"/>
  <c r="C106" i="5"/>
  <c r="F105" i="5"/>
  <c r="F104" i="5"/>
  <c r="G104" i="5" s="1"/>
  <c r="F103" i="5"/>
  <c r="H103" i="5" s="1"/>
  <c r="F102" i="5"/>
  <c r="G102" i="5" s="1"/>
  <c r="F101" i="5"/>
  <c r="G101" i="5" s="1"/>
  <c r="F100" i="5"/>
  <c r="F99" i="5"/>
  <c r="H99" i="5" s="1"/>
  <c r="F98" i="5"/>
  <c r="F97" i="5"/>
  <c r="G97" i="5" s="1"/>
  <c r="F96" i="5"/>
  <c r="H96" i="5" s="1"/>
  <c r="F95" i="5"/>
  <c r="G95" i="5" s="1"/>
  <c r="F94" i="5"/>
  <c r="F93" i="5"/>
  <c r="G93" i="5" s="1"/>
  <c r="F92" i="5"/>
  <c r="H92" i="5" s="1"/>
  <c r="F91" i="5"/>
  <c r="G91" i="5" s="1"/>
  <c r="F90" i="5"/>
  <c r="F89" i="5"/>
  <c r="H89" i="5" s="1"/>
  <c r="F88" i="5"/>
  <c r="H88" i="5" s="1"/>
  <c r="F87" i="5"/>
  <c r="G87" i="5" s="1"/>
  <c r="F86" i="5"/>
  <c r="F85" i="5"/>
  <c r="H85" i="5" s="1"/>
  <c r="F84" i="5"/>
  <c r="H84" i="5" s="1"/>
  <c r="F83" i="5"/>
  <c r="G83" i="5" s="1"/>
  <c r="F82" i="5"/>
  <c r="F81" i="5"/>
  <c r="H81" i="5" s="1"/>
  <c r="F80" i="5"/>
  <c r="H80" i="5" s="1"/>
  <c r="F79" i="5"/>
  <c r="G79" i="5" s="1"/>
  <c r="F78" i="5"/>
  <c r="F77" i="5"/>
  <c r="G77" i="5" s="1"/>
  <c r="F76" i="5"/>
  <c r="H76" i="5" s="1"/>
  <c r="F75" i="5"/>
  <c r="G75" i="5" s="1"/>
  <c r="F74" i="5"/>
  <c r="F73" i="5"/>
  <c r="H73" i="5" s="1"/>
  <c r="F72" i="5"/>
  <c r="H72" i="5" s="1"/>
  <c r="F71" i="5"/>
  <c r="G71" i="5" s="1"/>
  <c r="F70" i="5"/>
  <c r="F69" i="5"/>
  <c r="H69" i="5" s="1"/>
  <c r="F68" i="5"/>
  <c r="H68" i="5" s="1"/>
  <c r="F67" i="5"/>
  <c r="G67" i="5" s="1"/>
  <c r="F66" i="5"/>
  <c r="F65" i="5"/>
  <c r="H65" i="5" s="1"/>
  <c r="F64" i="5"/>
  <c r="H64" i="5" s="1"/>
  <c r="F63" i="5"/>
  <c r="G63" i="5" s="1"/>
  <c r="F62" i="5"/>
  <c r="F61" i="5"/>
  <c r="G61" i="5" s="1"/>
  <c r="F60" i="5"/>
  <c r="H60" i="5" s="1"/>
  <c r="F59" i="5"/>
  <c r="G59" i="5" s="1"/>
  <c r="F58" i="5"/>
  <c r="F57" i="5"/>
  <c r="H57" i="5" s="1"/>
  <c r="F56" i="5"/>
  <c r="H56" i="5" s="1"/>
  <c r="F55" i="5"/>
  <c r="G55" i="5" s="1"/>
  <c r="F54" i="5"/>
  <c r="F53" i="5"/>
  <c r="H53" i="5" s="1"/>
  <c r="F52" i="5"/>
  <c r="H52" i="5" s="1"/>
  <c r="F51" i="5"/>
  <c r="G51" i="5" s="1"/>
  <c r="F50" i="5"/>
  <c r="F49" i="5"/>
  <c r="H49" i="5" s="1"/>
  <c r="F48" i="5"/>
  <c r="H48" i="5" s="1"/>
  <c r="F47" i="5"/>
  <c r="G47" i="5" s="1"/>
  <c r="F46" i="5"/>
  <c r="F45" i="5"/>
  <c r="H45" i="5" s="1"/>
  <c r="F44" i="5"/>
  <c r="H44" i="5" s="1"/>
  <c r="F43" i="5"/>
  <c r="G43" i="5" s="1"/>
  <c r="F42" i="5"/>
  <c r="F41" i="5"/>
  <c r="H41" i="5" s="1"/>
  <c r="F40" i="5"/>
  <c r="H40" i="5" s="1"/>
  <c r="F39" i="5"/>
  <c r="G39" i="5" s="1"/>
  <c r="F38" i="5"/>
  <c r="F37" i="5"/>
  <c r="H37" i="5" s="1"/>
  <c r="F36" i="5"/>
  <c r="H36" i="5" s="1"/>
  <c r="F35" i="5"/>
  <c r="G35" i="5" s="1"/>
  <c r="F34" i="5"/>
  <c r="F33" i="5"/>
  <c r="H33" i="5" s="1"/>
  <c r="F32" i="5"/>
  <c r="H32" i="5" s="1"/>
  <c r="F31" i="5"/>
  <c r="G31" i="5" s="1"/>
  <c r="F30" i="5"/>
  <c r="F29" i="5"/>
  <c r="G29" i="5" s="1"/>
  <c r="F28" i="5"/>
  <c r="H28" i="5" s="1"/>
  <c r="F27" i="5"/>
  <c r="G27" i="5" s="1"/>
  <c r="F26" i="5"/>
  <c r="F25" i="5"/>
  <c r="H25" i="5" s="1"/>
  <c r="F24" i="5"/>
  <c r="H24" i="5" s="1"/>
  <c r="F23" i="5"/>
  <c r="G23" i="5" s="1"/>
  <c r="F22" i="5"/>
  <c r="F21" i="5"/>
  <c r="G21" i="5" s="1"/>
  <c r="F20" i="5"/>
  <c r="H20" i="5" s="1"/>
  <c r="F19" i="5"/>
  <c r="G19" i="5" s="1"/>
  <c r="F18" i="5"/>
  <c r="F17" i="5"/>
  <c r="H17" i="5" s="1"/>
  <c r="F16" i="5"/>
  <c r="H16" i="5" s="1"/>
  <c r="F15" i="5"/>
  <c r="G15" i="5" s="1"/>
  <c r="F14" i="5"/>
  <c r="F13" i="5"/>
  <c r="H13" i="5" s="1"/>
  <c r="F12" i="5"/>
  <c r="H12" i="5" s="1"/>
  <c r="F11" i="5"/>
  <c r="G11" i="5" s="1"/>
  <c r="F10" i="5"/>
  <c r="F9" i="5"/>
  <c r="H9" i="5" s="1"/>
  <c r="F8" i="5"/>
  <c r="H8" i="5" s="1"/>
  <c r="F7" i="5"/>
  <c r="G7" i="5" s="1"/>
  <c r="F6" i="5"/>
  <c r="F5" i="5"/>
  <c r="H5" i="5" s="1"/>
  <c r="F4" i="5"/>
  <c r="H4" i="5" s="1"/>
  <c r="F3" i="5"/>
  <c r="G3" i="5" s="1"/>
  <c r="F2" i="5"/>
  <c r="K373" i="4"/>
  <c r="H373" i="4"/>
  <c r="K121" i="4"/>
  <c r="H121" i="4"/>
  <c r="J121" i="4" s="1"/>
  <c r="K255" i="4"/>
  <c r="H255" i="4"/>
  <c r="K358" i="4"/>
  <c r="H358" i="4"/>
  <c r="J358" i="4" s="1"/>
  <c r="K632" i="4"/>
  <c r="H632" i="4"/>
  <c r="J632" i="4" s="1"/>
  <c r="K179" i="4"/>
  <c r="H179" i="4"/>
  <c r="K252" i="4"/>
  <c r="H252" i="4"/>
  <c r="K573" i="4"/>
  <c r="H573" i="4"/>
  <c r="I573" i="4" s="1"/>
  <c r="K294" i="4"/>
  <c r="H294" i="4"/>
  <c r="J294" i="4" s="1"/>
  <c r="K443" i="4"/>
  <c r="H443" i="4"/>
  <c r="K626" i="4"/>
  <c r="H626" i="4"/>
  <c r="I626" i="4" s="1"/>
  <c r="K115" i="4"/>
  <c r="H115" i="4"/>
  <c r="K624" i="4"/>
  <c r="H624" i="4"/>
  <c r="J624" i="4" s="1"/>
  <c r="K64" i="4"/>
  <c r="H64" i="4"/>
  <c r="I64" i="4" s="1"/>
  <c r="K59" i="4"/>
  <c r="H59" i="4"/>
  <c r="J59" i="4" s="1"/>
  <c r="K20" i="4"/>
  <c r="H20" i="4"/>
  <c r="K19" i="4"/>
  <c r="H19" i="4"/>
  <c r="J19" i="4" s="1"/>
  <c r="K482" i="4"/>
  <c r="H482" i="4"/>
  <c r="J482" i="4" s="1"/>
  <c r="K544" i="4"/>
  <c r="H544" i="4"/>
  <c r="K616" i="4"/>
  <c r="H616" i="4"/>
  <c r="K615" i="4"/>
  <c r="H615" i="4"/>
  <c r="K602" i="4"/>
  <c r="H602" i="4"/>
  <c r="K315" i="4"/>
  <c r="H315" i="4"/>
  <c r="K628" i="4"/>
  <c r="H628" i="4"/>
  <c r="I628" i="4" s="1"/>
  <c r="K352" i="4"/>
  <c r="H352" i="4"/>
  <c r="J352" i="4" s="1"/>
  <c r="K513" i="4"/>
  <c r="H513" i="4"/>
  <c r="K434" i="4"/>
  <c r="H434" i="4"/>
  <c r="I434" i="4" s="1"/>
  <c r="K622" i="4"/>
  <c r="H622" i="4"/>
  <c r="K439" i="4"/>
  <c r="J439" i="4"/>
  <c r="K548" i="4"/>
  <c r="H548" i="4"/>
  <c r="K406" i="4"/>
  <c r="H406" i="4"/>
  <c r="I406" i="4" s="1"/>
  <c r="K604" i="4"/>
  <c r="H604" i="4"/>
  <c r="H603" i="4"/>
  <c r="K629" i="4"/>
  <c r="H629" i="4"/>
  <c r="I629" i="4" s="1"/>
  <c r="K601" i="4"/>
  <c r="K600" i="4"/>
  <c r="K599" i="4"/>
  <c r="H599" i="4"/>
  <c r="J599" i="4" s="1"/>
  <c r="K313" i="4"/>
  <c r="H313" i="4"/>
  <c r="K597" i="4"/>
  <c r="H597" i="4"/>
  <c r="J597" i="4" s="1"/>
  <c r="K96" i="4"/>
  <c r="H96" i="4"/>
  <c r="I96" i="4" s="1"/>
  <c r="K595" i="4"/>
  <c r="H595" i="4"/>
  <c r="J595" i="4" s="1"/>
  <c r="K429" i="4"/>
  <c r="K608" i="4"/>
  <c r="H608" i="4"/>
  <c r="K371" i="4"/>
  <c r="H371" i="4"/>
  <c r="K18" i="4"/>
  <c r="H18" i="4"/>
  <c r="K17" i="4"/>
  <c r="H17" i="4"/>
  <c r="J17" i="4" s="1"/>
  <c r="K354" i="4"/>
  <c r="H354" i="4"/>
  <c r="J354" i="4" s="1"/>
  <c r="K418" i="4"/>
  <c r="J418" i="4"/>
  <c r="K16" i="4"/>
  <c r="H16" i="4"/>
  <c r="I16" i="4" s="1"/>
  <c r="K607" i="4"/>
  <c r="H607" i="4"/>
  <c r="K416" i="4"/>
  <c r="J416" i="4"/>
  <c r="K48" i="4"/>
  <c r="H48" i="4"/>
  <c r="I48" i="4" s="1"/>
  <c r="K161" i="4"/>
  <c r="H161" i="4"/>
  <c r="K157" i="4"/>
  <c r="H157" i="4"/>
  <c r="K388" i="4"/>
  <c r="H388" i="4"/>
  <c r="I388" i="4" s="1"/>
  <c r="K453" i="4"/>
  <c r="H453" i="4"/>
  <c r="K440" i="4"/>
  <c r="H440" i="4"/>
  <c r="K370" i="4"/>
  <c r="H370" i="4"/>
  <c r="I370" i="4" s="1"/>
  <c r="K302" i="4"/>
  <c r="H302" i="4"/>
  <c r="K636" i="4"/>
  <c r="H636" i="4"/>
  <c r="I636" i="4" s="1"/>
  <c r="K630" i="4"/>
  <c r="H630" i="4"/>
  <c r="K566" i="4"/>
  <c r="H566" i="4"/>
  <c r="I566" i="4" s="1"/>
  <c r="K572" i="4"/>
  <c r="H572" i="4"/>
  <c r="J572" i="4" s="1"/>
  <c r="K571" i="4"/>
  <c r="H571" i="4"/>
  <c r="J571" i="4" s="1"/>
  <c r="K570" i="4"/>
  <c r="H570" i="4"/>
  <c r="J570" i="4" s="1"/>
  <c r="K569" i="4"/>
  <c r="H569" i="4"/>
  <c r="I569" i="4" s="1"/>
  <c r="K568" i="4"/>
  <c r="H568" i="4"/>
  <c r="J568" i="4" s="1"/>
  <c r="K109" i="4"/>
  <c r="H109" i="4"/>
  <c r="K502" i="4"/>
  <c r="H502" i="4"/>
  <c r="I502" i="4" s="1"/>
  <c r="K625" i="4"/>
  <c r="H625" i="4"/>
  <c r="K277" i="4"/>
  <c r="H277" i="4"/>
  <c r="J277" i="4" s="1"/>
  <c r="K646" i="4"/>
  <c r="H646" i="4"/>
  <c r="J646" i="4" s="1"/>
  <c r="K525" i="4"/>
  <c r="H525" i="4"/>
  <c r="J525" i="4" s="1"/>
  <c r="K218" i="4"/>
  <c r="H218" i="4"/>
  <c r="K560" i="4"/>
  <c r="H560" i="4"/>
  <c r="J560" i="4" s="1"/>
  <c r="K559" i="4"/>
  <c r="H559" i="4"/>
  <c r="J559" i="4" s="1"/>
  <c r="K307" i="4"/>
  <c r="H307" i="4"/>
  <c r="I307" i="4" s="1"/>
  <c r="K53" i="4"/>
  <c r="H53" i="4"/>
  <c r="K155" i="4"/>
  <c r="H155" i="4"/>
  <c r="J155" i="4" s="1"/>
  <c r="K508" i="4"/>
  <c r="H508" i="4"/>
  <c r="K554" i="4"/>
  <c r="H554" i="4"/>
  <c r="J554" i="4" s="1"/>
  <c r="K327" i="4"/>
  <c r="H327" i="4"/>
  <c r="J327" i="4" s="1"/>
  <c r="K449" i="4"/>
  <c r="H449" i="4"/>
  <c r="K79" i="4"/>
  <c r="H79" i="4"/>
  <c r="I79" i="4" s="1"/>
  <c r="K550" i="4"/>
  <c r="H550" i="4"/>
  <c r="J550" i="4" s="1"/>
  <c r="K549" i="4"/>
  <c r="H549" i="4"/>
  <c r="J549" i="4" s="1"/>
  <c r="K537" i="4"/>
  <c r="H537" i="4"/>
  <c r="I537" i="4" s="1"/>
  <c r="K547" i="4"/>
  <c r="H547" i="4"/>
  <c r="J547" i="4" s="1"/>
  <c r="K108" i="4"/>
  <c r="H108" i="4"/>
  <c r="K617" i="4"/>
  <c r="H617" i="4"/>
  <c r="K613" i="4"/>
  <c r="H613" i="4"/>
  <c r="K541" i="4"/>
  <c r="H541" i="4"/>
  <c r="J541" i="4" s="1"/>
  <c r="K142" i="4"/>
  <c r="H142" i="4"/>
  <c r="J142" i="4" s="1"/>
  <c r="K326" i="4"/>
  <c r="H326" i="4"/>
  <c r="J326" i="4" s="1"/>
  <c r="K257" i="4"/>
  <c r="H257" i="4"/>
  <c r="I257" i="4" s="1"/>
  <c r="K536" i="4"/>
  <c r="H536" i="4"/>
  <c r="K606" i="4"/>
  <c r="H606" i="4"/>
  <c r="K127" i="4"/>
  <c r="H127" i="4"/>
  <c r="K71" i="4"/>
  <c r="H71" i="4"/>
  <c r="K533" i="4"/>
  <c r="H533" i="4"/>
  <c r="J533" i="4" s="1"/>
  <c r="K552" i="4"/>
  <c r="H552" i="4"/>
  <c r="K498" i="4"/>
  <c r="H498" i="4"/>
  <c r="I498" i="4" s="1"/>
  <c r="K594" i="4"/>
  <c r="H594" i="4"/>
  <c r="K353" i="4"/>
  <c r="H353" i="4"/>
  <c r="J353" i="4" s="1"/>
  <c r="K403" i="4"/>
  <c r="H403" i="4"/>
  <c r="I403" i="4" s="1"/>
  <c r="K507" i="4"/>
  <c r="H507" i="4"/>
  <c r="J507" i="4" s="1"/>
  <c r="K222" i="4"/>
  <c r="H222" i="4"/>
  <c r="J222" i="4" s="1"/>
  <c r="K15" i="4"/>
  <c r="H15" i="4"/>
  <c r="J15" i="4" s="1"/>
  <c r="K534" i="4"/>
  <c r="H534" i="4"/>
  <c r="K523" i="4"/>
  <c r="H523" i="4"/>
  <c r="K361" i="4"/>
  <c r="H361" i="4"/>
  <c r="K399" i="4"/>
  <c r="H399" i="4"/>
  <c r="K521" i="4"/>
  <c r="H521" i="4"/>
  <c r="I521" i="4" s="1"/>
  <c r="K520" i="4"/>
  <c r="H520" i="4"/>
  <c r="J520" i="4" s="1"/>
  <c r="K519" i="4"/>
  <c r="H519" i="4"/>
  <c r="J519" i="4" s="1"/>
  <c r="K113" i="4"/>
  <c r="H113" i="4"/>
  <c r="K412" i="4"/>
  <c r="J412" i="4"/>
  <c r="K256" i="4"/>
  <c r="H256" i="4"/>
  <c r="K515" i="4"/>
  <c r="H515" i="4"/>
  <c r="I515" i="4" s="1"/>
  <c r="K514" i="4"/>
  <c r="H514" i="4"/>
  <c r="I514" i="4" s="1"/>
  <c r="K251" i="4"/>
  <c r="H251" i="4"/>
  <c r="K132" i="4"/>
  <c r="H132" i="4"/>
  <c r="I132" i="4" s="1"/>
  <c r="K292" i="4"/>
  <c r="H292" i="4"/>
  <c r="K510" i="4"/>
  <c r="H510" i="4"/>
  <c r="J510" i="4" s="1"/>
  <c r="K645" i="4"/>
  <c r="H645" i="4"/>
  <c r="J645" i="4" s="1"/>
  <c r="K201" i="4"/>
  <c r="H201" i="4"/>
  <c r="J201" i="4" s="1"/>
  <c r="K351" i="4"/>
  <c r="H351" i="4"/>
  <c r="J351" i="4" s="1"/>
  <c r="K493" i="4"/>
  <c r="H493" i="4"/>
  <c r="J493" i="4" s="1"/>
  <c r="K47" i="4"/>
  <c r="H47" i="4"/>
  <c r="K407" i="4"/>
  <c r="J407" i="4"/>
  <c r="K504" i="4"/>
  <c r="H504" i="4"/>
  <c r="I504" i="4" s="1"/>
  <c r="K246" i="4"/>
  <c r="H246" i="4"/>
  <c r="K448" i="4"/>
  <c r="H448" i="4"/>
  <c r="K501" i="4"/>
  <c r="H501" i="4"/>
  <c r="K408" i="4"/>
  <c r="H408" i="4"/>
  <c r="J408" i="4" s="1"/>
  <c r="K499" i="4"/>
  <c r="H499" i="4"/>
  <c r="J499" i="4" s="1"/>
  <c r="K400" i="4"/>
  <c r="H400" i="4"/>
  <c r="I400" i="4" s="1"/>
  <c r="K349" i="4"/>
  <c r="H349" i="4"/>
  <c r="I349" i="4" s="1"/>
  <c r="K558" i="4"/>
  <c r="H558" i="4"/>
  <c r="J558" i="4" s="1"/>
  <c r="K14" i="4"/>
  <c r="H14" i="4"/>
  <c r="J14" i="4" s="1"/>
  <c r="K627" i="4"/>
  <c r="H627" i="4"/>
  <c r="I627" i="4" s="1"/>
  <c r="K384" i="4"/>
  <c r="H384" i="4"/>
  <c r="J384" i="4" s="1"/>
  <c r="K459" i="4"/>
  <c r="H459" i="4"/>
  <c r="J459" i="4" s="1"/>
  <c r="K491" i="4"/>
  <c r="H491" i="4"/>
  <c r="J491" i="4" s="1"/>
  <c r="K490" i="4"/>
  <c r="H490" i="4"/>
  <c r="J490" i="4" s="1"/>
  <c r="K188" i="4"/>
  <c r="H188" i="4"/>
  <c r="J188" i="4" s="1"/>
  <c r="K488" i="4"/>
  <c r="H488" i="4"/>
  <c r="J488" i="4" s="1"/>
  <c r="K398" i="4"/>
  <c r="H398" i="4"/>
  <c r="K447" i="4"/>
  <c r="H447" i="4"/>
  <c r="I447" i="4" s="1"/>
  <c r="K609" i="4"/>
  <c r="H609" i="4"/>
  <c r="K484" i="4"/>
  <c r="H484" i="4"/>
  <c r="J484" i="4" s="1"/>
  <c r="K344" i="4"/>
  <c r="H344" i="4"/>
  <c r="J344" i="4" s="1"/>
  <c r="K419" i="4"/>
  <c r="H419" i="4"/>
  <c r="J419" i="4" s="1"/>
  <c r="K86" i="4"/>
  <c r="H86" i="4"/>
  <c r="I86" i="4" s="1"/>
  <c r="K503" i="4"/>
  <c r="H503" i="4"/>
  <c r="I503" i="4" s="1"/>
  <c r="K478" i="4"/>
  <c r="H478" i="4"/>
  <c r="J478" i="4" s="1"/>
  <c r="K404" i="4"/>
  <c r="J404" i="4"/>
  <c r="K538" i="4"/>
  <c r="H538" i="4"/>
  <c r="I538" i="4" s="1"/>
  <c r="K289" i="4"/>
  <c r="H289" i="4"/>
  <c r="K532" i="4"/>
  <c r="H532" i="4"/>
  <c r="K338" i="4"/>
  <c r="H338" i="4"/>
  <c r="I338" i="4" s="1"/>
  <c r="K138" i="4"/>
  <c r="H138" i="4"/>
  <c r="J138" i="4" s="1"/>
  <c r="K512" i="4"/>
  <c r="H512" i="4"/>
  <c r="K261" i="4"/>
  <c r="H261" i="4"/>
  <c r="J261" i="4" s="1"/>
  <c r="K304" i="4"/>
  <c r="H304" i="4"/>
  <c r="K468" i="4"/>
  <c r="H468" i="4"/>
  <c r="I468" i="4" s="1"/>
  <c r="K290" i="4"/>
  <c r="H290" i="4"/>
  <c r="J290" i="4" s="1"/>
  <c r="K446" i="4"/>
  <c r="H446" i="4"/>
  <c r="K299" i="4"/>
  <c r="H299" i="4"/>
  <c r="I299" i="4" s="1"/>
  <c r="K148" i="4"/>
  <c r="H148" i="4"/>
  <c r="J148" i="4" s="1"/>
  <c r="K580" i="4"/>
  <c r="H580" i="4"/>
  <c r="K462" i="4"/>
  <c r="H462" i="4"/>
  <c r="J462" i="4" s="1"/>
  <c r="K461" i="4"/>
  <c r="H461" i="4"/>
  <c r="I461" i="4" s="1"/>
  <c r="K497" i="4"/>
  <c r="H497" i="4"/>
  <c r="K260" i="4"/>
  <c r="H260" i="4"/>
  <c r="J260" i="4" s="1"/>
  <c r="K319" i="4"/>
  <c r="H319" i="4"/>
  <c r="K268" i="4"/>
  <c r="H268" i="4"/>
  <c r="K402" i="4"/>
  <c r="J402" i="4"/>
  <c r="K455" i="4"/>
  <c r="H455" i="4"/>
  <c r="J455" i="4" s="1"/>
  <c r="K454" i="4"/>
  <c r="H454" i="4"/>
  <c r="J454" i="4" s="1"/>
  <c r="K239" i="4"/>
  <c r="H239" i="4"/>
  <c r="K452" i="4"/>
  <c r="H452" i="4"/>
  <c r="J452" i="4" s="1"/>
  <c r="K451" i="4"/>
  <c r="H451" i="4"/>
  <c r="J451" i="4" s="1"/>
  <c r="K450" i="4"/>
  <c r="H450" i="4"/>
  <c r="I450" i="4" s="1"/>
  <c r="K117" i="4"/>
  <c r="H117" i="4"/>
  <c r="I117" i="4" s="1"/>
  <c r="K112" i="4"/>
  <c r="H112" i="4"/>
  <c r="K89" i="4"/>
  <c r="H89" i="4"/>
  <c r="I89" i="4" s="1"/>
  <c r="K87" i="4"/>
  <c r="H87" i="4"/>
  <c r="K75" i="4"/>
  <c r="H75" i="4"/>
  <c r="K74" i="4"/>
  <c r="H74" i="4"/>
  <c r="K62" i="4"/>
  <c r="H62" i="4"/>
  <c r="I62" i="4" s="1"/>
  <c r="H530" i="4"/>
  <c r="H341" i="4"/>
  <c r="H224" i="4"/>
  <c r="H494" i="4"/>
  <c r="I494" i="4" s="1"/>
  <c r="H637" i="4"/>
  <c r="I637" i="4" s="1"/>
  <c r="H51" i="4"/>
  <c r="J51" i="4" s="1"/>
  <c r="K51" i="4" s="1"/>
  <c r="H531" i="4"/>
  <c r="H485" i="4"/>
  <c r="I485" i="4" s="1"/>
  <c r="H432" i="4"/>
  <c r="H295" i="4"/>
  <c r="H386" i="4"/>
  <c r="H208" i="4"/>
  <c r="H438" i="4"/>
  <c r="H72" i="4"/>
  <c r="I72" i="4" s="1"/>
  <c r="H638" i="4"/>
  <c r="J638" i="4" s="1"/>
  <c r="K638" i="4" s="1"/>
  <c r="H383" i="4"/>
  <c r="J383" i="4" s="1"/>
  <c r="K383" i="4" s="1"/>
  <c r="H236" i="4"/>
  <c r="I236" i="4" s="1"/>
  <c r="H366" i="4"/>
  <c r="J366" i="4" s="1"/>
  <c r="K366" i="4" s="1"/>
  <c r="H343" i="4"/>
  <c r="I343" i="4" s="1"/>
  <c r="H54" i="4"/>
  <c r="H211" i="4"/>
  <c r="H387" i="4"/>
  <c r="J387" i="4" s="1"/>
  <c r="K387" i="4" s="1"/>
  <c r="H207" i="4"/>
  <c r="H598" i="4"/>
  <c r="H45" i="4"/>
  <c r="I45" i="4" s="1"/>
  <c r="H342" i="4"/>
  <c r="J342" i="4" s="1"/>
  <c r="K342" i="4" s="1"/>
  <c r="H276" i="4"/>
  <c r="J276" i="4" s="1"/>
  <c r="K276" i="4" s="1"/>
  <c r="H172" i="4"/>
  <c r="J172" i="4" s="1"/>
  <c r="K172" i="4" s="1"/>
  <c r="H254" i="4"/>
  <c r="I254" i="4" s="1"/>
  <c r="H376" i="4"/>
  <c r="J376" i="4" s="1"/>
  <c r="K376" i="4" s="1"/>
  <c r="H487" i="4"/>
  <c r="I487" i="4" s="1"/>
  <c r="H415" i="4"/>
  <c r="J415" i="4" s="1"/>
  <c r="K415" i="4" s="1"/>
  <c r="H339" i="4"/>
  <c r="J339" i="4" s="1"/>
  <c r="K339" i="4" s="1"/>
  <c r="H631" i="4"/>
  <c r="I631" i="4" s="1"/>
  <c r="H335" i="4"/>
  <c r="I335" i="4" s="1"/>
  <c r="H107" i="4"/>
  <c r="J107" i="4" s="1"/>
  <c r="K107" i="4" s="1"/>
  <c r="H122" i="4"/>
  <c r="H486" i="4"/>
  <c r="I486" i="4" s="1"/>
  <c r="H593" i="4"/>
  <c r="H147" i="4"/>
  <c r="I147" i="4" s="1"/>
  <c r="H476" i="4"/>
  <c r="I476" i="4" s="1"/>
  <c r="H592" i="4"/>
  <c r="H385" i="4"/>
  <c r="I385" i="4" s="1"/>
  <c r="H619" i="4"/>
  <c r="H590" i="4"/>
  <c r="J590" i="4" s="1"/>
  <c r="K590" i="4" s="1"/>
  <c r="H581" i="4"/>
  <c r="J581" i="4" s="1"/>
  <c r="K581" i="4" s="1"/>
  <c r="H556" i="4"/>
  <c r="J556" i="4" s="1"/>
  <c r="K556" i="4" s="1"/>
  <c r="H259" i="4"/>
  <c r="J259" i="4" s="1"/>
  <c r="K259" i="4" s="1"/>
  <c r="H221" i="4"/>
  <c r="J221" i="4" s="1"/>
  <c r="K221" i="4" s="1"/>
  <c r="H206" i="4"/>
  <c r="I206" i="4" s="1"/>
  <c r="H195" i="4"/>
  <c r="J195" i="4" s="1"/>
  <c r="K195" i="4" s="1"/>
  <c r="H187" i="4"/>
  <c r="J187" i="4" s="1"/>
  <c r="K187" i="4" s="1"/>
  <c r="H158" i="4"/>
  <c r="J158" i="4" s="1"/>
  <c r="K158" i="4" s="1"/>
  <c r="H141" i="4"/>
  <c r="J141" i="4" s="1"/>
  <c r="K141" i="4" s="1"/>
  <c r="H445" i="4"/>
  <c r="I445" i="4" s="1"/>
  <c r="H380" i="4"/>
  <c r="I380" i="4" s="1"/>
  <c r="H612" i="4"/>
  <c r="J612" i="4" s="1"/>
  <c r="K612" i="4" s="1"/>
  <c r="H178" i="4"/>
  <c r="I178" i="4" s="1"/>
  <c r="H578" i="4"/>
  <c r="H337" i="4"/>
  <c r="J337" i="4" s="1"/>
  <c r="K337" i="4" s="1"/>
  <c r="H614" i="4"/>
  <c r="I614" i="4" s="1"/>
  <c r="H579" i="4"/>
  <c r="H213" i="4"/>
  <c r="I213" i="4" s="1"/>
  <c r="H334" i="4"/>
  <c r="H183" i="4"/>
  <c r="J183" i="4" s="1"/>
  <c r="K183" i="4" s="1"/>
  <c r="H588" i="4"/>
  <c r="H458" i="4"/>
  <c r="J458" i="4" s="1"/>
  <c r="K458" i="4" s="1"/>
  <c r="H308" i="4"/>
  <c r="J308" i="4" s="1"/>
  <c r="K308" i="4" s="1"/>
  <c r="H210" i="4"/>
  <c r="I210" i="4" s="1"/>
  <c r="H68" i="4"/>
  <c r="H95" i="4"/>
  <c r="J95" i="4" s="1"/>
  <c r="K95" i="4" s="1"/>
  <c r="H435" i="4"/>
  <c r="H496" i="4"/>
  <c r="J496" i="4" s="1"/>
  <c r="K496" i="4" s="1"/>
  <c r="H347" i="4"/>
  <c r="I347" i="4" s="1"/>
  <c r="H305" i="4"/>
  <c r="I305" i="4" s="1"/>
  <c r="H280" i="4"/>
  <c r="J280" i="4" s="1"/>
  <c r="K280" i="4" s="1"/>
  <c r="H110" i="4"/>
  <c r="J110" i="4" s="1"/>
  <c r="K110" i="4" s="1"/>
  <c r="H297" i="4"/>
  <c r="H209" i="4"/>
  <c r="I209" i="4" s="1"/>
  <c r="H644" i="4"/>
  <c r="J644" i="4" s="1"/>
  <c r="K644" i="4" s="1"/>
  <c r="H528" i="4"/>
  <c r="I528" i="4" s="1"/>
  <c r="H287" i="4"/>
  <c r="J287" i="4" s="1"/>
  <c r="K287" i="4" s="1"/>
  <c r="H576" i="4"/>
  <c r="H586" i="4"/>
  <c r="H618" i="4"/>
  <c r="J618" i="4" s="1"/>
  <c r="K618" i="4" s="1"/>
  <c r="H194" i="4"/>
  <c r="J194" i="4" s="1"/>
  <c r="K194" i="4" s="1"/>
  <c r="H154" i="4"/>
  <c r="I154" i="4" s="1"/>
  <c r="H175" i="4"/>
  <c r="J175" i="4" s="1"/>
  <c r="K175" i="4" s="1"/>
  <c r="H635" i="4"/>
  <c r="J635" i="4" s="1"/>
  <c r="K635" i="4" s="1"/>
  <c r="H120" i="4"/>
  <c r="H286" i="4"/>
  <c r="H63" i="4"/>
  <c r="H553" i="4"/>
  <c r="J553" i="4" s="1"/>
  <c r="K553" i="4" s="1"/>
  <c r="H529" i="4"/>
  <c r="J529" i="4" s="1"/>
  <c r="K529" i="4" s="1"/>
  <c r="H414" i="4"/>
  <c r="I414" i="4" s="1"/>
  <c r="H395" i="4"/>
  <c r="J395" i="4" s="1"/>
  <c r="K395" i="4" s="1"/>
  <c r="H333" i="4"/>
  <c r="J333" i="4" s="1"/>
  <c r="K333" i="4" s="1"/>
  <c r="H220" i="4"/>
  <c r="I220" i="4" s="1"/>
  <c r="H474" i="4"/>
  <c r="H249" i="4"/>
  <c r="H146" i="4"/>
  <c r="I146" i="4" s="1"/>
  <c r="H381" i="4"/>
  <c r="J381" i="4" s="1"/>
  <c r="K381" i="4" s="1"/>
  <c r="H46" i="4"/>
  <c r="J46" i="4" s="1"/>
  <c r="K46" i="4" s="1"/>
  <c r="H69" i="4"/>
  <c r="H430" i="4"/>
  <c r="H167" i="4"/>
  <c r="I167" i="4" s="1"/>
  <c r="H169" i="4"/>
  <c r="J169" i="4" s="1"/>
  <c r="K169" i="4" s="1"/>
  <c r="H575" i="4"/>
  <c r="H620" i="4"/>
  <c r="H591" i="4"/>
  <c r="I591" i="4" s="1"/>
  <c r="H509" i="4"/>
  <c r="J509" i="4" s="1"/>
  <c r="K509" i="4" s="1"/>
  <c r="H495" i="4"/>
  <c r="J495" i="4" s="1"/>
  <c r="K495" i="4" s="1"/>
  <c r="H481" i="4"/>
  <c r="J481" i="4" s="1"/>
  <c r="K481" i="4" s="1"/>
  <c r="H401" i="4"/>
  <c r="I401" i="4" s="1"/>
  <c r="H391" i="4"/>
  <c r="J391" i="4" s="1"/>
  <c r="K391" i="4" s="1"/>
  <c r="H374" i="4"/>
  <c r="J374" i="4" s="1"/>
  <c r="K374" i="4" s="1"/>
  <c r="H365" i="4"/>
  <c r="J365" i="4" s="1"/>
  <c r="K365" i="4" s="1"/>
  <c r="H346" i="4"/>
  <c r="I346" i="4" s="1"/>
  <c r="H325" i="4"/>
  <c r="J325" i="4" s="1"/>
  <c r="K325" i="4" s="1"/>
  <c r="H303" i="4"/>
  <c r="J303" i="4" s="1"/>
  <c r="K303" i="4" s="1"/>
  <c r="H279" i="4"/>
  <c r="I279" i="4" s="1"/>
  <c r="H145" i="4"/>
  <c r="J145" i="4" s="1"/>
  <c r="K145" i="4" s="1"/>
  <c r="H137" i="4"/>
  <c r="I137" i="4" s="1"/>
  <c r="H204" i="4"/>
  <c r="H382" i="4"/>
  <c r="H357" i="4"/>
  <c r="I357" i="4" s="1"/>
  <c r="H369" i="4"/>
  <c r="I369" i="4" s="1"/>
  <c r="H311" i="4"/>
  <c r="J311" i="4" s="1"/>
  <c r="K311" i="4" s="1"/>
  <c r="H310" i="4"/>
  <c r="I310" i="4" s="1"/>
  <c r="H119" i="4"/>
  <c r="H274" i="4"/>
  <c r="J274" i="4" s="1"/>
  <c r="K274" i="4" s="1"/>
  <c r="H278" i="4"/>
  <c r="J278" i="4" s="1"/>
  <c r="K278" i="4" s="1"/>
  <c r="H611" i="4"/>
  <c r="J611" i="4" s="1"/>
  <c r="K611" i="4" s="1"/>
  <c r="H472" i="4"/>
  <c r="J472" i="4" s="1"/>
  <c r="K472" i="4" s="1"/>
  <c r="H50" i="4"/>
  <c r="I50" i="4" s="1"/>
  <c r="H324" i="4"/>
  <c r="J324" i="4" s="1"/>
  <c r="K324" i="4" s="1"/>
  <c r="H111" i="4"/>
  <c r="H557" i="4"/>
  <c r="J557" i="4" s="1"/>
  <c r="K557" i="4" s="1"/>
  <c r="H473" i="4"/>
  <c r="I473" i="4" s="1"/>
  <c r="H245" i="4"/>
  <c r="H182" i="4"/>
  <c r="J182" i="4" s="1"/>
  <c r="K182" i="4" s="1"/>
  <c r="H166" i="4"/>
  <c r="I166" i="4" s="1"/>
  <c r="H555" i="4"/>
  <c r="I555" i="4" s="1"/>
  <c r="H431" i="4"/>
  <c r="I431" i="4" s="1"/>
  <c r="H88" i="4"/>
  <c r="J88" i="4" s="1"/>
  <c r="K88" i="4" s="1"/>
  <c r="H85" i="4"/>
  <c r="J85" i="4" s="1"/>
  <c r="K85" i="4" s="1"/>
  <c r="H574" i="4"/>
  <c r="H242" i="4"/>
  <c r="J242" i="4" s="1"/>
  <c r="K242" i="4" s="1"/>
  <c r="H492" i="4"/>
  <c r="J492" i="4" s="1"/>
  <c r="K492" i="4" s="1"/>
  <c r="H467" i="4"/>
  <c r="J467" i="4" s="1"/>
  <c r="K467" i="4" s="1"/>
  <c r="H610" i="4"/>
  <c r="H605" i="4"/>
  <c r="H285" i="4"/>
  <c r="H200" i="4"/>
  <c r="H177" i="4"/>
  <c r="H176" i="4"/>
  <c r="I176" i="4" s="1"/>
  <c r="H140" i="4"/>
  <c r="J140" i="4" s="1"/>
  <c r="K140" i="4" s="1"/>
  <c r="H323" i="4"/>
  <c r="I323" i="4" s="1"/>
  <c r="H193" i="4"/>
  <c r="J193" i="4" s="1"/>
  <c r="K193" i="4" s="1"/>
  <c r="H186" i="4"/>
  <c r="I186" i="4" s="1"/>
  <c r="H153" i="4"/>
  <c r="I153" i="4" s="1"/>
  <c r="H275" i="4"/>
  <c r="I275" i="4" s="1"/>
  <c r="H634" i="4"/>
  <c r="J634" i="4" s="1"/>
  <c r="K634" i="4" s="1"/>
  <c r="H52" i="4"/>
  <c r="I52" i="4" s="1"/>
  <c r="H163" i="4"/>
  <c r="I163" i="4" s="1"/>
  <c r="H567" i="4"/>
  <c r="H29" i="4"/>
  <c r="I29" i="4" s="1"/>
  <c r="H506" i="4"/>
  <c r="H253" i="4"/>
  <c r="J253" i="4" s="1"/>
  <c r="K253" i="4" s="1"/>
  <c r="H564" i="4"/>
  <c r="J564" i="4" s="1"/>
  <c r="K564" i="4" s="1"/>
  <c r="H205" i="4"/>
  <c r="J205" i="4" s="1"/>
  <c r="K205" i="4" s="1"/>
  <c r="H291" i="4"/>
  <c r="H413" i="4"/>
  <c r="J413" i="4" s="1"/>
  <c r="K413" i="4" s="1"/>
  <c r="H643" i="4"/>
  <c r="J643" i="4" s="1"/>
  <c r="K643" i="4" s="1"/>
  <c r="H394" i="4"/>
  <c r="I394" i="4" s="1"/>
  <c r="H185" i="4"/>
  <c r="I185" i="4" s="1"/>
  <c r="H540" i="4"/>
  <c r="I540" i="4" s="1"/>
  <c r="H258" i="4"/>
  <c r="J258" i="4" s="1"/>
  <c r="K258" i="4" s="1"/>
  <c r="H428" i="4"/>
  <c r="H26" i="4"/>
  <c r="H42" i="4"/>
  <c r="H40" i="4"/>
  <c r="H364" i="4"/>
  <c r="J364" i="4" s="1"/>
  <c r="K364" i="4" s="1"/>
  <c r="H424" i="4"/>
  <c r="H250" i="4"/>
  <c r="J250" i="4" s="1"/>
  <c r="K250" i="4" s="1"/>
  <c r="H247" i="4"/>
  <c r="H248" i="4"/>
  <c r="J248" i="4" s="1"/>
  <c r="K248" i="4" s="1"/>
  <c r="H106" i="4"/>
  <c r="H283" i="4"/>
  <c r="I283" i="4" s="1"/>
  <c r="H282" i="4"/>
  <c r="I282" i="4" s="1"/>
  <c r="H363" i="4"/>
  <c r="J363" i="4" s="1"/>
  <c r="K363" i="4" s="1"/>
  <c r="H243" i="4"/>
  <c r="J243" i="4" s="1"/>
  <c r="K243" i="4" s="1"/>
  <c r="H527" i="4"/>
  <c r="J527" i="4" s="1"/>
  <c r="K527" i="4" s="1"/>
  <c r="H437" i="4"/>
  <c r="I437" i="4" s="1"/>
  <c r="H240" i="4"/>
  <c r="I240" i="4" s="1"/>
  <c r="H466" i="4"/>
  <c r="I466" i="4" s="1"/>
  <c r="H238" i="4"/>
  <c r="H585" i="4"/>
  <c r="I585" i="4" s="1"/>
  <c r="H379" i="4"/>
  <c r="H281" i="4"/>
  <c r="I281" i="4" s="1"/>
  <c r="H105" i="4"/>
  <c r="H436" i="4"/>
  <c r="H170" i="4"/>
  <c r="H348" i="4"/>
  <c r="H241" i="4"/>
  <c r="J241" i="4" s="1"/>
  <c r="K241" i="4" s="1"/>
  <c r="H229" i="4"/>
  <c r="I229" i="4" s="1"/>
  <c r="H228" i="4"/>
  <c r="J228" i="4" s="1"/>
  <c r="K228" i="4" s="1"/>
  <c r="H505" i="4"/>
  <c r="H67" i="4"/>
  <c r="H39" i="4"/>
  <c r="I39" i="4" s="1"/>
  <c r="H84" i="4"/>
  <c r="J84" i="4" s="1"/>
  <c r="K84" i="4" s="1"/>
  <c r="H367" i="4"/>
  <c r="I367" i="4" s="1"/>
  <c r="H331" i="4"/>
  <c r="J331" i="4" s="1"/>
  <c r="K331" i="4" s="1"/>
  <c r="H500" i="4"/>
  <c r="I500" i="4" s="1"/>
  <c r="H397" i="4"/>
  <c r="J397" i="4" s="1"/>
  <c r="K397" i="4" s="1"/>
  <c r="H427" i="4"/>
  <c r="H216" i="4"/>
  <c r="J216" i="4" s="1"/>
  <c r="K216" i="4" s="1"/>
  <c r="H215" i="4"/>
  <c r="J215" i="4" s="1"/>
  <c r="K215" i="4" s="1"/>
  <c r="H214" i="4"/>
  <c r="I214" i="4" s="1"/>
  <c r="H235" i="4"/>
  <c r="H212" i="4"/>
  <c r="J212" i="4" s="1"/>
  <c r="K212" i="4" s="1"/>
  <c r="H463" i="4"/>
  <c r="I463" i="4" s="1"/>
  <c r="H232" i="4"/>
  <c r="H41" i="4"/>
  <c r="I41" i="4" s="1"/>
  <c r="H103" i="4"/>
  <c r="H56" i="4"/>
  <c r="H318" i="4"/>
  <c r="J318" i="4" s="1"/>
  <c r="K318" i="4" s="1"/>
  <c r="H93" i="4"/>
  <c r="I93" i="4" s="1"/>
  <c r="H378" i="4"/>
  <c r="H101" i="4"/>
  <c r="H233" i="4"/>
  <c r="J233" i="4" s="1"/>
  <c r="K233" i="4" s="1"/>
  <c r="H76" i="4"/>
  <c r="J76" i="4" s="1"/>
  <c r="K76" i="4" s="1"/>
  <c r="H272" i="4"/>
  <c r="H584" i="4"/>
  <c r="I584" i="4" s="1"/>
  <c r="H237" i="4"/>
  <c r="H98" i="4"/>
  <c r="H589" i="4"/>
  <c r="H317" i="4"/>
  <c r="J317" i="4" s="1"/>
  <c r="K317" i="4" s="1"/>
  <c r="H563" i="4"/>
  <c r="I563" i="4" s="1"/>
  <c r="H539" i="4"/>
  <c r="I539" i="4" s="1"/>
  <c r="H489" i="4"/>
  <c r="J489" i="4" s="1"/>
  <c r="K489" i="4" s="1"/>
  <c r="H411" i="4"/>
  <c r="I411" i="4" s="1"/>
  <c r="H396" i="4"/>
  <c r="J396" i="4" s="1"/>
  <c r="K396" i="4" s="1"/>
  <c r="H393" i="4"/>
  <c r="I393" i="4" s="1"/>
  <c r="H390" i="4"/>
  <c r="J390" i="4" s="1"/>
  <c r="K390" i="4" s="1"/>
  <c r="H330" i="4"/>
  <c r="I330" i="4" s="1"/>
  <c r="H322" i="4"/>
  <c r="J322" i="4" s="1"/>
  <c r="K322" i="4" s="1"/>
  <c r="H298" i="4"/>
  <c r="I298" i="4" s="1"/>
  <c r="H267" i="4"/>
  <c r="J267" i="4" s="1"/>
  <c r="K267" i="4" s="1"/>
  <c r="H190" i="4"/>
  <c r="J190" i="4" s="1"/>
  <c r="K190" i="4" s="1"/>
  <c r="H136" i="4"/>
  <c r="I136" i="4" s="1"/>
  <c r="H102" i="4"/>
  <c r="I102" i="4" s="1"/>
  <c r="H90" i="4"/>
  <c r="J90" i="4" s="1"/>
  <c r="K90" i="4" s="1"/>
  <c r="H477" i="4"/>
  <c r="I477" i="4" s="1"/>
  <c r="H306" i="4"/>
  <c r="J306" i="4" s="1"/>
  <c r="K306" i="4" s="1"/>
  <c r="H483" i="4"/>
  <c r="I483" i="4" s="1"/>
  <c r="H231" i="4"/>
  <c r="H426" i="4"/>
  <c r="I426" i="4" s="1"/>
  <c r="H35" i="4"/>
  <c r="J35" i="4" s="1"/>
  <c r="K35" i="4" s="1"/>
  <c r="H470" i="4"/>
  <c r="H480" i="4"/>
  <c r="I480" i="4" s="1"/>
  <c r="H288" i="4"/>
  <c r="I288" i="4" s="1"/>
  <c r="H171" i="4"/>
  <c r="I171" i="4" s="1"/>
  <c r="H34" i="4"/>
  <c r="I34" i="4" s="1"/>
  <c r="H219" i="4"/>
  <c r="I219" i="4" s="1"/>
  <c r="H561" i="4"/>
  <c r="H284" i="4"/>
  <c r="H21" i="4"/>
  <c r="H165" i="4"/>
  <c r="I165" i="4" s="1"/>
  <c r="H518" i="4"/>
  <c r="I518" i="4" s="1"/>
  <c r="H9" i="4"/>
  <c r="H639" i="4"/>
  <c r="J639" i="4" s="1"/>
  <c r="K639" i="4" s="1"/>
  <c r="H203" i="4"/>
  <c r="H389" i="4"/>
  <c r="J389" i="4" s="1"/>
  <c r="K389" i="4" s="1"/>
  <c r="H332" i="4"/>
  <c r="H13" i="4"/>
  <c r="J13" i="4" s="1"/>
  <c r="K13" i="4" s="1"/>
  <c r="H234" i="4"/>
  <c r="I234" i="4" s="1"/>
  <c r="H596" i="4"/>
  <c r="I596" i="4" s="1"/>
  <c r="H587" i="4"/>
  <c r="J587" i="4" s="1"/>
  <c r="K587" i="4" s="1"/>
  <c r="H562" i="4"/>
  <c r="J562" i="4" s="1"/>
  <c r="K562" i="4" s="1"/>
  <c r="H535" i="4"/>
  <c r="J535" i="4" s="1"/>
  <c r="K535" i="4" s="1"/>
  <c r="H526" i="4"/>
  <c r="I526" i="4" s="1"/>
  <c r="H423" i="4"/>
  <c r="J423" i="4" s="1"/>
  <c r="K423" i="4" s="1"/>
  <c r="H409" i="4"/>
  <c r="J409" i="4" s="1"/>
  <c r="K409" i="4" s="1"/>
  <c r="H392" i="4"/>
  <c r="J392" i="4" s="1"/>
  <c r="K392" i="4" s="1"/>
  <c r="H360" i="4"/>
  <c r="J360" i="4" s="1"/>
  <c r="K360" i="4" s="1"/>
  <c r="H345" i="4"/>
  <c r="J345" i="4" s="1"/>
  <c r="K345" i="4" s="1"/>
  <c r="H329" i="4"/>
  <c r="J329" i="4" s="1"/>
  <c r="K329" i="4" s="1"/>
  <c r="H321" i="4"/>
  <c r="I321" i="4" s="1"/>
  <c r="H312" i="4"/>
  <c r="H266" i="4"/>
  <c r="I266" i="4" s="1"/>
  <c r="H244" i="4"/>
  <c r="J244" i="4" s="1"/>
  <c r="K244" i="4" s="1"/>
  <c r="H196" i="4"/>
  <c r="J196" i="4" s="1"/>
  <c r="K196" i="4" s="1"/>
  <c r="H192" i="4"/>
  <c r="H181" i="4"/>
  <c r="J181" i="4" s="1"/>
  <c r="K181" i="4" s="1"/>
  <c r="H162" i="4"/>
  <c r="J162" i="4" s="1"/>
  <c r="K162" i="4" s="1"/>
  <c r="H152" i="4"/>
  <c r="I152" i="4" s="1"/>
  <c r="H139" i="4"/>
  <c r="H135" i="4"/>
  <c r="J135" i="4" s="1"/>
  <c r="K135" i="4" s="1"/>
  <c r="H100" i="4"/>
  <c r="J100" i="4" s="1"/>
  <c r="K100" i="4" s="1"/>
  <c r="H133" i="4"/>
  <c r="J133" i="4" s="1"/>
  <c r="K133" i="4" s="1"/>
  <c r="H524" i="4"/>
  <c r="I524" i="4" s="1"/>
  <c r="H131" i="4"/>
  <c r="J131" i="4" s="1"/>
  <c r="K131" i="4" s="1"/>
  <c r="H174" i="4"/>
  <c r="J174" i="4" s="1"/>
  <c r="K174" i="4" s="1"/>
  <c r="H546" i="4"/>
  <c r="I546" i="4" s="1"/>
  <c r="H128" i="4"/>
  <c r="H623" i="4"/>
  <c r="I623" i="4" s="1"/>
  <c r="H511" i="4"/>
  <c r="J511" i="4" s="1"/>
  <c r="K511" i="4" s="1"/>
  <c r="H425" i="4"/>
  <c r="I425" i="4" s="1"/>
  <c r="H377" i="4"/>
  <c r="I377" i="4" s="1"/>
  <c r="H368" i="4"/>
  <c r="H94" i="4"/>
  <c r="H164" i="4"/>
  <c r="I164" i="4" s="1"/>
  <c r="H36" i="4"/>
  <c r="I36" i="4" s="1"/>
  <c r="H22" i="4"/>
  <c r="H460" i="4"/>
  <c r="H116" i="4"/>
  <c r="H270" i="4"/>
  <c r="H114" i="4"/>
  <c r="J114" i="4" s="1"/>
  <c r="K114" i="4" s="1"/>
  <c r="H301" i="4"/>
  <c r="I301" i="4" s="1"/>
  <c r="H273" i="4"/>
  <c r="I273" i="4" s="1"/>
  <c r="H33" i="4"/>
  <c r="I33" i="4" s="1"/>
  <c r="H151" i="4"/>
  <c r="J151" i="4" s="1"/>
  <c r="K151" i="4" s="1"/>
  <c r="H316" i="4"/>
  <c r="H168" i="4"/>
  <c r="I168" i="4" s="1"/>
  <c r="H130" i="4"/>
  <c r="J130" i="4" s="1"/>
  <c r="K130" i="4" s="1"/>
  <c r="H583" i="4"/>
  <c r="H517" i="4"/>
  <c r="I517" i="4" s="1"/>
  <c r="H104" i="4"/>
  <c r="H320" i="4"/>
  <c r="J320" i="4" s="1"/>
  <c r="K320" i="4" s="1"/>
  <c r="H31" i="4"/>
  <c r="H328" i="4"/>
  <c r="H265" i="4"/>
  <c r="J265" i="4" s="1"/>
  <c r="K265" i="4" s="1"/>
  <c r="H91" i="4"/>
  <c r="H180" i="4"/>
  <c r="J180" i="4" s="1"/>
  <c r="K180" i="4" s="1"/>
  <c r="H150" i="4"/>
  <c r="H99" i="4"/>
  <c r="I99" i="4" s="1"/>
  <c r="H475" i="4"/>
  <c r="H422" i="4"/>
  <c r="J422" i="4" s="1"/>
  <c r="K422" i="4" s="1"/>
  <c r="H189" i="4"/>
  <c r="H227" i="4"/>
  <c r="I227" i="4" s="1"/>
  <c r="H160" i="4"/>
  <c r="J160" i="4" s="1"/>
  <c r="K160" i="4" s="1"/>
  <c r="H271" i="4"/>
  <c r="H405" i="4"/>
  <c r="H421" i="4"/>
  <c r="H479" i="4"/>
  <c r="H230" i="4"/>
  <c r="I230" i="4" s="1"/>
  <c r="H61" i="4"/>
  <c r="H582" i="4"/>
  <c r="J340" i="4"/>
  <c r="K340" i="4" s="1"/>
  <c r="H83" i="4"/>
  <c r="I83" i="4" s="1"/>
  <c r="H28" i="4"/>
  <c r="I28" i="4" s="1"/>
  <c r="H82" i="4"/>
  <c r="H263" i="4"/>
  <c r="J263" i="4" s="1"/>
  <c r="K263" i="4" s="1"/>
  <c r="H77" i="4"/>
  <c r="J77" i="4" s="1"/>
  <c r="K77" i="4" s="1"/>
  <c r="H300" i="4"/>
  <c r="H516" i="4"/>
  <c r="I516" i="4" s="1"/>
  <c r="H420" i="4"/>
  <c r="H144" i="4"/>
  <c r="I144" i="4" s="1"/>
  <c r="H469" i="4"/>
  <c r="I469" i="4" s="1"/>
  <c r="H471" i="4"/>
  <c r="I471" i="4" s="1"/>
  <c r="H70" i="4"/>
  <c r="J70" i="4" s="1"/>
  <c r="K70" i="4" s="1"/>
  <c r="H159" i="4"/>
  <c r="I159" i="4" s="1"/>
  <c r="H27" i="4"/>
  <c r="H66" i="4"/>
  <c r="J66" i="4" s="1"/>
  <c r="K66" i="4" s="1"/>
  <c r="H65" i="4"/>
  <c r="J65" i="4" s="1"/>
  <c r="K65" i="4" s="1"/>
  <c r="H156" i="4"/>
  <c r="H545" i="4"/>
  <c r="H124" i="4"/>
  <c r="H126" i="4"/>
  <c r="J126" i="4" s="1"/>
  <c r="K126" i="4" s="1"/>
  <c r="H60" i="4"/>
  <c r="H621" i="4"/>
  <c r="J621" i="4" s="1"/>
  <c r="K621" i="4" s="1"/>
  <c r="H58" i="4"/>
  <c r="J58" i="4" s="1"/>
  <c r="K58" i="4" s="1"/>
  <c r="H223" i="4"/>
  <c r="I223" i="4" s="1"/>
  <c r="H309" i="4"/>
  <c r="I309" i="4" s="1"/>
  <c r="H55" i="4"/>
  <c r="I55" i="4" s="1"/>
  <c r="H123" i="4"/>
  <c r="H125" i="4"/>
  <c r="J125" i="4" s="1"/>
  <c r="K125" i="4" s="1"/>
  <c r="H269" i="4"/>
  <c r="I269" i="4" s="1"/>
  <c r="H11" i="4"/>
  <c r="J11" i="4" s="1"/>
  <c r="K11" i="4" s="1"/>
  <c r="H264" i="4"/>
  <c r="H49" i="4"/>
  <c r="I49" i="4" s="1"/>
  <c r="H12" i="4"/>
  <c r="I12" i="4" s="1"/>
  <c r="H577" i="4"/>
  <c r="I577" i="4" s="1"/>
  <c r="H202" i="4"/>
  <c r="J202" i="4" s="1"/>
  <c r="K202" i="4" s="1"/>
  <c r="H226" i="4"/>
  <c r="H44" i="4"/>
  <c r="H43" i="4"/>
  <c r="J43" i="4" s="1"/>
  <c r="K43" i="4" s="1"/>
  <c r="H465" i="4"/>
  <c r="H129" i="4"/>
  <c r="H457" i="4"/>
  <c r="I457" i="4" s="1"/>
  <c r="H199" i="4"/>
  <c r="H38" i="4"/>
  <c r="J38" i="4" s="1"/>
  <c r="K38" i="4" s="1"/>
  <c r="H37" i="4"/>
  <c r="J37" i="4" s="1"/>
  <c r="K37" i="4" s="1"/>
  <c r="H456" i="4"/>
  <c r="I456" i="4" s="1"/>
  <c r="H57" i="4"/>
  <c r="J57" i="4" s="1"/>
  <c r="K57" i="4" s="1"/>
  <c r="H8" i="4"/>
  <c r="H81" i="4"/>
  <c r="H32" i="4"/>
  <c r="H551" i="4"/>
  <c r="I551" i="4" s="1"/>
  <c r="H30" i="4"/>
  <c r="J30" i="4" s="1"/>
  <c r="K30" i="4" s="1"/>
  <c r="H7" i="4"/>
  <c r="I7" i="4" s="1"/>
  <c r="H198" i="4"/>
  <c r="I198" i="4" s="1"/>
  <c r="H80" i="4"/>
  <c r="I80" i="4" s="1"/>
  <c r="H4" i="4"/>
  <c r="J4" i="4" s="1"/>
  <c r="K4" i="4" s="1"/>
  <c r="H25" i="4"/>
  <c r="J25" i="4" s="1"/>
  <c r="K25" i="4" s="1"/>
  <c r="H24" i="4"/>
  <c r="H23" i="4"/>
  <c r="J23" i="4" s="1"/>
  <c r="K23" i="4" s="1"/>
  <c r="H118" i="4"/>
  <c r="H362" i="4"/>
  <c r="I362" i="4" s="1"/>
  <c r="H10" i="4"/>
  <c r="H78" i="4"/>
  <c r="J78" i="4" s="1"/>
  <c r="K78" i="4" s="1"/>
  <c r="H149" i="4"/>
  <c r="J149" i="4" s="1"/>
  <c r="K149" i="4" s="1"/>
  <c r="H143" i="4"/>
  <c r="J143" i="4" s="1"/>
  <c r="K143" i="4" s="1"/>
  <c r="H134" i="4"/>
  <c r="H97" i="4"/>
  <c r="J97" i="4" s="1"/>
  <c r="K97" i="4" s="1"/>
  <c r="H92" i="4"/>
  <c r="J92" i="4" s="1"/>
  <c r="K92" i="4" s="1"/>
  <c r="H173" i="4"/>
  <c r="J173" i="4" s="1"/>
  <c r="K173" i="4" s="1"/>
  <c r="H197" i="4"/>
  <c r="I197" i="4" s="1"/>
  <c r="H296" i="4"/>
  <c r="J296" i="4" s="1"/>
  <c r="K296" i="4" s="1"/>
  <c r="H355" i="4"/>
  <c r="J355" i="4" s="1"/>
  <c r="K355" i="4" s="1"/>
  <c r="H410" i="4"/>
  <c r="H6" i="4"/>
  <c r="I6" i="4" s="1"/>
  <c r="H444" i="4"/>
  <c r="I444" i="4" s="1"/>
  <c r="H417" i="4"/>
  <c r="H5" i="4"/>
  <c r="I5" i="4" s="1"/>
  <c r="H359" i="4"/>
  <c r="I359" i="4" s="1"/>
  <c r="H3" i="4"/>
  <c r="J3" i="4" s="1"/>
  <c r="K3" i="4" s="1"/>
  <c r="H2" i="4"/>
  <c r="J625" i="4" l="1"/>
  <c r="I625" i="4"/>
  <c r="J615" i="4"/>
  <c r="I615" i="4"/>
  <c r="J443" i="4"/>
  <c r="I443" i="4"/>
  <c r="J56" i="4"/>
  <c r="K56" i="4" s="1"/>
  <c r="I56" i="4"/>
  <c r="J567" i="4"/>
  <c r="K567" i="4" s="1"/>
  <c r="I567" i="4"/>
  <c r="J264" i="4"/>
  <c r="K264" i="4" s="1"/>
  <c r="I264" i="4"/>
  <c r="J203" i="4"/>
  <c r="K203" i="4" s="1"/>
  <c r="I203" i="4"/>
  <c r="J68" i="4"/>
  <c r="K68" i="4" s="1"/>
  <c r="I68" i="4"/>
  <c r="J603" i="4"/>
  <c r="K603" i="4" s="1"/>
  <c r="I603" i="4"/>
  <c r="J479" i="4"/>
  <c r="K479" i="4" s="1"/>
  <c r="I479" i="4"/>
  <c r="J578" i="4"/>
  <c r="K578" i="4" s="1"/>
  <c r="I578" i="4"/>
  <c r="J207" i="4"/>
  <c r="K207" i="4" s="1"/>
  <c r="I207" i="4"/>
  <c r="J199" i="4"/>
  <c r="K199" i="4" s="1"/>
  <c r="I199" i="4"/>
  <c r="J106" i="4"/>
  <c r="K106" i="4" s="1"/>
  <c r="I106" i="4"/>
  <c r="J285" i="4"/>
  <c r="K285" i="4" s="1"/>
  <c r="I285" i="4"/>
  <c r="J432" i="4"/>
  <c r="K432" i="4" s="1"/>
  <c r="I432" i="4"/>
  <c r="J271" i="4"/>
  <c r="K271" i="4" s="1"/>
  <c r="I271" i="4"/>
  <c r="J31" i="4"/>
  <c r="K31" i="4" s="1"/>
  <c r="I31" i="4"/>
  <c r="J9" i="4"/>
  <c r="K9" i="4" s="1"/>
  <c r="I9" i="4"/>
  <c r="J237" i="4"/>
  <c r="K237" i="4" s="1"/>
  <c r="I237" i="4"/>
  <c r="J232" i="4"/>
  <c r="K232" i="4" s="1"/>
  <c r="I232" i="4"/>
  <c r="J379" i="4"/>
  <c r="K379" i="4" s="1"/>
  <c r="I379" i="4"/>
  <c r="J605" i="4"/>
  <c r="K605" i="4" s="1"/>
  <c r="I605" i="4"/>
  <c r="J245" i="4"/>
  <c r="K245" i="4" s="1"/>
  <c r="I245" i="4"/>
  <c r="J69" i="4"/>
  <c r="K69" i="4" s="1"/>
  <c r="I69" i="4"/>
  <c r="J63" i="4"/>
  <c r="K63" i="4" s="1"/>
  <c r="I63" i="4"/>
  <c r="J54" i="4"/>
  <c r="K54" i="4" s="1"/>
  <c r="I54" i="4"/>
  <c r="J75" i="4"/>
  <c r="I75" i="4"/>
  <c r="J268" i="4"/>
  <c r="I268" i="4"/>
  <c r="J580" i="4"/>
  <c r="I580" i="4"/>
  <c r="J304" i="4"/>
  <c r="I304" i="4"/>
  <c r="J289" i="4"/>
  <c r="I289" i="4"/>
  <c r="J47" i="4"/>
  <c r="I47" i="4"/>
  <c r="J361" i="4"/>
  <c r="I361" i="4"/>
  <c r="J71" i="4"/>
  <c r="I71" i="4"/>
  <c r="J440" i="4"/>
  <c r="I440" i="4"/>
  <c r="J604" i="4"/>
  <c r="I604" i="4"/>
  <c r="J513" i="4"/>
  <c r="I513" i="4"/>
  <c r="J616" i="4"/>
  <c r="I616" i="4"/>
  <c r="J255" i="4"/>
  <c r="I255" i="4"/>
  <c r="J74" i="4"/>
  <c r="I74" i="4"/>
  <c r="J398" i="4"/>
  <c r="I398" i="4"/>
  <c r="J256" i="4"/>
  <c r="I256" i="4"/>
  <c r="J98" i="4"/>
  <c r="K98" i="4" s="1"/>
  <c r="I98" i="4"/>
  <c r="J430" i="4"/>
  <c r="K430" i="4" s="1"/>
  <c r="I430" i="4"/>
  <c r="J211" i="4"/>
  <c r="K211" i="4" s="1"/>
  <c r="I211" i="4"/>
  <c r="J129" i="4"/>
  <c r="K129" i="4" s="1"/>
  <c r="I129" i="4"/>
  <c r="J270" i="4"/>
  <c r="K270" i="4" s="1"/>
  <c r="I270" i="4"/>
  <c r="J247" i="4"/>
  <c r="K247" i="4" s="1"/>
  <c r="I247" i="4"/>
  <c r="J610" i="4"/>
  <c r="K610" i="4" s="1"/>
  <c r="I610" i="4"/>
  <c r="J286" i="4"/>
  <c r="K286" i="4" s="1"/>
  <c r="I286" i="4"/>
  <c r="J531" i="4"/>
  <c r="K531" i="4" s="1"/>
  <c r="I531" i="4"/>
  <c r="J313" i="4"/>
  <c r="I313" i="4"/>
  <c r="J576" i="4"/>
  <c r="K576" i="4" s="1"/>
  <c r="I576" i="4"/>
  <c r="J386" i="4"/>
  <c r="K386" i="4" s="1"/>
  <c r="I386" i="4"/>
  <c r="J124" i="4"/>
  <c r="K124" i="4" s="1"/>
  <c r="I124" i="4"/>
  <c r="J295" i="4"/>
  <c r="K295" i="4" s="1"/>
  <c r="I295" i="4"/>
  <c r="J399" i="4"/>
  <c r="I399" i="4"/>
  <c r="J123" i="4"/>
  <c r="K123" i="4" s="1"/>
  <c r="I123" i="4"/>
  <c r="J120" i="4"/>
  <c r="K120" i="4" s="1"/>
  <c r="I120" i="4"/>
  <c r="J297" i="4"/>
  <c r="K297" i="4" s="1"/>
  <c r="I297" i="4"/>
  <c r="J588" i="4"/>
  <c r="K588" i="4" s="1"/>
  <c r="I588" i="4"/>
  <c r="J592" i="4"/>
  <c r="K592" i="4" s="1"/>
  <c r="I592" i="4"/>
  <c r="J87" i="4"/>
  <c r="I87" i="4"/>
  <c r="J523" i="4"/>
  <c r="I523" i="4"/>
  <c r="J218" i="4"/>
  <c r="I218" i="4"/>
  <c r="J109" i="4"/>
  <c r="I109" i="4"/>
  <c r="J453" i="4"/>
  <c r="I453" i="4"/>
  <c r="J607" i="4"/>
  <c r="I607" i="4"/>
  <c r="J371" i="4"/>
  <c r="I371" i="4"/>
  <c r="J544" i="4"/>
  <c r="I544" i="4"/>
  <c r="J91" i="4"/>
  <c r="K91" i="4" s="1"/>
  <c r="I91" i="4"/>
  <c r="J177" i="4"/>
  <c r="K177" i="4" s="1"/>
  <c r="I177" i="4"/>
  <c r="J421" i="4"/>
  <c r="K421" i="4" s="1"/>
  <c r="I421" i="4"/>
  <c r="J532" i="4"/>
  <c r="I532" i="4"/>
  <c r="J417" i="4"/>
  <c r="K417" i="4" s="1"/>
  <c r="I417" i="4"/>
  <c r="J465" i="4"/>
  <c r="K465" i="4" s="1"/>
  <c r="I465" i="4"/>
  <c r="J82" i="4"/>
  <c r="K82" i="4" s="1"/>
  <c r="I82" i="4"/>
  <c r="J231" i="4"/>
  <c r="K231" i="4" s="1"/>
  <c r="I231" i="4"/>
  <c r="J272" i="4"/>
  <c r="K272" i="4" s="1"/>
  <c r="I272" i="4"/>
  <c r="J67" i="4"/>
  <c r="K67" i="4" s="1"/>
  <c r="I67" i="4"/>
  <c r="J238" i="4"/>
  <c r="K238" i="4" s="1"/>
  <c r="I238" i="4"/>
  <c r="J27" i="4"/>
  <c r="K27" i="4" s="1"/>
  <c r="I27" i="4"/>
  <c r="J460" i="4"/>
  <c r="K460" i="4" s="1"/>
  <c r="I460" i="4"/>
  <c r="J21" i="4"/>
  <c r="K21" i="4" s="1"/>
  <c r="I21" i="4"/>
  <c r="J235" i="4"/>
  <c r="K235" i="4" s="1"/>
  <c r="I235" i="4"/>
  <c r="J505" i="4"/>
  <c r="K505" i="4" s="1"/>
  <c r="I505" i="4"/>
  <c r="J424" i="4"/>
  <c r="K424" i="4" s="1"/>
  <c r="I424" i="4"/>
  <c r="J291" i="4"/>
  <c r="K291" i="4" s="1"/>
  <c r="I291" i="4"/>
  <c r="J111" i="4"/>
  <c r="K111" i="4" s="1"/>
  <c r="I111" i="4"/>
  <c r="J382" i="4"/>
  <c r="K382" i="4" s="1"/>
  <c r="I382" i="4"/>
  <c r="J103" i="4"/>
  <c r="K103" i="4" s="1"/>
  <c r="I103" i="4"/>
  <c r="J105" i="4"/>
  <c r="K105" i="4" s="1"/>
  <c r="I105" i="4"/>
  <c r="J200" i="4"/>
  <c r="K200" i="4" s="1"/>
  <c r="I200" i="4"/>
  <c r="J119" i="4"/>
  <c r="K119" i="4" s="1"/>
  <c r="I119" i="4"/>
  <c r="J545" i="4"/>
  <c r="K545" i="4" s="1"/>
  <c r="I545" i="4"/>
  <c r="J583" i="4"/>
  <c r="K583" i="4" s="1"/>
  <c r="I583" i="4"/>
  <c r="J22" i="4"/>
  <c r="K22" i="4" s="1"/>
  <c r="I22" i="4"/>
  <c r="J284" i="4"/>
  <c r="K284" i="4" s="1"/>
  <c r="I284" i="4"/>
  <c r="J204" i="4"/>
  <c r="K204" i="4" s="1"/>
  <c r="I204" i="4"/>
  <c r="J249" i="4"/>
  <c r="K249" i="4" s="1"/>
  <c r="I249" i="4"/>
  <c r="J334" i="4"/>
  <c r="K334" i="4" s="1"/>
  <c r="I334" i="4"/>
  <c r="J239" i="4"/>
  <c r="I239" i="4"/>
  <c r="J512" i="4"/>
  <c r="I512" i="4"/>
  <c r="J448" i="4"/>
  <c r="I448" i="4"/>
  <c r="J251" i="4"/>
  <c r="I251" i="4"/>
  <c r="J534" i="4"/>
  <c r="I534" i="4"/>
  <c r="J594" i="4"/>
  <c r="I594" i="4"/>
  <c r="J606" i="4"/>
  <c r="I606" i="4"/>
  <c r="J613" i="4"/>
  <c r="I613" i="4"/>
  <c r="J630" i="4"/>
  <c r="I630" i="4"/>
  <c r="J608" i="4"/>
  <c r="I608" i="4"/>
  <c r="J548" i="4"/>
  <c r="I548" i="4"/>
  <c r="J252" i="4"/>
  <c r="I252" i="4"/>
  <c r="J420" i="4"/>
  <c r="K420" i="4" s="1"/>
  <c r="I420" i="4"/>
  <c r="J226" i="4"/>
  <c r="K226" i="4" s="1"/>
  <c r="I226" i="4"/>
  <c r="J475" i="4"/>
  <c r="K475" i="4" s="1"/>
  <c r="I475" i="4"/>
  <c r="J474" i="4"/>
  <c r="K474" i="4" s="1"/>
  <c r="I474" i="4"/>
  <c r="J593" i="4"/>
  <c r="K593" i="4" s="1"/>
  <c r="I593" i="4"/>
  <c r="J8" i="4"/>
  <c r="K8" i="4" s="1"/>
  <c r="I8" i="4"/>
  <c r="J157" i="4"/>
  <c r="I157" i="4"/>
  <c r="J115" i="4"/>
  <c r="I115" i="4"/>
  <c r="J179" i="4"/>
  <c r="I179" i="4"/>
  <c r="J561" i="4"/>
  <c r="K561" i="4" s="1"/>
  <c r="I561" i="4"/>
  <c r="J101" i="4"/>
  <c r="K101" i="4" s="1"/>
  <c r="I101" i="4"/>
  <c r="J582" i="4"/>
  <c r="K582" i="4" s="1"/>
  <c r="I582" i="4"/>
  <c r="J378" i="4"/>
  <c r="K378" i="4" s="1"/>
  <c r="I378" i="4"/>
  <c r="J579" i="4"/>
  <c r="K579" i="4" s="1"/>
  <c r="I579" i="4"/>
  <c r="J446" i="4"/>
  <c r="I446" i="4"/>
  <c r="J617" i="4"/>
  <c r="I617" i="4"/>
  <c r="J315" i="4"/>
  <c r="I315" i="4"/>
  <c r="J316" i="4"/>
  <c r="K316" i="4" s="1"/>
  <c r="I316" i="4"/>
  <c r="J94" i="4"/>
  <c r="K94" i="4" s="1"/>
  <c r="I94" i="4"/>
  <c r="J427" i="4"/>
  <c r="K427" i="4" s="1"/>
  <c r="I427" i="4"/>
  <c r="J348" i="4"/>
  <c r="K348" i="4" s="1"/>
  <c r="I348" i="4"/>
  <c r="J26" i="4"/>
  <c r="K26" i="4" s="1"/>
  <c r="I26" i="4"/>
  <c r="J506" i="4"/>
  <c r="K506" i="4" s="1"/>
  <c r="I506" i="4"/>
  <c r="J122" i="4"/>
  <c r="K122" i="4" s="1"/>
  <c r="I122" i="4"/>
  <c r="J438" i="4"/>
  <c r="K438" i="4" s="1"/>
  <c r="I438" i="4"/>
  <c r="J530" i="4"/>
  <c r="K530" i="4" s="1"/>
  <c r="I530" i="4"/>
  <c r="J601" i="4"/>
  <c r="I601" i="4"/>
  <c r="J410" i="4"/>
  <c r="K410" i="4" s="1"/>
  <c r="I410" i="4"/>
  <c r="J81" i="4"/>
  <c r="K81" i="4" s="1"/>
  <c r="I81" i="4"/>
  <c r="J40" i="4"/>
  <c r="K40" i="4" s="1"/>
  <c r="I40" i="4"/>
  <c r="J574" i="4"/>
  <c r="K574" i="4" s="1"/>
  <c r="I574" i="4"/>
  <c r="J224" i="4"/>
  <c r="K224" i="4" s="1"/>
  <c r="I224" i="4"/>
  <c r="J600" i="4"/>
  <c r="I600" i="4"/>
  <c r="J118" i="4"/>
  <c r="K118" i="4" s="1"/>
  <c r="I118" i="4"/>
  <c r="J42" i="4"/>
  <c r="K42" i="4" s="1"/>
  <c r="I42" i="4"/>
  <c r="J341" i="4"/>
  <c r="K341" i="4" s="1"/>
  <c r="I341" i="4"/>
  <c r="J112" i="4"/>
  <c r="I112" i="4"/>
  <c r="J497" i="4"/>
  <c r="I497" i="4"/>
  <c r="J609" i="4"/>
  <c r="I609" i="4"/>
  <c r="J246" i="4"/>
  <c r="I246" i="4"/>
  <c r="J536" i="4"/>
  <c r="I536" i="4"/>
  <c r="J368" i="4"/>
  <c r="K368" i="4" s="1"/>
  <c r="I368" i="4"/>
  <c r="J332" i="4"/>
  <c r="K332" i="4" s="1"/>
  <c r="I332" i="4"/>
  <c r="J170" i="4"/>
  <c r="K170" i="4" s="1"/>
  <c r="I170" i="4"/>
  <c r="J428" i="4"/>
  <c r="K428" i="4" s="1"/>
  <c r="I428" i="4"/>
  <c r="J575" i="4"/>
  <c r="K575" i="4" s="1"/>
  <c r="I575" i="4"/>
  <c r="J586" i="4"/>
  <c r="K586" i="4" s="1"/>
  <c r="I586" i="4"/>
  <c r="J435" i="4"/>
  <c r="K435" i="4" s="1"/>
  <c r="I435" i="4"/>
  <c r="J598" i="4"/>
  <c r="K598" i="4" s="1"/>
  <c r="I598" i="4"/>
  <c r="J208" i="4"/>
  <c r="K208" i="4" s="1"/>
  <c r="I208" i="4"/>
  <c r="J552" i="4"/>
  <c r="I552" i="4"/>
  <c r="J108" i="4"/>
  <c r="I108" i="4"/>
  <c r="J449" i="4"/>
  <c r="I449" i="4"/>
  <c r="J302" i="4"/>
  <c r="I302" i="4"/>
  <c r="J161" i="4"/>
  <c r="I161" i="4"/>
  <c r="J622" i="4"/>
  <c r="I622" i="4"/>
  <c r="J602" i="4"/>
  <c r="I602" i="4"/>
  <c r="I2" i="4"/>
  <c r="H97" i="5"/>
  <c r="H565" i="4"/>
  <c r="J388" i="4"/>
  <c r="J86" i="4"/>
  <c r="H93" i="5"/>
  <c r="J305" i="4"/>
  <c r="K305" i="4" s="1"/>
  <c r="J236" i="4"/>
  <c r="K236" i="4" s="1"/>
  <c r="J166" i="4"/>
  <c r="K166" i="4" s="1"/>
  <c r="I344" i="4"/>
  <c r="J393" i="4"/>
  <c r="K393" i="4" s="1"/>
  <c r="J466" i="4"/>
  <c r="K466" i="4" s="1"/>
  <c r="J516" i="4"/>
  <c r="K516" i="4" s="1"/>
  <c r="I149" i="4"/>
  <c r="J153" i="4"/>
  <c r="K153" i="4" s="1"/>
  <c r="I162" i="4"/>
  <c r="I46" i="4"/>
  <c r="J80" i="4"/>
  <c r="K80" i="4" s="1"/>
  <c r="I38" i="4"/>
  <c r="J330" i="4"/>
  <c r="K330" i="4" s="1"/>
  <c r="I14" i="4"/>
  <c r="I145" i="4"/>
  <c r="I509" i="4"/>
  <c r="I100" i="4"/>
  <c r="I597" i="4"/>
  <c r="J16" i="4"/>
  <c r="I130" i="4"/>
  <c r="I317" i="4"/>
  <c r="I201" i="4"/>
  <c r="I66" i="4"/>
  <c r="J400" i="4"/>
  <c r="I363" i="4"/>
  <c r="G69" i="5"/>
  <c r="I212" i="4"/>
  <c r="I557" i="4"/>
  <c r="J167" i="4"/>
  <c r="K167" i="4" s="1"/>
  <c r="J461" i="4"/>
  <c r="J406" i="4"/>
  <c r="G49" i="5"/>
  <c r="J357" i="4"/>
  <c r="K357" i="4" s="1"/>
  <c r="J487" i="4"/>
  <c r="K487" i="4" s="1"/>
  <c r="I572" i="4"/>
  <c r="J64" i="4"/>
  <c r="J486" i="4"/>
  <c r="K486" i="4" s="1"/>
  <c r="J171" i="4"/>
  <c r="K171" i="4" s="1"/>
  <c r="J584" i="4"/>
  <c r="K584" i="4" s="1"/>
  <c r="I258" i="4"/>
  <c r="J498" i="4"/>
  <c r="I621" i="4"/>
  <c r="I423" i="4"/>
  <c r="I331" i="4"/>
  <c r="I280" i="4"/>
  <c r="J515" i="4"/>
  <c r="J79" i="4"/>
  <c r="J573" i="4"/>
  <c r="H67" i="5"/>
  <c r="J288" i="4"/>
  <c r="K288" i="4" s="1"/>
  <c r="J540" i="4"/>
  <c r="K540" i="4" s="1"/>
  <c r="J369" i="4"/>
  <c r="K369" i="4" s="1"/>
  <c r="J346" i="4"/>
  <c r="K346" i="4" s="1"/>
  <c r="J146" i="4"/>
  <c r="K146" i="4" s="1"/>
  <c r="I529" i="4"/>
  <c r="J72" i="4"/>
  <c r="K72" i="4" s="1"/>
  <c r="I175" i="4"/>
  <c r="I174" i="4"/>
  <c r="J41" i="4"/>
  <c r="K41" i="4" s="1"/>
  <c r="J473" i="4"/>
  <c r="K473" i="4" s="1"/>
  <c r="I381" i="4"/>
  <c r="J414" i="4"/>
  <c r="K414" i="4" s="1"/>
  <c r="J367" i="4"/>
  <c r="K367" i="4" s="1"/>
  <c r="H27" i="5"/>
  <c r="J266" i="4"/>
  <c r="K266" i="4" s="1"/>
  <c r="J518" i="4"/>
  <c r="K518" i="4" s="1"/>
  <c r="J281" i="4"/>
  <c r="K281" i="4" s="1"/>
  <c r="J349" i="4"/>
  <c r="I277" i="4"/>
  <c r="H7" i="5"/>
  <c r="I587" i="4"/>
  <c r="J555" i="4"/>
  <c r="K555" i="4" s="1"/>
  <c r="I158" i="4"/>
  <c r="H19" i="5"/>
  <c r="G41" i="5"/>
  <c r="H61" i="5"/>
  <c r="J585" i="4"/>
  <c r="K585" i="4" s="1"/>
  <c r="J275" i="4"/>
  <c r="K275" i="4" s="1"/>
  <c r="I57" i="4"/>
  <c r="H11" i="5"/>
  <c r="I452" i="4"/>
  <c r="I624" i="4"/>
  <c r="G45" i="5"/>
  <c r="I296" i="4"/>
  <c r="J577" i="4"/>
  <c r="K577" i="4" s="1"/>
  <c r="I114" i="4"/>
  <c r="I131" i="4"/>
  <c r="J539" i="4"/>
  <c r="K539" i="4" s="1"/>
  <c r="J214" i="4"/>
  <c r="K214" i="4" s="1"/>
  <c r="J323" i="4"/>
  <c r="K323" i="4" s="1"/>
  <c r="I182" i="4"/>
  <c r="I287" i="4"/>
  <c r="J343" i="4"/>
  <c r="K343" i="4" s="1"/>
  <c r="I488" i="4"/>
  <c r="I493" i="4"/>
  <c r="J370" i="4"/>
  <c r="H21" i="5"/>
  <c r="G37" i="5"/>
  <c r="H71" i="5"/>
  <c r="G81" i="5"/>
  <c r="H55" i="5"/>
  <c r="H91" i="5"/>
  <c r="J99" i="4"/>
  <c r="K99" i="4" s="1"/>
  <c r="J219" i="4"/>
  <c r="K219" i="4" s="1"/>
  <c r="J563" i="4"/>
  <c r="K563" i="4" s="1"/>
  <c r="I643" i="4"/>
  <c r="I140" i="4"/>
  <c r="J137" i="4"/>
  <c r="K137" i="4" s="1"/>
  <c r="I391" i="4"/>
  <c r="J503" i="4"/>
  <c r="I599" i="4"/>
  <c r="J591" i="4"/>
  <c r="K591" i="4" s="1"/>
  <c r="I462" i="4"/>
  <c r="J551" i="4"/>
  <c r="K551" i="4" s="1"/>
  <c r="I233" i="4"/>
  <c r="I84" i="4"/>
  <c r="I570" i="4"/>
  <c r="H15" i="5"/>
  <c r="H23" i="5"/>
  <c r="H31" i="5"/>
  <c r="G73" i="5"/>
  <c r="I248" i="4"/>
  <c r="I413" i="4"/>
  <c r="J154" i="4"/>
  <c r="K154" i="4" s="1"/>
  <c r="H83" i="5"/>
  <c r="J623" i="4"/>
  <c r="K623" i="4" s="1"/>
  <c r="I396" i="4"/>
  <c r="J463" i="4"/>
  <c r="K463" i="4" s="1"/>
  <c r="I397" i="4"/>
  <c r="I553" i="4"/>
  <c r="I194" i="4"/>
  <c r="I337" i="4"/>
  <c r="I387" i="4"/>
  <c r="J450" i="4"/>
  <c r="I455" i="4"/>
  <c r="I408" i="4"/>
  <c r="J636" i="4"/>
  <c r="J96" i="4"/>
  <c r="G25" i="5"/>
  <c r="G33" i="5"/>
  <c r="H59" i="5"/>
  <c r="I78" i="4"/>
  <c r="I4" i="4"/>
  <c r="I303" i="4"/>
  <c r="J147" i="4"/>
  <c r="K147" i="4" s="1"/>
  <c r="J447" i="4"/>
  <c r="J628" i="4"/>
  <c r="I160" i="4"/>
  <c r="J165" i="4"/>
  <c r="K165" i="4" s="1"/>
  <c r="H35" i="5"/>
  <c r="I70" i="4"/>
  <c r="I181" i="4"/>
  <c r="I329" i="4"/>
  <c r="I322" i="4"/>
  <c r="I318" i="4"/>
  <c r="J240" i="4"/>
  <c r="K240" i="4" s="1"/>
  <c r="J282" i="4"/>
  <c r="K282" i="4" s="1"/>
  <c r="I250" i="4"/>
  <c r="J185" i="4"/>
  <c r="K185" i="4" s="1"/>
  <c r="J163" i="4"/>
  <c r="K163" i="4" s="1"/>
  <c r="I492" i="4"/>
  <c r="I88" i="4"/>
  <c r="J50" i="4"/>
  <c r="K50" i="4" s="1"/>
  <c r="I325" i="4"/>
  <c r="J401" i="4"/>
  <c r="K401" i="4" s="1"/>
  <c r="I169" i="4"/>
  <c r="J220" i="4"/>
  <c r="K220" i="4" s="1"/>
  <c r="J209" i="4"/>
  <c r="K209" i="4" s="1"/>
  <c r="J347" i="4"/>
  <c r="K347" i="4" s="1"/>
  <c r="I308" i="4"/>
  <c r="J213" i="4"/>
  <c r="K213" i="4" s="1"/>
  <c r="J178" i="4"/>
  <c r="K178" i="4" s="1"/>
  <c r="J385" i="4"/>
  <c r="K385" i="4" s="1"/>
  <c r="J254" i="4"/>
  <c r="K254" i="4" s="1"/>
  <c r="I148" i="4"/>
  <c r="J338" i="4"/>
  <c r="I491" i="4"/>
  <c r="J132" i="4"/>
  <c r="J521" i="4"/>
  <c r="I353" i="4"/>
  <c r="J257" i="4"/>
  <c r="I549" i="4"/>
  <c r="J307" i="4"/>
  <c r="I59" i="4"/>
  <c r="I358" i="4"/>
  <c r="G9" i="5"/>
  <c r="H29" i="5"/>
  <c r="H43" i="5"/>
  <c r="G57" i="5"/>
  <c r="H77" i="5"/>
  <c r="J350" i="4"/>
  <c r="K350" i="4" s="1"/>
  <c r="J93" i="4"/>
  <c r="K93" i="4" s="1"/>
  <c r="I23" i="4"/>
  <c r="J102" i="4"/>
  <c r="K102" i="4" s="1"/>
  <c r="J411" i="4"/>
  <c r="K411" i="4" s="1"/>
  <c r="I76" i="4"/>
  <c r="G85" i="5"/>
  <c r="J55" i="4"/>
  <c r="K55" i="4" s="1"/>
  <c r="J596" i="4"/>
  <c r="K596" i="4" s="1"/>
  <c r="I43" i="4"/>
  <c r="J33" i="4"/>
  <c r="K33" i="4" s="1"/>
  <c r="I263" i="4"/>
  <c r="J227" i="4"/>
  <c r="K227" i="4" s="1"/>
  <c r="I3" i="4"/>
  <c r="I11" i="4"/>
  <c r="I58" i="4"/>
  <c r="J471" i="4"/>
  <c r="K471" i="4" s="1"/>
  <c r="I265" i="4"/>
  <c r="J36" i="4"/>
  <c r="K36" i="4" s="1"/>
  <c r="I345" i="4"/>
  <c r="J526" i="4"/>
  <c r="K526" i="4" s="1"/>
  <c r="J480" i="4"/>
  <c r="K480" i="4" s="1"/>
  <c r="J437" i="4"/>
  <c r="K437" i="4" s="1"/>
  <c r="J394" i="4"/>
  <c r="K394" i="4" s="1"/>
  <c r="I253" i="4"/>
  <c r="I472" i="4"/>
  <c r="I333" i="4"/>
  <c r="I458" i="4"/>
  <c r="I612" i="4"/>
  <c r="J206" i="4"/>
  <c r="K206" i="4" s="1"/>
  <c r="I172" i="4"/>
  <c r="J62" i="4"/>
  <c r="I261" i="4"/>
  <c r="I15" i="4"/>
  <c r="I646" i="4"/>
  <c r="J429" i="4"/>
  <c r="H3" i="5"/>
  <c r="G17" i="5"/>
  <c r="H51" i="5"/>
  <c r="G65" i="5"/>
  <c r="J444" i="4"/>
  <c r="K444" i="4" s="1"/>
  <c r="J298" i="4"/>
  <c r="K298" i="4" s="1"/>
  <c r="I97" i="4"/>
  <c r="I30" i="4"/>
  <c r="I511" i="4"/>
  <c r="I355" i="4"/>
  <c r="J136" i="4"/>
  <c r="K136" i="4" s="1"/>
  <c r="J375" i="4"/>
  <c r="K375" i="4" s="1"/>
  <c r="J310" i="4"/>
  <c r="K310" i="4" s="1"/>
  <c r="I554" i="4"/>
  <c r="H79" i="5"/>
  <c r="H101" i="5"/>
  <c r="I202" i="4"/>
  <c r="I135" i="4"/>
  <c r="I244" i="4"/>
  <c r="I360" i="4"/>
  <c r="I389" i="4"/>
  <c r="I190" i="4"/>
  <c r="I243" i="4"/>
  <c r="I611" i="4"/>
  <c r="I311" i="4"/>
  <c r="I395" i="4"/>
  <c r="I95" i="4"/>
  <c r="J445" i="4"/>
  <c r="K445" i="4" s="1"/>
  <c r="I415" i="4"/>
  <c r="J494" i="4"/>
  <c r="K494" i="4" s="1"/>
  <c r="J514" i="4"/>
  <c r="I142" i="4"/>
  <c r="I560" i="4"/>
  <c r="I17" i="4"/>
  <c r="G5" i="5"/>
  <c r="H39" i="5"/>
  <c r="G53" i="5"/>
  <c r="H87" i="5"/>
  <c r="I320" i="4"/>
  <c r="I278" i="4"/>
  <c r="J528" i="4"/>
  <c r="K528" i="4" s="1"/>
  <c r="I581" i="4"/>
  <c r="I188" i="4"/>
  <c r="J569" i="4"/>
  <c r="G13" i="5"/>
  <c r="H47" i="5"/>
  <c r="H95" i="5"/>
  <c r="H75" i="5"/>
  <c r="G89" i="5"/>
  <c r="I92" i="4"/>
  <c r="I151" i="4"/>
  <c r="I228" i="4"/>
  <c r="I467" i="4"/>
  <c r="I85" i="4"/>
  <c r="I274" i="4"/>
  <c r="I618" i="4"/>
  <c r="I644" i="4"/>
  <c r="I260" i="4"/>
  <c r="J468" i="4"/>
  <c r="I520" i="4"/>
  <c r="I541" i="4"/>
  <c r="I187" i="4"/>
  <c r="J504" i="4"/>
  <c r="H63" i="5"/>
  <c r="I189" i="4"/>
  <c r="J189" i="4"/>
  <c r="K189" i="4" s="1"/>
  <c r="I192" i="4"/>
  <c r="J192" i="4"/>
  <c r="K192" i="4" s="1"/>
  <c r="J431" i="4"/>
  <c r="K431" i="4" s="1"/>
  <c r="J61" i="4"/>
  <c r="K61" i="4" s="1"/>
  <c r="I61" i="4"/>
  <c r="J283" i="4"/>
  <c r="K283" i="4" s="1"/>
  <c r="J469" i="4"/>
  <c r="K469" i="4" s="1"/>
  <c r="J356" i="4"/>
  <c r="K356" i="4" s="1"/>
  <c r="J470" i="4"/>
  <c r="K470" i="4" s="1"/>
  <c r="I470" i="4"/>
  <c r="H30" i="5"/>
  <c r="G30" i="5"/>
  <c r="I44" i="4"/>
  <c r="J44" i="4"/>
  <c r="K44" i="4" s="1"/>
  <c r="J359" i="4"/>
  <c r="K359" i="4" s="1"/>
  <c r="J269" i="4"/>
  <c r="K269" i="4" s="1"/>
  <c r="J328" i="4"/>
  <c r="K328" i="4" s="1"/>
  <c r="I328" i="4"/>
  <c r="J614" i="4"/>
  <c r="K614" i="4" s="1"/>
  <c r="J24" i="4"/>
  <c r="K24" i="4" s="1"/>
  <c r="I24" i="4"/>
  <c r="I32" i="4"/>
  <c r="J32" i="4"/>
  <c r="K32" i="4" s="1"/>
  <c r="J28" i="4"/>
  <c r="K28" i="4" s="1"/>
  <c r="I128" i="4"/>
  <c r="J128" i="4"/>
  <c r="K128" i="4" s="1"/>
  <c r="J34" i="4"/>
  <c r="K34" i="4" s="1"/>
  <c r="J117" i="4"/>
  <c r="J197" i="4"/>
  <c r="K197" i="4" s="1"/>
  <c r="J60" i="4"/>
  <c r="K60" i="4" s="1"/>
  <c r="I60" i="4"/>
  <c r="J168" i="4"/>
  <c r="K168" i="4" s="1"/>
  <c r="J456" i="4"/>
  <c r="K456" i="4" s="1"/>
  <c r="J524" i="4"/>
  <c r="K524" i="4" s="1"/>
  <c r="J589" i="4"/>
  <c r="K589" i="4" s="1"/>
  <c r="I589" i="4"/>
  <c r="J134" i="4"/>
  <c r="K134" i="4" s="1"/>
  <c r="I134" i="4"/>
  <c r="J156" i="4"/>
  <c r="K156" i="4" s="1"/>
  <c r="I156" i="4"/>
  <c r="J273" i="4"/>
  <c r="K273" i="4" s="1"/>
  <c r="J457" i="4"/>
  <c r="K457" i="4" s="1"/>
  <c r="J405" i="4"/>
  <c r="K405" i="4" s="1"/>
  <c r="I405" i="4"/>
  <c r="J139" i="4"/>
  <c r="K139" i="4" s="1"/>
  <c r="I139" i="4"/>
  <c r="J436" i="4"/>
  <c r="K436" i="4" s="1"/>
  <c r="I436" i="4"/>
  <c r="J18" i="4"/>
  <c r="I18" i="4"/>
  <c r="I10" i="4"/>
  <c r="J10" i="4"/>
  <c r="K10" i="4" s="1"/>
  <c r="J159" i="4"/>
  <c r="K159" i="4" s="1"/>
  <c r="J116" i="4"/>
  <c r="K116" i="4" s="1"/>
  <c r="I116" i="4"/>
  <c r="J176" i="4"/>
  <c r="K176" i="4" s="1"/>
  <c r="J12" i="4"/>
  <c r="K12" i="4" s="1"/>
  <c r="J150" i="4"/>
  <c r="K150" i="4" s="1"/>
  <c r="I150" i="4"/>
  <c r="J312" i="4"/>
  <c r="K312" i="4" s="1"/>
  <c r="I312" i="4"/>
  <c r="J620" i="4"/>
  <c r="K620" i="4" s="1"/>
  <c r="I620" i="4"/>
  <c r="J537" i="4"/>
  <c r="J53" i="4"/>
  <c r="I53" i="4"/>
  <c r="J198" i="4"/>
  <c r="K198" i="4" s="1"/>
  <c r="I300" i="4"/>
  <c r="J300" i="4"/>
  <c r="K300" i="4" s="1"/>
  <c r="J377" i="4"/>
  <c r="K377" i="4" s="1"/>
  <c r="J477" i="4"/>
  <c r="K477" i="4" s="1"/>
  <c r="J6" i="4"/>
  <c r="K6" i="4" s="1"/>
  <c r="J309" i="4"/>
  <c r="K309" i="4" s="1"/>
  <c r="I104" i="4"/>
  <c r="J104" i="4"/>
  <c r="K104" i="4" s="1"/>
  <c r="J234" i="4"/>
  <c r="K234" i="4" s="1"/>
  <c r="I390" i="4"/>
  <c r="I35" i="4"/>
  <c r="I489" i="4"/>
  <c r="I242" i="4"/>
  <c r="I481" i="4"/>
  <c r="H86" i="5"/>
  <c r="G86" i="5"/>
  <c r="I143" i="4"/>
  <c r="I125" i="4"/>
  <c r="I422" i="4"/>
  <c r="I133" i="4"/>
  <c r="J39" i="4"/>
  <c r="K39" i="4" s="1"/>
  <c r="J52" i="4"/>
  <c r="K52" i="4" s="1"/>
  <c r="I496" i="4"/>
  <c r="J476" i="4"/>
  <c r="K476" i="4" s="1"/>
  <c r="J631" i="4"/>
  <c r="K631" i="4" s="1"/>
  <c r="J538" i="4"/>
  <c r="I645" i="4"/>
  <c r="J113" i="4"/>
  <c r="I113" i="4"/>
  <c r="J48" i="4"/>
  <c r="H46" i="5"/>
  <c r="G46" i="5"/>
  <c r="H94" i="5"/>
  <c r="G94" i="5"/>
  <c r="H66" i="5"/>
  <c r="G66" i="5"/>
  <c r="I65" i="4"/>
  <c r="I196" i="4"/>
  <c r="I13" i="4"/>
  <c r="J210" i="4"/>
  <c r="K210" i="4" s="1"/>
  <c r="J7" i="4"/>
  <c r="K7" i="4" s="1"/>
  <c r="J144" i="4"/>
  <c r="K144" i="4" s="1"/>
  <c r="J517" i="4"/>
  <c r="K517" i="4" s="1"/>
  <c r="J301" i="4"/>
  <c r="K301" i="4" s="1"/>
  <c r="J425" i="4"/>
  <c r="K425" i="4" s="1"/>
  <c r="J546" i="4"/>
  <c r="K546" i="4" s="1"/>
  <c r="J152" i="4"/>
  <c r="K152" i="4" s="1"/>
  <c r="J321" i="4"/>
  <c r="K321" i="4" s="1"/>
  <c r="I562" i="4"/>
  <c r="J426" i="4"/>
  <c r="K426" i="4" s="1"/>
  <c r="I90" i="4"/>
  <c r="J500" i="4"/>
  <c r="K500" i="4" s="1"/>
  <c r="I205" i="4"/>
  <c r="J29" i="4"/>
  <c r="K29" i="4" s="1"/>
  <c r="I193" i="4"/>
  <c r="J279" i="4"/>
  <c r="K279" i="4" s="1"/>
  <c r="I495" i="4"/>
  <c r="I110" i="4"/>
  <c r="I556" i="4"/>
  <c r="H26" i="5"/>
  <c r="G26" i="5"/>
  <c r="H74" i="5"/>
  <c r="G74" i="5"/>
  <c r="H102" i="5"/>
  <c r="H100" i="5"/>
  <c r="G100" i="5"/>
  <c r="I183" i="4"/>
  <c r="I383" i="4"/>
  <c r="J319" i="4"/>
  <c r="I319" i="4"/>
  <c r="I459" i="4"/>
  <c r="J229" i="4"/>
  <c r="K229" i="4" s="1"/>
  <c r="I290" i="4"/>
  <c r="I25" i="4"/>
  <c r="I126" i="4"/>
  <c r="I77" i="4"/>
  <c r="I267" i="4"/>
  <c r="I215" i="4"/>
  <c r="I241" i="4"/>
  <c r="I409" i="4"/>
  <c r="I634" i="4"/>
  <c r="I374" i="4"/>
  <c r="J627" i="4"/>
  <c r="I222" i="4"/>
  <c r="J127" i="4"/>
  <c r="I127" i="4"/>
  <c r="J629" i="4"/>
  <c r="I352" i="4"/>
  <c r="J20" i="4"/>
  <c r="I20" i="4"/>
  <c r="I294" i="4"/>
  <c r="J373" i="4"/>
  <c r="I373" i="4"/>
  <c r="H6" i="5"/>
  <c r="G6" i="5"/>
  <c r="H54" i="5"/>
  <c r="G54" i="5"/>
  <c r="J434" i="4"/>
  <c r="J626" i="4"/>
  <c r="H10" i="5"/>
  <c r="G10" i="5"/>
  <c r="H58" i="5"/>
  <c r="G58" i="5"/>
  <c r="J502" i="4"/>
  <c r="I482" i="4"/>
  <c r="H38" i="5"/>
  <c r="G38" i="5"/>
  <c r="I365" i="4"/>
  <c r="J335" i="4"/>
  <c r="K335" i="4" s="1"/>
  <c r="I173" i="4"/>
  <c r="I37" i="4"/>
  <c r="I180" i="4"/>
  <c r="J362" i="4"/>
  <c r="K362" i="4" s="1"/>
  <c r="J49" i="4"/>
  <c r="K49" i="4" s="1"/>
  <c r="J83" i="4"/>
  <c r="K83" i="4" s="1"/>
  <c r="J164" i="4"/>
  <c r="K164" i="4" s="1"/>
  <c r="H82" i="5"/>
  <c r="G82" i="5"/>
  <c r="J2" i="4"/>
  <c r="K2" i="4" s="1"/>
  <c r="I216" i="4"/>
  <c r="I364" i="4"/>
  <c r="I564" i="4"/>
  <c r="I635" i="4"/>
  <c r="I342" i="4"/>
  <c r="J637" i="4"/>
  <c r="K637" i="4" s="1"/>
  <c r="J89" i="4"/>
  <c r="J292" i="4"/>
  <c r="I292" i="4"/>
  <c r="J508" i="4"/>
  <c r="I508" i="4"/>
  <c r="H14" i="5"/>
  <c r="G14" i="5"/>
  <c r="H62" i="5"/>
  <c r="G62" i="5"/>
  <c r="H105" i="5"/>
  <c r="G105" i="5"/>
  <c r="J223" i="4"/>
  <c r="K223" i="4" s="1"/>
  <c r="J336" i="4"/>
  <c r="K336" i="4" s="1"/>
  <c r="J230" i="4"/>
  <c r="K230" i="4" s="1"/>
  <c r="H34" i="5"/>
  <c r="G34" i="5"/>
  <c r="J483" i="4"/>
  <c r="K483" i="4" s="1"/>
  <c r="J45" i="4"/>
  <c r="K45" i="4" s="1"/>
  <c r="H42" i="5"/>
  <c r="G42" i="5"/>
  <c r="H90" i="5"/>
  <c r="G90" i="5"/>
  <c r="I392" i="4"/>
  <c r="I639" i="4"/>
  <c r="J186" i="4"/>
  <c r="K186" i="4" s="1"/>
  <c r="J5" i="4"/>
  <c r="K5" i="4" s="1"/>
  <c r="J619" i="4"/>
  <c r="K619" i="4" s="1"/>
  <c r="I619" i="4"/>
  <c r="J299" i="4"/>
  <c r="J403" i="4"/>
  <c r="J566" i="4"/>
  <c r="H22" i="5"/>
  <c r="G22" i="5"/>
  <c r="H70" i="5"/>
  <c r="G70" i="5"/>
  <c r="H78" i="5"/>
  <c r="G78" i="5"/>
  <c r="I535" i="4"/>
  <c r="I527" i="4"/>
  <c r="J380" i="4"/>
  <c r="K380" i="4" s="1"/>
  <c r="J485" i="4"/>
  <c r="K485" i="4" s="1"/>
  <c r="J501" i="4"/>
  <c r="I501" i="4"/>
  <c r="H18" i="5"/>
  <c r="G18" i="5"/>
  <c r="I306" i="4"/>
  <c r="I324" i="4"/>
  <c r="F106" i="5"/>
  <c r="H106" i="5" s="1"/>
  <c r="H2" i="5"/>
  <c r="G2" i="5"/>
  <c r="H50" i="5"/>
  <c r="G50" i="5"/>
  <c r="H98" i="5"/>
  <c r="G98" i="5"/>
  <c r="I632" i="4"/>
  <c r="G103" i="5"/>
  <c r="G99" i="5"/>
  <c r="H104" i="5"/>
  <c r="I141" i="4"/>
  <c r="I221" i="4"/>
  <c r="G4" i="5"/>
  <c r="G8" i="5"/>
  <c r="G12" i="5"/>
  <c r="G16" i="5"/>
  <c r="G20" i="5"/>
  <c r="G24" i="5"/>
  <c r="G28" i="5"/>
  <c r="G32" i="5"/>
  <c r="G36" i="5"/>
  <c r="G40" i="5"/>
  <c r="G44" i="5"/>
  <c r="G48" i="5"/>
  <c r="G52" i="5"/>
  <c r="G56" i="5"/>
  <c r="G60" i="5"/>
  <c r="G64" i="5"/>
  <c r="G68" i="5"/>
  <c r="G72" i="5"/>
  <c r="G76" i="5"/>
  <c r="G80" i="5"/>
  <c r="G84" i="5"/>
  <c r="G88" i="5"/>
  <c r="G92" i="5"/>
  <c r="G96" i="5"/>
  <c r="I195" i="4"/>
  <c r="I259" i="4"/>
  <c r="I590" i="4"/>
  <c r="I107" i="4"/>
  <c r="I339" i="4"/>
  <c r="I376" i="4"/>
  <c r="I276" i="4"/>
  <c r="I366" i="4"/>
  <c r="I638" i="4"/>
  <c r="I51" i="4"/>
  <c r="I451" i="4"/>
  <c r="I454" i="4"/>
  <c r="I138" i="4"/>
  <c r="I478" i="4"/>
  <c r="I419" i="4"/>
  <c r="I484" i="4"/>
  <c r="I490" i="4"/>
  <c r="I384" i="4"/>
  <c r="I558" i="4"/>
  <c r="I499" i="4"/>
  <c r="I351" i="4"/>
  <c r="I510" i="4"/>
  <c r="I519" i="4"/>
  <c r="I507" i="4"/>
  <c r="I533" i="4"/>
  <c r="I326" i="4"/>
  <c r="I547" i="4"/>
  <c r="I550" i="4"/>
  <c r="I327" i="4"/>
  <c r="I155" i="4"/>
  <c r="I559" i="4"/>
  <c r="I525" i="4"/>
  <c r="I568" i="4"/>
  <c r="I571" i="4"/>
  <c r="I354" i="4"/>
  <c r="I595" i="4"/>
  <c r="I19" i="4"/>
  <c r="I121" i="4"/>
  <c r="J565" i="4" l="1"/>
  <c r="K565" i="4" s="1"/>
  <c r="I565" i="4"/>
  <c r="G106" i="5"/>
</calcChain>
</file>

<file path=xl/sharedStrings.xml><?xml version="1.0" encoding="utf-8"?>
<sst xmlns="http://schemas.openxmlformats.org/spreadsheetml/2006/main" count="2903" uniqueCount="378">
  <si>
    <t>Supranumero</t>
  </si>
  <si>
    <t>Descripcion</t>
  </si>
  <si>
    <t>09.01.01</t>
  </si>
  <si>
    <t>02.01.02</t>
  </si>
  <si>
    <t>Mejoras a Tiendas y Áreas de Apoyo</t>
  </si>
  <si>
    <t>17.01.25</t>
  </si>
  <si>
    <t>Equipos de panaderia</t>
  </si>
  <si>
    <t>10.01.01</t>
  </si>
  <si>
    <t>Neveras</t>
  </si>
  <si>
    <t>10.02.03</t>
  </si>
  <si>
    <t>Racks de refrigeración y chillers</t>
  </si>
  <si>
    <t>06.02.01</t>
  </si>
  <si>
    <t>Carros</t>
  </si>
  <si>
    <t>13.02.01</t>
  </si>
  <si>
    <t>Carritos de tienda</t>
  </si>
  <si>
    <t>Imprevisto</t>
  </si>
  <si>
    <t>08.01.01</t>
  </si>
  <si>
    <t>Plantas eléctricas y sub estaciones</t>
  </si>
  <si>
    <t>13.01.10</t>
  </si>
  <si>
    <t>Decoración de tienda</t>
  </si>
  <si>
    <t>17.01.07</t>
  </si>
  <si>
    <t>Hornos de pan</t>
  </si>
  <si>
    <t>07.03.01</t>
  </si>
  <si>
    <t>Montacargas y plataformas</t>
  </si>
  <si>
    <t>08.03.04</t>
  </si>
  <si>
    <t>Instalaciones Electricas</t>
  </si>
  <si>
    <t>08.02.01</t>
  </si>
  <si>
    <t>Luminarias</t>
  </si>
  <si>
    <t>13.01.13</t>
  </si>
  <si>
    <t>Muebles de tienda</t>
  </si>
  <si>
    <t>Centro</t>
  </si>
  <si>
    <t>Formato</t>
  </si>
  <si>
    <t>Plan (RD$)</t>
  </si>
  <si>
    <t>Real (RD$)</t>
  </si>
  <si>
    <t>Comprometido (RD$)</t>
  </si>
  <si>
    <t>Ejecutado Total (RD$)</t>
  </si>
  <si>
    <t>Pendiente (RD$)</t>
  </si>
  <si>
    <t>% Ejecucion</t>
  </si>
  <si>
    <t>Estatus</t>
  </si>
  <si>
    <t>PA01</t>
  </si>
  <si>
    <t>Planta Panificadora</t>
  </si>
  <si>
    <t>CO01</t>
  </si>
  <si>
    <t>Formato de Apoyo</t>
  </si>
  <si>
    <t>MC09</t>
  </si>
  <si>
    <t>La Sirena Region Oeste</t>
  </si>
  <si>
    <t>MC18</t>
  </si>
  <si>
    <t>La Sirena Region Norte</t>
  </si>
  <si>
    <t>MC15</t>
  </si>
  <si>
    <t>LS02</t>
  </si>
  <si>
    <t>MC13</t>
  </si>
  <si>
    <t>A027</t>
  </si>
  <si>
    <t>Aprezio Region Central</t>
  </si>
  <si>
    <t>SP05</t>
  </si>
  <si>
    <t>Super Pola</t>
  </si>
  <si>
    <t>MC07</t>
  </si>
  <si>
    <t>La Sirena Region Este</t>
  </si>
  <si>
    <t>A012</t>
  </si>
  <si>
    <t>A003</t>
  </si>
  <si>
    <t>A004</t>
  </si>
  <si>
    <t>A006</t>
  </si>
  <si>
    <t>Aprezio Region Este</t>
  </si>
  <si>
    <t>A008</t>
  </si>
  <si>
    <t>A009</t>
  </si>
  <si>
    <t>A002</t>
  </si>
  <si>
    <t>A001</t>
  </si>
  <si>
    <t>Aprezio Region Norte</t>
  </si>
  <si>
    <t>MC02</t>
  </si>
  <si>
    <t>AF01</t>
  </si>
  <si>
    <t>Alm. Activos Fijos</t>
  </si>
  <si>
    <t>MC01</t>
  </si>
  <si>
    <t>MC06</t>
  </si>
  <si>
    <t>13.03.04</t>
  </si>
  <si>
    <t>Ascensores de tienda</t>
  </si>
  <si>
    <t>CD01</t>
  </si>
  <si>
    <t>Logistica</t>
  </si>
  <si>
    <t>13.03.02</t>
  </si>
  <si>
    <t>Bumpers de tienda</t>
  </si>
  <si>
    <t>MC21</t>
  </si>
  <si>
    <t>MP03</t>
  </si>
  <si>
    <t>Multiplaza</t>
  </si>
  <si>
    <t>SP02</t>
  </si>
  <si>
    <t>MC17</t>
  </si>
  <si>
    <t>PR02</t>
  </si>
  <si>
    <t>Lavanderia Pressto</t>
  </si>
  <si>
    <t>MC22</t>
  </si>
  <si>
    <t>CFV1</t>
  </si>
  <si>
    <t>MC10</t>
  </si>
  <si>
    <t>SP04</t>
  </si>
  <si>
    <t>LS01</t>
  </si>
  <si>
    <t>MC11</t>
  </si>
  <si>
    <t>SP01</t>
  </si>
  <si>
    <t>MC08</t>
  </si>
  <si>
    <t>SP03</t>
  </si>
  <si>
    <t>MC05</t>
  </si>
  <si>
    <t>13.03.03</t>
  </si>
  <si>
    <t>Escaleras electricas y rampas</t>
  </si>
  <si>
    <t>MC16</t>
  </si>
  <si>
    <t>GA01</t>
  </si>
  <si>
    <t>PL01</t>
  </si>
  <si>
    <t>07.02.02</t>
  </si>
  <si>
    <t>Furgones secos</t>
  </si>
  <si>
    <t>mc25</t>
  </si>
  <si>
    <t>A010</t>
  </si>
  <si>
    <t>14.03.03</t>
  </si>
  <si>
    <t>Muelles niveladores</t>
  </si>
  <si>
    <t>CPT1</t>
  </si>
  <si>
    <t>17.01.06</t>
  </si>
  <si>
    <t>Hornos Rostizador</t>
  </si>
  <si>
    <t>PR08</t>
  </si>
  <si>
    <t>12.03.29</t>
  </si>
  <si>
    <t>Lavadora/secadora industrial</t>
  </si>
  <si>
    <t>17.01.15</t>
  </si>
  <si>
    <t>Fermentadoras</t>
  </si>
  <si>
    <t>MC23</t>
  </si>
  <si>
    <t>Sp05</t>
  </si>
  <si>
    <t>A020</t>
  </si>
  <si>
    <t>13.02.02</t>
  </si>
  <si>
    <t>Canastas de tienda</t>
  </si>
  <si>
    <t>14.01.01</t>
  </si>
  <si>
    <t>Compactadora de basura</t>
  </si>
  <si>
    <t>13.03.08</t>
  </si>
  <si>
    <t>Bombas de agua</t>
  </si>
  <si>
    <t>SP07</t>
  </si>
  <si>
    <t>A011</t>
  </si>
  <si>
    <t>A014</t>
  </si>
  <si>
    <t>A033</t>
  </si>
  <si>
    <t>A025</t>
  </si>
  <si>
    <t>A024</t>
  </si>
  <si>
    <t>14.03.01</t>
  </si>
  <si>
    <t>Estantes de cuartos fríos</t>
  </si>
  <si>
    <t>06.02.03</t>
  </si>
  <si>
    <t>Furgoneta</t>
  </si>
  <si>
    <t>MC19</t>
  </si>
  <si>
    <t>MC12</t>
  </si>
  <si>
    <t>08.03.02</t>
  </si>
  <si>
    <t>Paneles Electricos</t>
  </si>
  <si>
    <t>A005</t>
  </si>
  <si>
    <t>MC20</t>
  </si>
  <si>
    <t>17.01.05</t>
  </si>
  <si>
    <t>Rebanadoras</t>
  </si>
  <si>
    <t>SP08</t>
  </si>
  <si>
    <t>PR03</t>
  </si>
  <si>
    <t>05.01.03</t>
  </si>
  <si>
    <t>Mesas</t>
  </si>
  <si>
    <t>A007</t>
  </si>
  <si>
    <t>A015</t>
  </si>
  <si>
    <t>A016</t>
  </si>
  <si>
    <t>A019</t>
  </si>
  <si>
    <t>A023</t>
  </si>
  <si>
    <t>A026</t>
  </si>
  <si>
    <t>A030</t>
  </si>
  <si>
    <t>A032</t>
  </si>
  <si>
    <t>A037</t>
  </si>
  <si>
    <t>A038</t>
  </si>
  <si>
    <t>A039</t>
  </si>
  <si>
    <t>A040</t>
  </si>
  <si>
    <t>A042</t>
  </si>
  <si>
    <t>A029</t>
  </si>
  <si>
    <t>13.02.03</t>
  </si>
  <si>
    <t>Sillas de ruedas para compras</t>
  </si>
  <si>
    <t>14.01.02</t>
  </si>
  <si>
    <t>Compactadora de cartón</t>
  </si>
  <si>
    <t>03.03.09</t>
  </si>
  <si>
    <t>Radios de Comunicacion</t>
  </si>
  <si>
    <t>MC25</t>
  </si>
  <si>
    <t>A018</t>
  </si>
  <si>
    <t>Ls02</t>
  </si>
  <si>
    <t>13.03.07</t>
  </si>
  <si>
    <t>Lockers de empleados</t>
  </si>
  <si>
    <t>A022</t>
  </si>
  <si>
    <t>A034</t>
  </si>
  <si>
    <t>17.01.24</t>
  </si>
  <si>
    <t>Purificadores de aguas</t>
  </si>
  <si>
    <t>MC04</t>
  </si>
  <si>
    <t>17.01.04</t>
  </si>
  <si>
    <t>Sierras de carne</t>
  </si>
  <si>
    <t>A031</t>
  </si>
  <si>
    <t>A035</t>
  </si>
  <si>
    <t>14.02.06</t>
  </si>
  <si>
    <t>Carritos de gondoleros</t>
  </si>
  <si>
    <t>17.02.02</t>
  </si>
  <si>
    <t>Carros de panaderia</t>
  </si>
  <si>
    <t>MC14</t>
  </si>
  <si>
    <t>MC03</t>
  </si>
  <si>
    <t>CT01</t>
  </si>
  <si>
    <t>14.01.03</t>
  </si>
  <si>
    <t>Pallet Jack</t>
  </si>
  <si>
    <t>PR11</t>
  </si>
  <si>
    <t>PR13</t>
  </si>
  <si>
    <t>10.02.05</t>
  </si>
  <si>
    <t>Puertas vaivén</t>
  </si>
  <si>
    <t>A036</t>
  </si>
  <si>
    <t>A028</t>
  </si>
  <si>
    <t>12.02.02</t>
  </si>
  <si>
    <t>Empacadoras al vacio</t>
  </si>
  <si>
    <t>17.02.01</t>
  </si>
  <si>
    <t>Carros de carniceria</t>
  </si>
  <si>
    <t>PR05</t>
  </si>
  <si>
    <t>09.02.01</t>
  </si>
  <si>
    <t>Extractores e inyectores</t>
  </si>
  <si>
    <t>08.01.03</t>
  </si>
  <si>
    <t>Inversor</t>
  </si>
  <si>
    <t>17.01.22</t>
  </si>
  <si>
    <t>Tenderizadoras</t>
  </si>
  <si>
    <t>A013</t>
  </si>
  <si>
    <t>12.02.01</t>
  </si>
  <si>
    <t>Rapeadoras</t>
  </si>
  <si>
    <t>SP09</t>
  </si>
  <si>
    <t>13.03.05</t>
  </si>
  <si>
    <t>Equipos de tienda</t>
  </si>
  <si>
    <t>MC26</t>
  </si>
  <si>
    <t>11.01.03</t>
  </si>
  <si>
    <t>Candados de seguridad</t>
  </si>
  <si>
    <t>17.01.02</t>
  </si>
  <si>
    <t>Molinos de carnes</t>
  </si>
  <si>
    <t>A021</t>
  </si>
  <si>
    <t>A041</t>
  </si>
  <si>
    <t>A044</t>
  </si>
  <si>
    <t>SP06</t>
  </si>
  <si>
    <t>17.01.03</t>
  </si>
  <si>
    <t>Molinos ralladores de pan</t>
  </si>
  <si>
    <t>10.02.02</t>
  </si>
  <si>
    <t>Evaporadores</t>
  </si>
  <si>
    <t>05.01.02</t>
  </si>
  <si>
    <t>Sillas</t>
  </si>
  <si>
    <t>MC24</t>
  </si>
  <si>
    <t>05.02.01</t>
  </si>
  <si>
    <t>Contadora de billetes y monedas</t>
  </si>
  <si>
    <t>MC27</t>
  </si>
  <si>
    <t>a028</t>
  </si>
  <si>
    <t>11.01.01</t>
  </si>
  <si>
    <t>Cajas fuertes</t>
  </si>
  <si>
    <t>SP10</t>
  </si>
  <si>
    <t>Aires Acondicionados</t>
  </si>
  <si>
    <t>14.03.02</t>
  </si>
  <si>
    <t>Tramerías de almacén</t>
  </si>
  <si>
    <t>17.01.21</t>
  </si>
  <si>
    <t>Equipos y utensilios de cocina</t>
  </si>
  <si>
    <t>SIN SUPRA</t>
  </si>
  <si>
    <t>Sin plan / sin clasificar</t>
  </si>
  <si>
    <t>03.04.05</t>
  </si>
  <si>
    <t>HandHelds y accesorios</t>
  </si>
  <si>
    <t>09.01.03</t>
  </si>
  <si>
    <t>Aire Acondicionado split</t>
  </si>
  <si>
    <t>07.01.01</t>
  </si>
  <si>
    <t>Camiones</t>
  </si>
  <si>
    <t>07.01.02</t>
  </si>
  <si>
    <t>Cabezotes</t>
  </si>
  <si>
    <t>03.04.02</t>
  </si>
  <si>
    <t>Scanners de Checkout y de mesa</t>
  </si>
  <si>
    <t>02.03.01</t>
  </si>
  <si>
    <t>Edificios y mejoras arrendados</t>
  </si>
  <si>
    <t>12.01.01</t>
  </si>
  <si>
    <t>Balanzas</t>
  </si>
  <si>
    <t>13.01.08</t>
  </si>
  <si>
    <t>Góndolas</t>
  </si>
  <si>
    <t>03.02.06</t>
  </si>
  <si>
    <t>Impresoras y Multifuncionales</t>
  </si>
  <si>
    <t>11.02.04</t>
  </si>
  <si>
    <t>Bomba jockey</t>
  </si>
  <si>
    <t>08.03.03</t>
  </si>
  <si>
    <t>Banco de Capacitores</t>
  </si>
  <si>
    <t>11.02.05</t>
  </si>
  <si>
    <t>Sistema de supresion de incendios</t>
  </si>
  <si>
    <t>02.01.01</t>
  </si>
  <si>
    <t>Tiendas</t>
  </si>
  <si>
    <t>05.01.01</t>
  </si>
  <si>
    <t>Escritorios</t>
  </si>
  <si>
    <t>17.01.19</t>
  </si>
  <si>
    <t>Procesador de alimentos y vegetales</t>
  </si>
  <si>
    <t>CT02</t>
  </si>
  <si>
    <t>11.01.02</t>
  </si>
  <si>
    <t>Camaras de seguridad y CCTV</t>
  </si>
  <si>
    <t>11.02.03</t>
  </si>
  <si>
    <t>Motobomba SCI</t>
  </si>
  <si>
    <t>11.01.04</t>
  </si>
  <si>
    <t>Equipos de Seguridad</t>
  </si>
  <si>
    <t>08.03.01</t>
  </si>
  <si>
    <t>Transformadores</t>
  </si>
  <si>
    <t>12.03.33</t>
  </si>
  <si>
    <t>Planchas Industriales y accesorios</t>
  </si>
  <si>
    <t>12.03.35</t>
  </si>
  <si>
    <t>Generadores de vapor</t>
  </si>
  <si>
    <t>13.01.04</t>
  </si>
  <si>
    <t>Muebles de panaderia</t>
  </si>
  <si>
    <t>13.01.05</t>
  </si>
  <si>
    <t>Muebles de vegetales</t>
  </si>
  <si>
    <t>09.01.02</t>
  </si>
  <si>
    <t>Cortinas de aire</t>
  </si>
  <si>
    <t>MC31</t>
  </si>
  <si>
    <t>SP13</t>
  </si>
  <si>
    <t>10.02.01</t>
  </si>
  <si>
    <t>Paneles de cuarto frio</t>
  </si>
  <si>
    <t>12.03.26</t>
  </si>
  <si>
    <t>Equipos tratamiento y purificacion de aguas</t>
  </si>
  <si>
    <t>11.02.01</t>
  </si>
  <si>
    <t>Sistemas contra incendio</t>
  </si>
  <si>
    <t>TOTAL</t>
  </si>
  <si>
    <t>Balanza</t>
  </si>
  <si>
    <t>Aires acondicionados</t>
  </si>
  <si>
    <t>Silla de ocmpra</t>
  </si>
  <si>
    <t>Carros d ecompra</t>
  </si>
  <si>
    <t xml:space="preserve">Evaporador </t>
  </si>
  <si>
    <t>Evaporador</t>
  </si>
  <si>
    <t>Accesorios para hornos</t>
  </si>
  <si>
    <t>Hornos</t>
  </si>
  <si>
    <t>Carros de compra</t>
  </si>
  <si>
    <t>Microondas</t>
  </si>
  <si>
    <t>UPS</t>
  </si>
  <si>
    <t>Paneles de control</t>
  </si>
  <si>
    <t>Dispensador de funda</t>
  </si>
  <si>
    <t>PLATAFOMA DE METAL 130X20X100 CM</t>
  </si>
  <si>
    <t>Calderos</t>
  </si>
  <si>
    <t>Handhelds</t>
  </si>
  <si>
    <t>Recogida de basura</t>
  </si>
  <si>
    <t>Compactadora rieles</t>
  </si>
  <si>
    <t xml:space="preserve">Scanner de tecnologia </t>
  </si>
  <si>
    <t>Instalacion de hornos</t>
  </si>
  <si>
    <t>Instalacion de aires</t>
  </si>
  <si>
    <t>Montacargas</t>
  </si>
  <si>
    <t xml:space="preserve">Pintura </t>
  </si>
  <si>
    <t>Status:</t>
  </si>
  <si>
    <t>Páginas:</t>
  </si>
  <si>
    <t>Solicitado por:</t>
  </si>
  <si>
    <t>Órdenes</t>
  </si>
  <si>
    <t xml:space="preserve">    Presup.</t>
  </si>
  <si>
    <t xml:space="preserve">     Real</t>
  </si>
  <si>
    <t xml:space="preserve">  Compromet.</t>
  </si>
  <si>
    <t xml:space="preserve">   Asignado</t>
  </si>
  <si>
    <t xml:space="preserve">  Disponible</t>
  </si>
  <si>
    <t xml:space="preserve">    MECCMP03  CAPEX - Continuidad - MP03</t>
  </si>
  <si>
    <t xml:space="preserve">    MECCMC01  CAPEX - Continuidad - MC01</t>
  </si>
  <si>
    <t xml:space="preserve">    MECCMC05  CAPEX - Continuidad - MC05</t>
  </si>
  <si>
    <t xml:space="preserve">    MECCMC08  CAPEX - Continuidad - MC08</t>
  </si>
  <si>
    <t xml:space="preserve">    MECCMC09  CAPEX - Continuidad - MC09</t>
  </si>
  <si>
    <t xml:space="preserve">    MECCMC13  CAPEX - Continuidad - MC13</t>
  </si>
  <si>
    <t xml:space="preserve">    MECCMC15  CAPEX - Continuidad - MC15</t>
  </si>
  <si>
    <t xml:space="preserve">    MECCMC20  CAPEX - Continuidad - MC20</t>
  </si>
  <si>
    <t xml:space="preserve">    MECCMC23  CAPEX - Continuidad - MC23</t>
  </si>
  <si>
    <t xml:space="preserve">    MECCMC26  CAPEX - Continuidad - MC26</t>
  </si>
  <si>
    <t xml:space="preserve">    MECCLS02  CAPEX - Continuidad - LS02</t>
  </si>
  <si>
    <t xml:space="preserve">    MECCMC02  CAPEX - Continuidad - MC02</t>
  </si>
  <si>
    <t xml:space="preserve">    MECCMC04  CAPEX - Continuidad - MC04</t>
  </si>
  <si>
    <t xml:space="preserve">    MECCMC11  CAPEX - Continuidad - MC11</t>
  </si>
  <si>
    <t xml:space="preserve">    MECCMC12  CAPEX - Continuidad - MC12</t>
  </si>
  <si>
    <t xml:space="preserve">    MECCMC14  CAPEX - Continuidad - MC14</t>
  </si>
  <si>
    <t xml:space="preserve">    MECCMC18  CAPEX - Continuidad - MC18</t>
  </si>
  <si>
    <t xml:space="preserve">    MECCMC22  CAPEX - Continuidad - MC22</t>
  </si>
  <si>
    <t xml:space="preserve">    MECCMC25  CAPEX - Continuidad - MC25</t>
  </si>
  <si>
    <t xml:space="preserve">    MECCMC24  CAPEX - Continuidad - MC24</t>
  </si>
  <si>
    <t xml:space="preserve">    MECCMC31  CAPEX - Continuidad - MC31</t>
  </si>
  <si>
    <t xml:space="preserve">    MECCLS01  CAPEX - Continuidad - LS01</t>
  </si>
  <si>
    <t xml:space="preserve">    MECCMC03  CAPEX - Continuidad - MC03</t>
  </si>
  <si>
    <t xml:space="preserve">    MECCMC06  CAPEX - Continuidad - MC06</t>
  </si>
  <si>
    <t xml:space="preserve">    MECCMC07  CAPEX - Continuidad - MC07</t>
  </si>
  <si>
    <t xml:space="preserve">    MECCMC10  CAPEX - Continuidad - MC10</t>
  </si>
  <si>
    <t xml:space="preserve">    MECCMC16  CAPEX - Continuidad - MC16</t>
  </si>
  <si>
    <t xml:space="preserve">    MECCMC17  CAPEX - Continuidad - MC17</t>
  </si>
  <si>
    <t xml:space="preserve">    MECCMC19  CAPEX - Continuidad - MC19</t>
  </si>
  <si>
    <t xml:space="preserve">    MECCMC21  CAPEX - Continuidad - MC21</t>
  </si>
  <si>
    <t xml:space="preserve">    MECCMC27  CAPEX - Continuidad - MC27</t>
  </si>
  <si>
    <t xml:space="preserve">    MECCSP01  CAPEX - Continuidad - SP01</t>
  </si>
  <si>
    <t xml:space="preserve">    MECCSP02  CAPEX - Continuidad - SP02</t>
  </si>
  <si>
    <t xml:space="preserve">    MECCSP03  CAPEX - Continuidad - SP03</t>
  </si>
  <si>
    <t xml:space="preserve">    MECCSP04  CAPEX - Continuidad - SP04</t>
  </si>
  <si>
    <t xml:space="preserve">    MECCSP05  CAPEX - Continuidad - SP05</t>
  </si>
  <si>
    <t xml:space="preserve">    MECCSP06  CAPEX - Continuidad - SP06</t>
  </si>
  <si>
    <t xml:space="preserve">    MECCSP07  CAPEX - Continuidad - SP07</t>
  </si>
  <si>
    <t xml:space="preserve">    MECCSP08  CAPEX - Continuidad - SP08</t>
  </si>
  <si>
    <t xml:space="preserve">    MECCSP09  CAPEX - Continuidad - SP09</t>
  </si>
  <si>
    <t xml:space="preserve">    MECCSP10  CAPEX - Continuidad - SP10</t>
  </si>
  <si>
    <t xml:space="preserve">    MECCSP13  CAPEX - Continuidad - SP13</t>
  </si>
  <si>
    <t>Sirena</t>
  </si>
  <si>
    <t xml:space="preserve">Tanque de presion </t>
  </si>
  <si>
    <t>Zafacon</t>
  </si>
  <si>
    <t>Ventiladores</t>
  </si>
  <si>
    <t xml:space="preserve">Paneles    </t>
  </si>
  <si>
    <t>Paneles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</si>
</sst>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%"/>
    <numFmt numFmtId="165" formatCode="\$#,##0;&quot;($&quot;#,##0\);\-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theme="7"/>
        <bgColor rgb="FFF9F9F9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165" fontId="3" fillId="3" borderId="0" xfId="0" applyNumberFormat="1" applyFont="1" applyFill="1"/>
    <xf numFmtId="164" fontId="3" fillId="3" borderId="0" xfId="0" applyNumberFormat="1" applyFont="1" applyFill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4" fontId="0" fillId="0" borderId="0" xfId="0" applyNumberFormat="1"/>
    <xf numFmtId="44" fontId="1" fillId="0" borderId="0" xfId="1"/>
    <xf numFmtId="0" fontId="3" fillId="4" borderId="0" xfId="0" applyFont="1" applyFill="1"/>
    <xf numFmtId="165" fontId="3" fillId="4" borderId="0" xfId="0" applyNumberFormat="1" applyFont="1" applyFill="1"/>
    <xf numFmtId="164" fontId="3" fillId="4" borderId="0" xfId="0" applyNumberFormat="1" applyFont="1" applyFill="1"/>
    <xf numFmtId="0" fontId="0" fillId="5" borderId="0" xfId="0" applyFill="1"/>
    <xf numFmtId="0" fontId="3" fillId="5" borderId="0" xfId="0" applyFont="1" applyFill="1"/>
    <xf numFmtId="165" fontId="3" fillId="5" borderId="0" xfId="0" applyNumberFormat="1" applyFont="1" applyFill="1"/>
    <xf numFmtId="164" fontId="3" fillId="5" borderId="0" xfId="0" applyNumberFormat="1" applyFont="1" applyFill="1"/>
    <xf numFmtId="0" fontId="3" fillId="6" borderId="0" xfId="0" applyFont="1" applyFill="1"/>
    <xf numFmtId="44" fontId="1" fillId="7" borderId="0" xfId="1" applyFill="1"/>
    <xf numFmtId="0" fontId="3" fillId="7" borderId="0" xfId="0" applyFont="1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44" fontId="1" fillId="8" borderId="0" xfId="1" applyFill="1"/>
    <xf numFmtId="44" fontId="0" fillId="0" borderId="0" xfId="0" applyNumberFormat="1"/>
    <xf numFmtId="0" fontId="0" fillId="8" borderId="0" xfId="0" applyFill="1"/>
    <xf numFmtId="4" fontId="0" fillId="8" borderId="0" xfId="0" applyNumberFormat="1" applyFill="1"/>
    <xf numFmtId="44" fontId="1" fillId="0" borderId="0" xfId="1" applyAlignment="1">
      <alignment wrapText="1"/>
    </xf>
    <xf numFmtId="0" fontId="0" fillId="0" borderId="1" xfId="0" applyBorder="1"/>
    <xf numFmtId="4" fontId="0" fillId="0" borderId="1" xfId="0" applyNumberFormat="1" applyBorder="1"/>
  </cellXfs>
  <cellStyles count="2">
    <cellStyle name="Moneda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D4A017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273569</xdr:colOff>
      <xdr:row>2</xdr:row>
      <xdr:rowOff>9525</xdr:rowOff>
    </xdr:from>
    <xdr:to>
      <xdr:col>14</xdr:col>
      <xdr:colOff>256208</xdr:colOff>
      <xdr:row>27</xdr:row>
      <xdr:rowOff>74050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2869D4-8E60-6F25-CE52-B2B3E4E5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69" y="371475"/>
          <a:ext cx="9888639" cy="45889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7</xdr:row>
      <xdr:rowOff>123825</xdr:rowOff>
    </xdr:from>
    <xdr:to>
      <xdr:col>33</xdr:col>
      <xdr:colOff>303873</xdr:colOff>
      <xdr:row>29</xdr:row>
      <xdr:rowOff>124381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B9F6FE-212C-1ACF-B715-DF169AE0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4025" y="1390650"/>
          <a:ext cx="16105848" cy="39820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60BD5-C847-44DB-A25C-3CF1AA1D4932}" name="Tabla2" displayName="Tabla2" ref="A1:K671" totalsRowShown="0" headerRowDxfId="16">
  <autoFilter ref="A1:K671" xr:uid="{00000000-0001-0000-0300-000000000000}"/>
  <sortState xmlns:xlrd2="http://schemas.microsoft.com/office/spreadsheetml/2017/richdata2" ref="A10:K646">
    <sortCondition ref="A1:A663"/>
  </sortState>
  <tableColumns count="11">
    <tableColumn id="1" xr3:uid="{B47C318B-10DE-48AC-B4A8-CF26F8AA5576}" name="Centro"/>
    <tableColumn id="2" xr3:uid="{AFB972F2-F9E8-42AE-996D-ACAEA6BDECEF}" name="Formato"/>
    <tableColumn id="3" xr3:uid="{977E878C-52BF-41BA-8118-9B4631CF137D}" name="Supranumero"/>
    <tableColumn id="4" xr3:uid="{37D7F9C3-58C4-4A19-B335-94926F51603E}" name="Descripcion" dataDxfId="5" totalsRowDxfId="4"/>
    <tableColumn id="5" xr3:uid="{2DC1D995-EE97-497D-BC5B-F08DCF9E2EFA}" name="Plan (RD$)" totalsRowDxfId="3" dataCellStyle="Moneda"/>
    <tableColumn id="6" xr3:uid="{F4A49071-69F9-43CF-A947-9AB5EA22453A}" name="Real (RD$)" totalsRowDxfId="2" dataCellStyle="Moneda"/>
    <tableColumn id="7" xr3:uid="{4A7AB0F9-51B9-4970-B28E-44B7273AB5FF}" name="Comprometido (RD$)" totalsRowDxfId="1" dataCellStyle="Moneda"/>
    <tableColumn id="8" xr3:uid="{753299C7-14DE-499E-B2CC-2A2F95462897}" name="Ejecutado Total (RD$)" totalsRowDxfId="0" dataCellStyle="Moneda"/>
    <tableColumn id="9" xr3:uid="{A8A96DA3-9673-450E-B771-1D1711AC5F68}" name="Pendiente (RD$)"/>
    <tableColumn id="10" xr3:uid="{D4BBF160-8AC1-406E-8BFE-E36B107597EB}" name="% Ejecucion"/>
    <tableColumn id="11" xr3:uid="{7F2F983A-ECD0-4FEC-A90B-FB240C15181B}" name="E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4C864-3CC9-44D9-9922-5407D9CE1052}" name="Tabla1" displayName="Tabla1" ref="B14:G57" totalsRowCount="1">
  <autoFilter ref="B14:G56" xr:uid="{9084C864-3CC9-44D9-9922-5407D9CE1052}"/>
  <tableColumns count="6">
    <tableColumn id="1" xr3:uid="{19E0BCE3-1A18-4FF0-BEAC-901A2E489D05}" name="Órdenes"/>
    <tableColumn id="2" xr3:uid="{F8A22930-B388-4D50-8193-7EDC1C920253}" name="    Presup." totalsRowFunction="sum" dataDxfId="15" totalsRowDxfId="14"/>
    <tableColumn id="3" xr3:uid="{1D5B5FBF-3745-4C2B-ADC2-AA60B8FD5C1E}" name="     Real" totalsRowFunction="sum" dataDxfId="13" totalsRowDxfId="12"/>
    <tableColumn id="4" xr3:uid="{025B6B89-F249-4C95-927A-3A27AA572E7F}" name="  Compromet." totalsRowFunction="custom" dataDxfId="11" totalsRowDxfId="10">
      <totalsRowFormula>+SUM(Tabla1[] Tabla1[  Compromet.] )</totalsRowFormula>
    </tableColumn>
    <tableColumn id="5" xr3:uid="{E2C68F8E-810F-4C0C-A0F8-B14EB7F3025B}" name="   Asignado" totalsRowFunction="custom" dataDxfId="9" totalsRowDxfId="8">
      <totalsRowFormula>+SUM(Tabla1[ [   Asignado] ])</totalsRowFormula>
    </tableColumn>
    <tableColumn id="6" xr3:uid="{BDA408E0-6C88-4D70-92FF-9A4FF5F7EB97}" name="  Disponible" totalsRowFunction="custom" dataDxfId="7" totalsRowDxfId="6">
      <totalsRowFormula>+SUM(Tabla1[ [  Disponible] 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W704"/>
  <sheetViews>
    <sheetView showGridLines="0" tabSelected="1" zoomScaleNormal="100" workbookViewId="0">
      <pane ySplit="1" topLeftCell="A652" activePane="bottomLeft" state="frozen"/>
      <selection pane="bottomLeft" activeCell="F664" sqref="F664"/>
    </sheetView>
  </sheetViews>
  <sheetFormatPr baseColWidth="10" defaultColWidth="8.6328125" defaultRowHeight="14.5" x14ac:dyDescent="0.35"/>
  <cols>
    <col min="1" max="1" width="10" customWidth="1"/>
    <col min="2" max="2" width="26" customWidth="1"/>
    <col min="3" max="3" width="14.7265625" customWidth="1"/>
    <col min="4" max="4" width="32" customWidth="1"/>
    <col min="5" max="6" width="16" style="12" customWidth="1"/>
    <col min="7" max="7" width="20.7265625" style="12" customWidth="1"/>
    <col min="8" max="8" width="21.453125" style="12" customWidth="1"/>
    <col min="9" max="9" width="16.81640625" customWidth="1"/>
    <col min="10" max="10" width="13.26953125" customWidth="1"/>
    <col min="11" max="11" width="23.26953125" customWidth="1"/>
  </cols>
  <sheetData>
    <row r="1" spans="1:11" ht="25" customHeight="1" x14ac:dyDescent="0.35">
      <c r="A1" s="1" t="s">
        <v>30</v>
      </c>
      <c r="B1" s="1" t="s">
        <v>31</v>
      </c>
      <c r="C1" s="1" t="s">
        <v>0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5">
      <c r="A2" s="2" t="s">
        <v>39</v>
      </c>
      <c r="B2" s="2" t="s">
        <v>40</v>
      </c>
      <c r="C2" s="2" t="s">
        <v>5</v>
      </c>
      <c r="D2" s="2" t="s">
        <v>6</v>
      </c>
      <c r="E2" s="12">
        <v>92681500</v>
      </c>
      <c r="F2" s="12">
        <v>10664351.040000001</v>
      </c>
      <c r="G2" s="12">
        <v>0</v>
      </c>
      <c r="H2" s="12">
        <f t="shared" ref="H2" si="0">F2+G2</f>
        <v>10664351.040000001</v>
      </c>
      <c r="I2" s="3">
        <f t="shared" ref="I2:I3" si="1">E2-H2</f>
        <v>82017148.959999993</v>
      </c>
      <c r="J2" s="4">
        <f t="shared" ref="J2:J3" si="2">IFERROR(H2/E2,0)</f>
        <v>0.11506450629305742</v>
      </c>
      <c r="K2" s="2" t="str">
        <f t="shared" ref="K2:K3" si="3">IF(E2=0,"Sin Plan",IF(J2&gt;=1,"Completado",IF(J2&gt;0.001,"En Progreso","Pendiente de ejecutar")))</f>
        <v>En Progreso</v>
      </c>
    </row>
    <row r="3" spans="1:11" x14ac:dyDescent="0.35">
      <c r="A3" s="5" t="s">
        <v>41</v>
      </c>
      <c r="B3" s="5" t="s">
        <v>42</v>
      </c>
      <c r="C3" s="5" t="s">
        <v>11</v>
      </c>
      <c r="D3" s="5" t="s">
        <v>12</v>
      </c>
      <c r="E3" s="12">
        <v>42400000</v>
      </c>
      <c r="F3" s="12">
        <v>15974744.48</v>
      </c>
      <c r="G3" s="12">
        <v>3959653.64</v>
      </c>
      <c r="H3" s="12" t="e">
        <f>F3+#REF!</f>
        <v>#REF!</v>
      </c>
      <c r="I3" s="6" t="e">
        <f t="shared" si="1"/>
        <v>#REF!</v>
      </c>
      <c r="J3" s="7">
        <f t="shared" si="2"/>
        <v>0</v>
      </c>
      <c r="K3" s="5" t="str">
        <f t="shared" si="3"/>
        <v>Pendiente de ejecutar</v>
      </c>
    </row>
    <row r="4" spans="1:11" x14ac:dyDescent="0.35">
      <c r="A4" s="2" t="s">
        <v>69</v>
      </c>
      <c r="B4" s="2" t="s">
        <v>44</v>
      </c>
      <c r="C4" s="2" t="s">
        <v>13</v>
      </c>
      <c r="D4" s="2" t="s">
        <v>14</v>
      </c>
      <c r="E4" s="12">
        <v>7950000</v>
      </c>
      <c r="F4" s="12">
        <v>0</v>
      </c>
      <c r="G4" s="12">
        <v>0</v>
      </c>
      <c r="H4" s="12">
        <f t="shared" ref="H4:H9" si="4">F4+G4</f>
        <v>0</v>
      </c>
      <c r="I4" s="3">
        <f t="shared" ref="I4:I9" si="5">E4-H4</f>
        <v>7950000</v>
      </c>
      <c r="J4" s="4">
        <f t="shared" ref="J4:J9" si="6">IFERROR(H4/E4,0)</f>
        <v>0</v>
      </c>
      <c r="K4" s="2" t="str">
        <f t="shared" ref="K4:K9" si="7">IF(E4=0,"Sin Plan",IF(J4&gt;=1,"Completado",IF(J4&gt;0.001,"En Progreso","Pendiente de ejecutar")))</f>
        <v>Pendiente de ejecutar</v>
      </c>
    </row>
    <row r="5" spans="1:11" x14ac:dyDescent="0.35">
      <c r="A5" s="5" t="s">
        <v>41</v>
      </c>
      <c r="B5" s="5" t="s">
        <v>42</v>
      </c>
      <c r="C5" s="5" t="s">
        <v>15</v>
      </c>
      <c r="D5" s="5"/>
      <c r="E5" s="12">
        <v>26000000</v>
      </c>
      <c r="F5" s="12">
        <v>0</v>
      </c>
      <c r="G5" s="12">
        <v>0</v>
      </c>
      <c r="H5" s="12">
        <f t="shared" si="4"/>
        <v>0</v>
      </c>
      <c r="I5" s="6">
        <f t="shared" si="5"/>
        <v>26000000</v>
      </c>
      <c r="J5" s="7">
        <f t="shared" si="6"/>
        <v>0</v>
      </c>
      <c r="K5" s="5" t="str">
        <f t="shared" si="7"/>
        <v>Pendiente de ejecutar</v>
      </c>
    </row>
    <row r="6" spans="1:11" x14ac:dyDescent="0.35">
      <c r="A6" s="2" t="s">
        <v>48</v>
      </c>
      <c r="B6" s="2" t="s">
        <v>46</v>
      </c>
      <c r="C6" s="2" t="s">
        <v>2</v>
      </c>
      <c r="D6" s="2" t="s">
        <v>299</v>
      </c>
      <c r="E6" s="12">
        <v>15100000</v>
      </c>
      <c r="F6" s="12">
        <f>4120271.88*2</f>
        <v>8240543.7599999998</v>
      </c>
      <c r="G6" s="12">
        <v>0</v>
      </c>
      <c r="H6" s="12">
        <f t="shared" si="4"/>
        <v>8240543.7599999998</v>
      </c>
      <c r="I6" s="3">
        <f t="shared" si="5"/>
        <v>6859456.2400000002</v>
      </c>
      <c r="J6" s="4">
        <f t="shared" si="6"/>
        <v>0.54573137483443712</v>
      </c>
      <c r="K6" s="2" t="str">
        <f t="shared" si="7"/>
        <v>En Progreso</v>
      </c>
    </row>
    <row r="7" spans="1:11" x14ac:dyDescent="0.35">
      <c r="A7" s="5" t="s">
        <v>69</v>
      </c>
      <c r="B7" s="5" t="s">
        <v>44</v>
      </c>
      <c r="C7" s="5" t="s">
        <v>71</v>
      </c>
      <c r="D7" s="5" t="s">
        <v>72</v>
      </c>
      <c r="E7" s="12">
        <v>7307000</v>
      </c>
      <c r="F7" s="12">
        <v>0</v>
      </c>
      <c r="G7" s="12">
        <v>9217603.9199999999</v>
      </c>
      <c r="H7" s="12">
        <f t="shared" si="4"/>
        <v>9217603.9199999999</v>
      </c>
      <c r="I7" s="3">
        <f t="shared" si="5"/>
        <v>-1910603.92</v>
      </c>
      <c r="J7" s="7">
        <f t="shared" si="6"/>
        <v>1.2614758341316545</v>
      </c>
      <c r="K7" s="5" t="str">
        <f t="shared" si="7"/>
        <v>Completado</v>
      </c>
    </row>
    <row r="8" spans="1:11" x14ac:dyDescent="0.35">
      <c r="A8" s="2" t="s">
        <v>48</v>
      </c>
      <c r="B8" s="2" t="s">
        <v>46</v>
      </c>
      <c r="C8" s="2" t="s">
        <v>3</v>
      </c>
      <c r="D8" s="2" t="s">
        <v>4</v>
      </c>
      <c r="E8" s="12">
        <v>6080000</v>
      </c>
      <c r="F8" s="12">
        <v>0</v>
      </c>
      <c r="G8" s="12">
        <v>3139000</v>
      </c>
      <c r="H8" s="12">
        <f t="shared" si="4"/>
        <v>3139000</v>
      </c>
      <c r="I8" s="3">
        <f t="shared" si="5"/>
        <v>2941000</v>
      </c>
      <c r="J8" s="4">
        <f t="shared" si="6"/>
        <v>0.51628289473684208</v>
      </c>
      <c r="K8" s="2" t="str">
        <f t="shared" si="7"/>
        <v>En Progreso</v>
      </c>
    </row>
    <row r="9" spans="1:11" x14ac:dyDescent="0.35">
      <c r="A9" s="5" t="s">
        <v>69</v>
      </c>
      <c r="B9" s="5" t="s">
        <v>44</v>
      </c>
      <c r="C9" s="5" t="s">
        <v>160</v>
      </c>
      <c r="D9" s="5" t="s">
        <v>161</v>
      </c>
      <c r="E9" s="12">
        <v>640000</v>
      </c>
      <c r="F9" s="12">
        <v>581133.9</v>
      </c>
      <c r="G9" s="12">
        <v>0</v>
      </c>
      <c r="H9" s="12">
        <f t="shared" si="4"/>
        <v>581133.9</v>
      </c>
      <c r="I9" s="3">
        <f t="shared" si="5"/>
        <v>58866.099999999977</v>
      </c>
      <c r="J9" s="7">
        <f t="shared" si="6"/>
        <v>0.90802171875000004</v>
      </c>
      <c r="K9" s="5" t="str">
        <f t="shared" si="7"/>
        <v>En Progreso</v>
      </c>
    </row>
    <row r="10" spans="1:11" x14ac:dyDescent="0.35">
      <c r="A10" s="2" t="s">
        <v>64</v>
      </c>
      <c r="B10" s="2" t="s">
        <v>65</v>
      </c>
      <c r="C10" s="2" t="s">
        <v>7</v>
      </c>
      <c r="D10" s="2" t="s">
        <v>8</v>
      </c>
      <c r="F10" s="12">
        <v>0</v>
      </c>
      <c r="G10" s="12">
        <v>0</v>
      </c>
      <c r="H10" s="12">
        <f>F10+G10</f>
        <v>0</v>
      </c>
      <c r="I10" s="3">
        <f>E17-H10</f>
        <v>11382000</v>
      </c>
      <c r="J10" s="4">
        <f>IFERROR(H10/E17,0)</f>
        <v>0</v>
      </c>
      <c r="K10" s="2" t="str">
        <f>IF(E17=0,"Sin Plan",IF(J10&gt;=1,"Completado",IF(J10&gt;0.001,"En Progreso","Pendiente de ejecutar")))</f>
        <v>Pendiente de ejecutar</v>
      </c>
    </row>
    <row r="11" spans="1:11" x14ac:dyDescent="0.35">
      <c r="A11" s="5" t="s">
        <v>90</v>
      </c>
      <c r="B11" s="5" t="s">
        <v>53</v>
      </c>
      <c r="C11" s="5" t="s">
        <v>3</v>
      </c>
      <c r="D11" s="5" t="s">
        <v>4</v>
      </c>
      <c r="E11" s="12">
        <v>4000000</v>
      </c>
      <c r="F11" s="12">
        <v>0</v>
      </c>
      <c r="G11" s="12">
        <v>1961057.54</v>
      </c>
      <c r="H11" s="12">
        <f>F11+G11</f>
        <v>1961057.54</v>
      </c>
      <c r="I11" s="6">
        <f>E11-H11</f>
        <v>2038942.46</v>
      </c>
      <c r="J11" s="7">
        <f>IFERROR(H11/E11,0)</f>
        <v>0.49026438500000002</v>
      </c>
      <c r="K11" s="5" t="str">
        <f>IF(E11=0,"Sin Plan",IF(J11&gt;=1,"Completado",IF(J11&gt;0.001,"En Progreso","Pendiente de ejecutar")))</f>
        <v>En Progreso</v>
      </c>
    </row>
    <row r="12" spans="1:11" x14ac:dyDescent="0.35">
      <c r="A12" s="2" t="s">
        <v>88</v>
      </c>
      <c r="B12" s="2" t="s">
        <v>55</v>
      </c>
      <c r="C12" s="2" t="s">
        <v>3</v>
      </c>
      <c r="D12" s="2" t="s">
        <v>4</v>
      </c>
      <c r="E12" s="12">
        <v>4275000</v>
      </c>
      <c r="F12" s="12">
        <v>0</v>
      </c>
      <c r="G12" s="12">
        <v>1675080</v>
      </c>
      <c r="H12" s="12">
        <f>F12+G12</f>
        <v>1675080</v>
      </c>
      <c r="I12" s="3">
        <f>E12-H12</f>
        <v>2599920</v>
      </c>
      <c r="J12" s="4">
        <f>IFERROR(H12/E12,0)</f>
        <v>0.39183157894736842</v>
      </c>
      <c r="K12" s="2" t="str">
        <f>IF(E12=0,"Sin Plan",IF(J12&gt;=1,"Completado",IF(J12&gt;0.001,"En Progreso","Pendiente de ejecutar")))</f>
        <v>En Progreso</v>
      </c>
    </row>
    <row r="13" spans="1:11" x14ac:dyDescent="0.35">
      <c r="A13" s="2" t="s">
        <v>64</v>
      </c>
      <c r="B13" s="2" t="s">
        <v>65</v>
      </c>
      <c r="C13" s="2" t="s">
        <v>18</v>
      </c>
      <c r="D13" s="2" t="s">
        <v>19</v>
      </c>
      <c r="E13" s="12">
        <v>685000</v>
      </c>
      <c r="F13" s="12">
        <v>0</v>
      </c>
      <c r="G13" s="26">
        <v>716100</v>
      </c>
      <c r="H13" s="12">
        <f>F13+G13</f>
        <v>716100</v>
      </c>
      <c r="I13" s="3">
        <f>E13-H13</f>
        <v>-31100</v>
      </c>
      <c r="J13" s="4">
        <f>IFERROR(H13/E13,0)</f>
        <v>1.0454014598540147</v>
      </c>
      <c r="K13" s="2" t="str">
        <f>IF(E13=0,"Sin Plan",IF(J13&gt;=1,"Completado",IF(J13&gt;0.001,"En Progreso","Pendiente de ejecutar")))</f>
        <v>Completado</v>
      </c>
    </row>
    <row r="14" spans="1:11" x14ac:dyDescent="0.35">
      <c r="A14" s="2" t="s">
        <v>64</v>
      </c>
      <c r="B14" s="2" t="s">
        <v>65</v>
      </c>
      <c r="C14" s="2" t="s">
        <v>185</v>
      </c>
      <c r="D14" s="2" t="s">
        <v>186</v>
      </c>
      <c r="E14" s="12">
        <v>0</v>
      </c>
      <c r="F14" s="12">
        <v>134910.60999999999</v>
      </c>
      <c r="G14" s="12">
        <v>0</v>
      </c>
      <c r="H14" s="12">
        <f>F14+G14</f>
        <v>134910.60999999999</v>
      </c>
      <c r="I14" s="3">
        <f>E14-H14</f>
        <v>-134910.60999999999</v>
      </c>
      <c r="J14" s="4">
        <f>IFERROR(H14/E14,0)</f>
        <v>0</v>
      </c>
      <c r="K14" s="2" t="str">
        <f>IF(E14=0,"Sin Plan",IF(J14&gt;=1,"Completado",IF(J14&gt;0.001,"En Progreso","Pendiente de ejecutar")))</f>
        <v>Sin Plan</v>
      </c>
    </row>
    <row r="15" spans="1:11" x14ac:dyDescent="0.35">
      <c r="A15" s="2" t="s">
        <v>64</v>
      </c>
      <c r="B15" s="2" t="s">
        <v>65</v>
      </c>
      <c r="C15" s="2" t="s">
        <v>26</v>
      </c>
      <c r="D15" s="2" t="s">
        <v>27</v>
      </c>
      <c r="E15" s="12">
        <v>0</v>
      </c>
      <c r="F15" s="12">
        <v>50224</v>
      </c>
      <c r="G15" s="12">
        <v>0</v>
      </c>
      <c r="H15" s="12">
        <f>F15+G15</f>
        <v>50224</v>
      </c>
      <c r="I15" s="3">
        <f>E15-H15</f>
        <v>-50224</v>
      </c>
      <c r="J15" s="4">
        <f>IFERROR(H15/E15,0)</f>
        <v>0</v>
      </c>
      <c r="K15" s="2" t="str">
        <f>IF(E15=0,"Sin Plan",IF(J15&gt;=1,"Completado",IF(J15&gt;0.001,"En Progreso","Pendiente de ejecutar")))</f>
        <v>Sin Plan</v>
      </c>
    </row>
    <row r="16" spans="1:11" x14ac:dyDescent="0.35">
      <c r="A16" s="2" t="s">
        <v>64</v>
      </c>
      <c r="B16" s="2" t="s">
        <v>65</v>
      </c>
      <c r="C16" s="2" t="s">
        <v>283</v>
      </c>
      <c r="D16" s="2" t="s">
        <v>284</v>
      </c>
      <c r="E16" s="12">
        <v>0</v>
      </c>
      <c r="F16" s="12">
        <v>43660.959999999999</v>
      </c>
      <c r="G16" s="26">
        <v>43660.959999999999</v>
      </c>
      <c r="H16" s="12">
        <f>F16+G16</f>
        <v>87321.919999999998</v>
      </c>
      <c r="I16" s="3">
        <f>E16-H16</f>
        <v>-87321.919999999998</v>
      </c>
      <c r="J16" s="4">
        <f>IFERROR(H16/E16,0)</f>
        <v>0</v>
      </c>
      <c r="K16" s="2" t="str">
        <f>IF(E16=0,"Sin Plan",IF(J16&gt;=1,"Completado",IF(J16&gt;0.001,"En Progreso","Pendiente de ejecutar")))</f>
        <v>Sin Plan</v>
      </c>
    </row>
    <row r="17" spans="1:11" x14ac:dyDescent="0.35">
      <c r="A17" s="5" t="s">
        <v>64</v>
      </c>
      <c r="B17" s="5" t="s">
        <v>65</v>
      </c>
      <c r="C17" s="5" t="s">
        <v>9</v>
      </c>
      <c r="D17" s="5" t="s">
        <v>10</v>
      </c>
      <c r="E17" s="12">
        <v>11382000</v>
      </c>
      <c r="F17" s="12">
        <v>0</v>
      </c>
      <c r="G17" s="26">
        <v>7558374.7000000039</v>
      </c>
      <c r="H17" s="12">
        <f>F17+G17</f>
        <v>7558374.7000000039</v>
      </c>
      <c r="I17" s="6" t="e">
        <f>#REF!-H17</f>
        <v>#REF!</v>
      </c>
      <c r="J17" s="7">
        <f>IFERROR(H17/#REF!,0)</f>
        <v>0</v>
      </c>
      <c r="K17" s="5" t="e">
        <f>IF(#REF!=0,"Sin Plan",IF(J17&gt;=1,"Completado",IF(J17&gt;0.001,"En Progreso","Pendiente de ejecutar")))</f>
        <v>#REF!</v>
      </c>
    </row>
    <row r="18" spans="1:11" x14ac:dyDescent="0.35">
      <c r="A18" s="2" t="s">
        <v>64</v>
      </c>
      <c r="B18" s="2" t="s">
        <v>65</v>
      </c>
      <c r="C18" s="2" t="s">
        <v>250</v>
      </c>
      <c r="D18" s="2" t="s">
        <v>251</v>
      </c>
      <c r="E18" s="12">
        <v>0</v>
      </c>
      <c r="F18" s="12">
        <v>0</v>
      </c>
      <c r="G18" s="26">
        <v>754813.17999999993</v>
      </c>
      <c r="H18" s="12">
        <f>F18+G18</f>
        <v>754813.17999999993</v>
      </c>
      <c r="I18" s="3">
        <f>E18-H18</f>
        <v>-754813.17999999993</v>
      </c>
      <c r="J18" s="4">
        <f>IFERROR(H18/E18,0)</f>
        <v>0</v>
      </c>
      <c r="K18" s="2" t="str">
        <f>IF(E18=0,"Sin Plan",IF(J18&gt;=1,"Completado",IF(J18&gt;0.001,"En Progreso","Pendiente de ejecutar")))</f>
        <v>Sin Plan</v>
      </c>
    </row>
    <row r="19" spans="1:11" x14ac:dyDescent="0.35">
      <c r="A19" s="2" t="s">
        <v>64</v>
      </c>
      <c r="B19" s="2" t="s">
        <v>65</v>
      </c>
      <c r="C19" s="2" t="s">
        <v>221</v>
      </c>
      <c r="D19" s="2" t="s">
        <v>222</v>
      </c>
      <c r="E19" s="12">
        <v>0</v>
      </c>
      <c r="F19" s="12">
        <v>0</v>
      </c>
      <c r="H19" s="12">
        <f>F19+G19</f>
        <v>0</v>
      </c>
      <c r="I19" s="3">
        <f>E19-H19</f>
        <v>0</v>
      </c>
      <c r="J19" s="4">
        <f>IFERROR(H19/E19,0)</f>
        <v>0</v>
      </c>
      <c r="K19" s="2" t="str">
        <f>IF(E19=0,"Sin Plan",IF(J19&gt;=1,"Completado",IF(J19&gt;0.001,"En Progreso","Pendiente de ejecutar")))</f>
        <v>Sin Plan</v>
      </c>
    </row>
    <row r="20" spans="1:11" x14ac:dyDescent="0.35">
      <c r="A20" s="5" t="s">
        <v>64</v>
      </c>
      <c r="B20" s="5" t="s">
        <v>65</v>
      </c>
      <c r="C20" s="5" t="s">
        <v>189</v>
      </c>
      <c r="D20" s="5" t="s">
        <v>190</v>
      </c>
      <c r="E20" s="12">
        <v>0</v>
      </c>
      <c r="F20" s="12">
        <v>0</v>
      </c>
      <c r="H20" s="12">
        <f>F20+G20</f>
        <v>0</v>
      </c>
      <c r="I20" s="6">
        <f>E20-H20</f>
        <v>0</v>
      </c>
      <c r="J20" s="7">
        <f>IFERROR(H20/E20,0)</f>
        <v>0</v>
      </c>
      <c r="K20" s="5" t="str">
        <f>IF(E20=0,"Sin Plan",IF(J20&gt;=1,"Completado",IF(J20&gt;0.001,"En Progreso","Pendiente de ejecutar")))</f>
        <v>Sin Plan</v>
      </c>
    </row>
    <row r="21" spans="1:11" x14ac:dyDescent="0.35">
      <c r="A21" s="2" t="s">
        <v>69</v>
      </c>
      <c r="B21" s="2" t="s">
        <v>44</v>
      </c>
      <c r="C21" s="2" t="s">
        <v>162</v>
      </c>
      <c r="D21" s="2" t="s">
        <v>163</v>
      </c>
      <c r="E21" s="12">
        <v>600000</v>
      </c>
      <c r="F21" s="12">
        <v>0</v>
      </c>
      <c r="G21" s="12">
        <v>614410.00000000105</v>
      </c>
      <c r="H21" s="12">
        <f>F21+G21</f>
        <v>614410.00000000105</v>
      </c>
      <c r="I21" s="3">
        <f>E21-H21</f>
        <v>-14410.000000001048</v>
      </c>
      <c r="J21" s="4">
        <f>IFERROR(H21/E21,0)</f>
        <v>1.0240166666666684</v>
      </c>
      <c r="K21" s="2" t="str">
        <f>IF(E21=0,"Sin Plan",IF(J21&gt;=1,"Completado",IF(J21&gt;0.001,"En Progreso","Pendiente de ejecutar")))</f>
        <v>Completado</v>
      </c>
    </row>
    <row r="22" spans="1:11" x14ac:dyDescent="0.35">
      <c r="A22" s="2" t="s">
        <v>48</v>
      </c>
      <c r="B22" s="2" t="s">
        <v>46</v>
      </c>
      <c r="C22" s="2" t="s">
        <v>138</v>
      </c>
      <c r="D22" s="2" t="s">
        <v>139</v>
      </c>
      <c r="E22" s="12">
        <v>896038</v>
      </c>
      <c r="F22" s="12">
        <v>816314.86</v>
      </c>
      <c r="G22" s="12">
        <v>0</v>
      </c>
      <c r="H22" s="12">
        <f>F22+G22</f>
        <v>816314.86</v>
      </c>
      <c r="I22" s="3">
        <f>E22-H22</f>
        <v>79723.140000000014</v>
      </c>
      <c r="J22" s="4">
        <f>IFERROR(H22/E22,0)</f>
        <v>0.91102705465616407</v>
      </c>
      <c r="K22" s="2" t="str">
        <f>IF(E22=0,"Sin Plan",IF(J22&gt;=1,"Completado",IF(J22&gt;0.001,"En Progreso","Pendiente de ejecutar")))</f>
        <v>En Progreso</v>
      </c>
    </row>
    <row r="23" spans="1:11" x14ac:dyDescent="0.35">
      <c r="A23" s="5" t="s">
        <v>67</v>
      </c>
      <c r="B23" s="5" t="s">
        <v>68</v>
      </c>
      <c r="C23" s="5" t="s">
        <v>22</v>
      </c>
      <c r="D23" s="5" t="s">
        <v>23</v>
      </c>
      <c r="E23" s="12">
        <v>8464000</v>
      </c>
      <c r="F23" s="12">
        <f>4353745.37+553294.48</f>
        <v>4907039.8499999996</v>
      </c>
      <c r="G23" s="12">
        <v>0</v>
      </c>
      <c r="H23" s="12">
        <f>F23+G23</f>
        <v>4907039.8499999996</v>
      </c>
      <c r="I23" s="6">
        <f>E23-H23</f>
        <v>3556960.1500000004</v>
      </c>
      <c r="J23" s="7">
        <f>IFERROR(H23/E23,0)</f>
        <v>0.57975423558601125</v>
      </c>
      <c r="K23" s="5" t="str">
        <f>IF(E23=0,"Sin Plan",IF(J23&gt;=1,"Completado",IF(J23&gt;0.001,"En Progreso","Pendiente de ejecutar")))</f>
        <v>En Progreso</v>
      </c>
    </row>
    <row r="24" spans="1:11" x14ac:dyDescent="0.35">
      <c r="A24" s="2" t="s">
        <v>39</v>
      </c>
      <c r="B24" s="2" t="s">
        <v>40</v>
      </c>
      <c r="C24" s="2" t="s">
        <v>3</v>
      </c>
      <c r="D24" s="2" t="s">
        <v>4</v>
      </c>
      <c r="E24" s="12">
        <v>8300000</v>
      </c>
      <c r="F24" s="12">
        <v>1157672.57</v>
      </c>
      <c r="G24" s="12">
        <v>0</v>
      </c>
      <c r="H24" s="12">
        <f>F24+G24</f>
        <v>1157672.57</v>
      </c>
      <c r="I24" s="3">
        <f>E24-H24</f>
        <v>7142327.4299999997</v>
      </c>
      <c r="J24" s="4">
        <f>IFERROR(H24/E24,0)</f>
        <v>0.13947862289156626</v>
      </c>
      <c r="K24" s="2" t="str">
        <f>IF(E24=0,"Sin Plan",IF(J24&gt;=1,"Completado",IF(J24&gt;0.001,"En Progreso","Pendiente de ejecutar")))</f>
        <v>En Progreso</v>
      </c>
    </row>
    <row r="25" spans="1:11" x14ac:dyDescent="0.35">
      <c r="A25" s="5" t="s">
        <v>39</v>
      </c>
      <c r="B25" s="5" t="s">
        <v>40</v>
      </c>
      <c r="C25" s="5" t="s">
        <v>2</v>
      </c>
      <c r="D25" s="2" t="s">
        <v>299</v>
      </c>
      <c r="E25" s="12">
        <v>8000000</v>
      </c>
      <c r="F25" s="26">
        <v>92449.16</v>
      </c>
      <c r="G25" s="26">
        <v>425000</v>
      </c>
      <c r="H25" s="12">
        <f>F25+G25</f>
        <v>517449.16000000003</v>
      </c>
      <c r="I25" s="6">
        <f>E25-H25</f>
        <v>7482550.8399999999</v>
      </c>
      <c r="J25" s="7">
        <f>IFERROR(H25/E25,0)</f>
        <v>6.4681145000000009E-2</v>
      </c>
      <c r="K25" s="5" t="str">
        <f>IF(E25=0,"Sin Plan",IF(J25&gt;=1,"Completado",IF(J25&gt;0.001,"En Progreso","Pendiente de ejecutar")))</f>
        <v>En Progreso</v>
      </c>
    </row>
    <row r="26" spans="1:11" x14ac:dyDescent="0.35">
      <c r="A26" s="5" t="s">
        <v>69</v>
      </c>
      <c r="B26" s="5" t="s">
        <v>44</v>
      </c>
      <c r="C26" s="5" t="s">
        <v>202</v>
      </c>
      <c r="D26" s="5" t="s">
        <v>203</v>
      </c>
      <c r="E26" s="12">
        <v>245000</v>
      </c>
      <c r="F26" s="12">
        <v>218568.22</v>
      </c>
      <c r="G26" s="12">
        <v>0</v>
      </c>
      <c r="H26" s="12">
        <f>F26+G26</f>
        <v>218568.22</v>
      </c>
      <c r="I26" s="3">
        <f>E26-H26</f>
        <v>26431.78</v>
      </c>
      <c r="J26" s="7">
        <f>IFERROR(H26/E26,0)</f>
        <v>0.89211518367346943</v>
      </c>
      <c r="K26" s="5" t="str">
        <f>IF(E26=0,"Sin Plan",IF(J26&gt;=1,"Completado",IF(J26&gt;0.001,"En Progreso","Pendiente de ejecutar")))</f>
        <v>En Progreso</v>
      </c>
    </row>
    <row r="27" spans="1:11" x14ac:dyDescent="0.35">
      <c r="A27" s="5" t="s">
        <v>88</v>
      </c>
      <c r="B27" s="5" t="s">
        <v>55</v>
      </c>
      <c r="C27" s="5" t="s">
        <v>24</v>
      </c>
      <c r="D27" s="5" t="s">
        <v>25</v>
      </c>
      <c r="E27" s="12">
        <v>2600000</v>
      </c>
      <c r="F27" s="12">
        <v>0</v>
      </c>
      <c r="G27" s="12">
        <v>0</v>
      </c>
      <c r="H27" s="12">
        <f>F27+G27</f>
        <v>0</v>
      </c>
      <c r="I27" s="3">
        <f>E27-H27</f>
        <v>2600000</v>
      </c>
      <c r="J27" s="7">
        <f>IFERROR(H27/E27,0)</f>
        <v>0</v>
      </c>
      <c r="K27" s="5" t="str">
        <f>IF(E27=0,"Sin Plan",IF(J27&gt;=1,"Completado",IF(J27&gt;0.001,"En Progreso","Pendiente de ejecutar")))</f>
        <v>Pendiente de ejecutar</v>
      </c>
    </row>
    <row r="28" spans="1:11" x14ac:dyDescent="0.35">
      <c r="A28" s="2" t="s">
        <v>88</v>
      </c>
      <c r="B28" s="2" t="s">
        <v>55</v>
      </c>
      <c r="C28" s="2" t="s">
        <v>71</v>
      </c>
      <c r="D28" s="2" t="s">
        <v>72</v>
      </c>
      <c r="E28" s="12">
        <v>1743572.42</v>
      </c>
      <c r="F28" s="12">
        <v>461512.1</v>
      </c>
      <c r="G28" s="12">
        <v>700550.5</v>
      </c>
      <c r="H28" s="12">
        <f>F28+G28</f>
        <v>1162062.6000000001</v>
      </c>
      <c r="I28" s="3">
        <f>E28-H28</f>
        <v>581509.81999999983</v>
      </c>
      <c r="J28" s="4">
        <f>IFERROR(H28/E28,0)</f>
        <v>0.66648370131938661</v>
      </c>
      <c r="K28" s="2" t="str">
        <f>IF(E28=0,"Sin Plan",IF(J28&gt;=1,"Completado",IF(J28&gt;0.001,"En Progreso","Pendiente de ejecutar")))</f>
        <v>En Progreso</v>
      </c>
    </row>
    <row r="29" spans="1:11" x14ac:dyDescent="0.35">
      <c r="A29" s="2" t="s">
        <v>69</v>
      </c>
      <c r="B29" s="2" t="s">
        <v>44</v>
      </c>
      <c r="C29" s="2" t="s">
        <v>185</v>
      </c>
      <c r="D29" s="2" t="s">
        <v>186</v>
      </c>
      <c r="E29" s="12">
        <v>216000</v>
      </c>
      <c r="F29" s="12">
        <v>0</v>
      </c>
      <c r="G29" s="12">
        <v>0</v>
      </c>
      <c r="H29" s="12">
        <f>F29+G29</f>
        <v>0</v>
      </c>
      <c r="I29" s="3">
        <f>E29-H29</f>
        <v>216000</v>
      </c>
      <c r="J29" s="4">
        <f>IFERROR(H29/E29,0)</f>
        <v>0</v>
      </c>
      <c r="K29" s="2" t="str">
        <f>IF(E29=0,"Sin Plan",IF(J29&gt;=1,"Completado",IF(J29&gt;0.001,"En Progreso","Pendiente de ejecutar")))</f>
        <v>Pendiente de ejecutar</v>
      </c>
    </row>
    <row r="30" spans="1:11" x14ac:dyDescent="0.35">
      <c r="A30" s="2" t="s">
        <v>73</v>
      </c>
      <c r="B30" s="2" t="s">
        <v>74</v>
      </c>
      <c r="C30" s="2" t="s">
        <v>75</v>
      </c>
      <c r="D30" s="2" t="s">
        <v>76</v>
      </c>
      <c r="E30" s="12">
        <v>7200224</v>
      </c>
      <c r="F30" s="12">
        <v>0</v>
      </c>
      <c r="G30" s="12">
        <v>9257658.2100000009</v>
      </c>
      <c r="H30" s="12">
        <f>F30+G30</f>
        <v>9257658.2100000009</v>
      </c>
      <c r="I30" s="3">
        <f>E30-H30</f>
        <v>-2057434.2100000009</v>
      </c>
      <c r="J30" s="4">
        <f>IFERROR(H30/E30,0)</f>
        <v>1.2857458615176418</v>
      </c>
      <c r="K30" s="2" t="str">
        <f>IF(E30=0,"Sin Plan",IF(J30&gt;=1,"Completado",IF(J30&gt;0.001,"En Progreso","Pendiente de ejecutar")))</f>
        <v>Completado</v>
      </c>
    </row>
    <row r="31" spans="1:11" x14ac:dyDescent="0.35">
      <c r="A31" s="5" t="s">
        <v>88</v>
      </c>
      <c r="B31" s="5" t="s">
        <v>55</v>
      </c>
      <c r="C31" s="5" t="s">
        <v>13</v>
      </c>
      <c r="D31" s="5" t="s">
        <v>14</v>
      </c>
      <c r="E31" s="12">
        <v>1394000</v>
      </c>
      <c r="F31" s="12">
        <v>0</v>
      </c>
      <c r="G31" s="12">
        <v>1816888.01</v>
      </c>
      <c r="H31" s="12">
        <f>F31+G31</f>
        <v>1816888.01</v>
      </c>
      <c r="I31" s="3">
        <f>E31-H31</f>
        <v>-422888.01</v>
      </c>
      <c r="J31" s="7">
        <f>IFERROR(H31/E31,0)</f>
        <v>1.3033629913916787</v>
      </c>
      <c r="K31" s="5" t="str">
        <f>IF(E31=0,"Sin Plan",IF(J31&gt;=1,"Completado",IF(J31&gt;0.001,"En Progreso","Pendiente de ejecutar")))</f>
        <v>Completado</v>
      </c>
    </row>
    <row r="32" spans="1:11" x14ac:dyDescent="0.35">
      <c r="A32" s="2" t="s">
        <v>78</v>
      </c>
      <c r="B32" s="2" t="s">
        <v>79</v>
      </c>
      <c r="C32" s="2" t="s">
        <v>3</v>
      </c>
      <c r="D32" s="2" t="s">
        <v>4</v>
      </c>
      <c r="E32" s="12">
        <v>6655000</v>
      </c>
      <c r="F32" s="12">
        <v>0</v>
      </c>
      <c r="G32" s="12">
        <v>0</v>
      </c>
      <c r="H32" s="12">
        <f>F32+G32</f>
        <v>0</v>
      </c>
      <c r="I32" s="3">
        <f>E32-H32</f>
        <v>6655000</v>
      </c>
      <c r="J32" s="4">
        <f>IFERROR(H32/E32,0)</f>
        <v>0</v>
      </c>
      <c r="K32" s="2" t="str">
        <f>IF(E32=0,"Sin Plan",IF(J32&gt;=1,"Completado",IF(J32&gt;0.001,"En Progreso","Pendiente de ejecutar")))</f>
        <v>Pendiente de ejecutar</v>
      </c>
    </row>
    <row r="33" spans="1:11" x14ac:dyDescent="0.35">
      <c r="A33" s="5" t="s">
        <v>88</v>
      </c>
      <c r="B33" s="5" t="s">
        <v>55</v>
      </c>
      <c r="C33" s="5" t="s">
        <v>106</v>
      </c>
      <c r="D33" s="5" t="s">
        <v>107</v>
      </c>
      <c r="E33" s="12">
        <v>1100000</v>
      </c>
      <c r="F33" s="12">
        <v>0</v>
      </c>
      <c r="G33" s="12">
        <v>0</v>
      </c>
      <c r="H33" s="12">
        <f>F33+G33</f>
        <v>0</v>
      </c>
      <c r="I33" s="3">
        <f>E33-H33</f>
        <v>1100000</v>
      </c>
      <c r="J33" s="7">
        <f>IFERROR(H33/E33,0)</f>
        <v>0</v>
      </c>
      <c r="K33" s="5" t="str">
        <f>IF(E33=0,"Sin Plan",IF(J33&gt;=1,"Completado",IF(J33&gt;0.001,"En Progreso","Pendiente de ejecutar")))</f>
        <v>Pendiente de ejecutar</v>
      </c>
    </row>
    <row r="34" spans="1:11" x14ac:dyDescent="0.35">
      <c r="A34" s="2" t="s">
        <v>166</v>
      </c>
      <c r="B34" s="2" t="s">
        <v>46</v>
      </c>
      <c r="C34" s="2" t="s">
        <v>167</v>
      </c>
      <c r="D34" s="2" t="s">
        <v>168</v>
      </c>
      <c r="E34" s="12">
        <v>560000</v>
      </c>
      <c r="F34" s="12">
        <v>0</v>
      </c>
      <c r="G34" s="12">
        <v>0</v>
      </c>
      <c r="H34" s="12">
        <f>F34+G34</f>
        <v>0</v>
      </c>
      <c r="I34" s="3">
        <f>E34-H34</f>
        <v>560000</v>
      </c>
      <c r="J34" s="4">
        <f>IFERROR(H34/E34,0)</f>
        <v>0</v>
      </c>
      <c r="K34" s="2" t="str">
        <f>IF(E34=0,"Sin Plan",IF(J34&gt;=1,"Completado",IF(J34&gt;0.001,"En Progreso","Pendiente de ejecutar")))</f>
        <v>Pendiente de ejecutar</v>
      </c>
    </row>
    <row r="35" spans="1:11" x14ac:dyDescent="0.35">
      <c r="A35" s="5" t="s">
        <v>90</v>
      </c>
      <c r="B35" s="5" t="s">
        <v>53</v>
      </c>
      <c r="C35" s="5" t="s">
        <v>20</v>
      </c>
      <c r="D35" s="5" t="s">
        <v>21</v>
      </c>
      <c r="E35" s="12">
        <v>495000</v>
      </c>
      <c r="F35" s="12">
        <v>0</v>
      </c>
      <c r="G35" s="12">
        <v>461974.36</v>
      </c>
      <c r="H35" s="12">
        <f>F35+G35</f>
        <v>461974.36</v>
      </c>
      <c r="I35" s="6">
        <f>E35-H35</f>
        <v>33025.640000000014</v>
      </c>
      <c r="J35" s="7">
        <f>IFERROR(H35/E35,0)</f>
        <v>0.93328153535353531</v>
      </c>
      <c r="K35" s="5" t="str">
        <f>IF(E35=0,"Sin Plan",IF(J35&gt;=1,"Completado",IF(J35&gt;0.001,"En Progreso","Pendiente de ejecutar")))</f>
        <v>En Progreso</v>
      </c>
    </row>
    <row r="36" spans="1:11" x14ac:dyDescent="0.35">
      <c r="A36" s="5" t="s">
        <v>88</v>
      </c>
      <c r="B36" s="5" t="s">
        <v>55</v>
      </c>
      <c r="C36" s="5" t="s">
        <v>116</v>
      </c>
      <c r="D36" s="5" t="s">
        <v>117</v>
      </c>
      <c r="E36" s="12">
        <v>850000</v>
      </c>
      <c r="F36" s="12">
        <v>0</v>
      </c>
      <c r="G36" s="12">
        <v>0</v>
      </c>
      <c r="H36" s="12">
        <f>F36+G36</f>
        <v>0</v>
      </c>
      <c r="I36" s="3">
        <f>E36-H36</f>
        <v>850000</v>
      </c>
      <c r="J36" s="7">
        <f>IFERROR(H36/E36,0)</f>
        <v>0</v>
      </c>
      <c r="K36" s="5" t="str">
        <f>IF(E36=0,"Sin Plan",IF(J36&gt;=1,"Completado",IF(J36&gt;0.001,"En Progreso","Pendiente de ejecutar")))</f>
        <v>Pendiente de ejecutar</v>
      </c>
    </row>
    <row r="37" spans="1:11" x14ac:dyDescent="0.35">
      <c r="A37" s="5" t="s">
        <v>82</v>
      </c>
      <c r="B37" s="5" t="s">
        <v>83</v>
      </c>
      <c r="C37" s="5" t="s">
        <v>2</v>
      </c>
      <c r="D37" s="2" t="s">
        <v>299</v>
      </c>
      <c r="E37" s="12">
        <v>5600000</v>
      </c>
      <c r="F37" s="12">
        <v>0</v>
      </c>
      <c r="G37" s="12">
        <v>0</v>
      </c>
      <c r="H37" s="12">
        <f>F37+G37</f>
        <v>0</v>
      </c>
      <c r="I37" s="6">
        <f>E37-H37</f>
        <v>5600000</v>
      </c>
      <c r="J37" s="7">
        <f>IFERROR(H37/E37,0)</f>
        <v>0</v>
      </c>
      <c r="K37" s="5" t="str">
        <f>IF(E37=0,"Sin Plan",IF(J37&gt;=1,"Completado",IF(J37&gt;0.001,"En Progreso","Pendiente de ejecutar")))</f>
        <v>Pendiente de ejecutar</v>
      </c>
    </row>
    <row r="38" spans="1:11" x14ac:dyDescent="0.35">
      <c r="A38" s="2" t="s">
        <v>73</v>
      </c>
      <c r="B38" s="2" t="s">
        <v>74</v>
      </c>
      <c r="C38" s="2" t="s">
        <v>2</v>
      </c>
      <c r="D38" s="2" t="s">
        <v>299</v>
      </c>
      <c r="E38" s="12">
        <v>5500000</v>
      </c>
      <c r="F38" s="12">
        <v>21000</v>
      </c>
      <c r="G38" s="12">
        <v>0</v>
      </c>
      <c r="H38" s="12">
        <f>F38+G38</f>
        <v>21000</v>
      </c>
      <c r="I38" s="3">
        <f>E38-H38</f>
        <v>5479000</v>
      </c>
      <c r="J38" s="4">
        <f>IFERROR(H38/E38,0)</f>
        <v>3.8181818181818182E-3</v>
      </c>
      <c r="K38" s="2" t="str">
        <f>IF(E38=0,"Sin Plan",IF(J38&gt;=1,"Completado",IF(J38&gt;0.001,"En Progreso","Pendiente de ejecutar")))</f>
        <v>En Progreso</v>
      </c>
    </row>
    <row r="39" spans="1:11" x14ac:dyDescent="0.35">
      <c r="A39" s="2" t="s">
        <v>88</v>
      </c>
      <c r="B39" s="2" t="s">
        <v>55</v>
      </c>
      <c r="C39" s="2" t="s">
        <v>195</v>
      </c>
      <c r="D39" s="2" t="s">
        <v>196</v>
      </c>
      <c r="E39" s="12">
        <v>352000</v>
      </c>
      <c r="F39" s="12">
        <v>0</v>
      </c>
      <c r="G39" s="12">
        <v>0</v>
      </c>
      <c r="H39" s="12">
        <f>F39+G39</f>
        <v>0</v>
      </c>
      <c r="I39" s="3">
        <f>E39-H39</f>
        <v>352000</v>
      </c>
      <c r="J39" s="4">
        <f>IFERROR(H39/E39,0)</f>
        <v>0</v>
      </c>
      <c r="K39" s="2" t="str">
        <f>IF(E39=0,"Sin Plan",IF(J39&gt;=1,"Completado",IF(J39&gt;0.001,"En Progreso","Pendiente de ejecutar")))</f>
        <v>Pendiente de ejecutar</v>
      </c>
    </row>
    <row r="40" spans="1:11" x14ac:dyDescent="0.35">
      <c r="A40" s="5" t="s">
        <v>88</v>
      </c>
      <c r="B40" s="5" t="s">
        <v>55</v>
      </c>
      <c r="C40" s="5" t="s">
        <v>162</v>
      </c>
      <c r="D40" s="5" t="s">
        <v>163</v>
      </c>
      <c r="E40" s="12">
        <v>245500</v>
      </c>
      <c r="F40" s="12">
        <v>254379.31</v>
      </c>
      <c r="G40" s="12">
        <v>0</v>
      </c>
      <c r="H40" s="12">
        <f>F40+G40</f>
        <v>254379.31</v>
      </c>
      <c r="I40" s="3">
        <f>E40-H40</f>
        <v>-8879.3099999999977</v>
      </c>
      <c r="J40" s="7">
        <f>IFERROR(H40/E40,0)</f>
        <v>1.0361682688391038</v>
      </c>
      <c r="K40" s="5" t="str">
        <f>IF(E40=0,"Sin Plan",IF(J40&gt;=1,"Completado",IF(J40&gt;0.001,"En Progreso","Pendiente de ejecutar")))</f>
        <v>Completado</v>
      </c>
    </row>
    <row r="41" spans="1:11" x14ac:dyDescent="0.35">
      <c r="A41" s="2" t="s">
        <v>166</v>
      </c>
      <c r="B41" s="2" t="s">
        <v>46</v>
      </c>
      <c r="C41" s="2" t="s">
        <v>116</v>
      </c>
      <c r="D41" s="2" t="s">
        <v>117</v>
      </c>
      <c r="E41" s="12">
        <v>425000</v>
      </c>
      <c r="F41" s="12">
        <v>0</v>
      </c>
      <c r="G41" s="12">
        <v>0</v>
      </c>
      <c r="H41" s="12">
        <f>F41+G41</f>
        <v>0</v>
      </c>
      <c r="I41" s="3">
        <f>E41-H41</f>
        <v>425000</v>
      </c>
      <c r="J41" s="4">
        <f>IFERROR(H41/E41,0)</f>
        <v>0</v>
      </c>
      <c r="K41" s="2" t="str">
        <f>IF(E41=0,"Sin Plan",IF(J41&gt;=1,"Completado",IF(J41&gt;0.001,"En Progreso","Pendiente de ejecutar")))</f>
        <v>Pendiente de ejecutar</v>
      </c>
    </row>
    <row r="42" spans="1:11" x14ac:dyDescent="0.35">
      <c r="A42" s="2" t="s">
        <v>48</v>
      </c>
      <c r="B42" s="2" t="s">
        <v>46</v>
      </c>
      <c r="C42" s="2" t="s">
        <v>202</v>
      </c>
      <c r="D42" s="2" t="s">
        <v>203</v>
      </c>
      <c r="E42" s="12">
        <v>245000</v>
      </c>
      <c r="F42" s="12">
        <v>218568.22</v>
      </c>
      <c r="G42" s="12">
        <v>0</v>
      </c>
      <c r="H42" s="12">
        <f>F42+G42</f>
        <v>218568.22</v>
      </c>
      <c r="I42" s="3">
        <f>E42-H42</f>
        <v>26431.78</v>
      </c>
      <c r="J42" s="4">
        <f>IFERROR(H42/E42,0)</f>
        <v>0.89211518367346943</v>
      </c>
      <c r="K42" s="2" t="str">
        <f>IF(E42=0,"Sin Plan",IF(J42&gt;=1,"Completado",IF(J42&gt;0.001,"En Progreso","Pendiente de ejecutar")))</f>
        <v>En Progreso</v>
      </c>
    </row>
    <row r="43" spans="1:11" x14ac:dyDescent="0.35">
      <c r="A43" s="5" t="s">
        <v>73</v>
      </c>
      <c r="B43" s="5" t="s">
        <v>74</v>
      </c>
      <c r="C43" s="5" t="s">
        <v>9</v>
      </c>
      <c r="D43" s="5" t="s">
        <v>10</v>
      </c>
      <c r="E43" s="12">
        <v>4500000</v>
      </c>
      <c r="F43" s="12">
        <v>3064270.22</v>
      </c>
      <c r="G43" s="12">
        <v>0</v>
      </c>
      <c r="H43" s="12">
        <f>F43+G43</f>
        <v>3064270.22</v>
      </c>
      <c r="I43" s="6">
        <f>E43-H43</f>
        <v>1435729.7799999998</v>
      </c>
      <c r="J43" s="7">
        <f>IFERROR(H43/E43,0)</f>
        <v>0.68094893777777787</v>
      </c>
      <c r="K43" s="5" t="str">
        <f>IF(E43=0,"Sin Plan",IF(J43&gt;=1,"Completado",IF(J43&gt;0.001,"En Progreso","Pendiente de ejecutar")))</f>
        <v>En Progreso</v>
      </c>
    </row>
    <row r="44" spans="1:11" x14ac:dyDescent="0.35">
      <c r="A44" s="2" t="s">
        <v>85</v>
      </c>
      <c r="B44" s="2" t="s">
        <v>74</v>
      </c>
      <c r="C44" s="2" t="s">
        <v>22</v>
      </c>
      <c r="D44" s="2" t="s">
        <v>23</v>
      </c>
      <c r="E44" s="12">
        <v>4410000</v>
      </c>
      <c r="F44" s="12">
        <v>0</v>
      </c>
      <c r="G44" s="12">
        <v>0</v>
      </c>
      <c r="H44" s="12">
        <f>F44+G44</f>
        <v>0</v>
      </c>
      <c r="I44" s="3">
        <f>E44-H44</f>
        <v>4410000</v>
      </c>
      <c r="J44" s="4">
        <f>IFERROR(H44/E44,0)</f>
        <v>0</v>
      </c>
      <c r="K44" s="2" t="str">
        <f>IF(E44=0,"Sin Plan",IF(J44&gt;=1,"Completado",IF(J44&gt;0.001,"En Progreso","Pendiente de ejecutar")))</f>
        <v>Pendiente de ejecutar</v>
      </c>
    </row>
    <row r="45" spans="1:11" x14ac:dyDescent="0.35">
      <c r="A45" s="2" t="s">
        <v>88</v>
      </c>
      <c r="B45" s="2" t="s">
        <v>55</v>
      </c>
      <c r="C45" s="2" t="s">
        <v>230</v>
      </c>
      <c r="D45" s="2" t="s">
        <v>231</v>
      </c>
      <c r="E45" s="12">
        <v>38000</v>
      </c>
      <c r="F45" s="12">
        <v>0</v>
      </c>
      <c r="G45" s="12">
        <v>0</v>
      </c>
      <c r="H45" s="12">
        <f>F45+G45</f>
        <v>0</v>
      </c>
      <c r="I45" s="3">
        <f>E45-H45</f>
        <v>38000</v>
      </c>
      <c r="J45" s="4">
        <f>IFERROR(H45/E45,0)</f>
        <v>0</v>
      </c>
      <c r="K45" s="2" t="str">
        <f>IF(E45=0,"Sin Plan",IF(J45&gt;=1,"Completado",IF(J45&gt;0.001,"En Progreso","Pendiente de ejecutar")))</f>
        <v>Pendiente de ejecutar</v>
      </c>
    </row>
    <row r="46" spans="1:11" x14ac:dyDescent="0.35">
      <c r="A46" s="2" t="s">
        <v>90</v>
      </c>
      <c r="B46" s="2" t="s">
        <v>53</v>
      </c>
      <c r="C46" s="2" t="s">
        <v>158</v>
      </c>
      <c r="D46" s="2" t="s">
        <v>159</v>
      </c>
      <c r="E46" s="12">
        <v>130000</v>
      </c>
      <c r="F46" s="12">
        <v>98659.839999999997</v>
      </c>
      <c r="G46" s="12">
        <v>0</v>
      </c>
      <c r="H46" s="12">
        <f>F46+G46</f>
        <v>98659.839999999997</v>
      </c>
      <c r="I46" s="3">
        <f>E46-H46</f>
        <v>31340.160000000003</v>
      </c>
      <c r="J46" s="4">
        <f>IFERROR(H46/E46,0)</f>
        <v>0.75892184615384617</v>
      </c>
      <c r="K46" s="2" t="str">
        <f>IF(E46=0,"Sin Plan",IF(J46&gt;=1,"Completado",IF(J46&gt;0.001,"En Progreso","Pendiente de ejecutar")))</f>
        <v>En Progreso</v>
      </c>
    </row>
    <row r="47" spans="1:11" x14ac:dyDescent="0.35">
      <c r="A47" s="5" t="s">
        <v>88</v>
      </c>
      <c r="B47" s="5" t="s">
        <v>55</v>
      </c>
      <c r="C47" s="5" t="s">
        <v>223</v>
      </c>
      <c r="D47" s="5" t="s">
        <v>224</v>
      </c>
      <c r="E47" s="12">
        <v>0</v>
      </c>
      <c r="F47" s="12">
        <v>129605.45</v>
      </c>
      <c r="G47" s="12">
        <v>0</v>
      </c>
      <c r="H47" s="12">
        <f>F47+G47</f>
        <v>129605.45</v>
      </c>
      <c r="I47" s="3">
        <f>E47-H47</f>
        <v>-129605.45</v>
      </c>
      <c r="J47" s="7">
        <f>IFERROR(H47/E47,0)</f>
        <v>0</v>
      </c>
      <c r="K47" s="5" t="str">
        <f>IF(E47=0,"Sin Plan",IF(J47&gt;=1,"Completado",IF(J47&gt;0.001,"En Progreso","Pendiente de ejecutar")))</f>
        <v>Sin Plan</v>
      </c>
    </row>
    <row r="48" spans="1:11" x14ac:dyDescent="0.35">
      <c r="A48" s="5" t="s">
        <v>88</v>
      </c>
      <c r="B48" s="5" t="s">
        <v>55</v>
      </c>
      <c r="C48" s="5" t="s">
        <v>167</v>
      </c>
      <c r="D48" s="5" t="s">
        <v>168</v>
      </c>
      <c r="E48" s="12">
        <v>0</v>
      </c>
      <c r="F48" s="12">
        <v>0</v>
      </c>
      <c r="G48" s="12">
        <v>274306.49</v>
      </c>
      <c r="H48" s="12">
        <f>F48+G48</f>
        <v>274306.49</v>
      </c>
      <c r="I48" s="3">
        <f>E48-H48</f>
        <v>-274306.49</v>
      </c>
      <c r="J48" s="7">
        <f>IFERROR(H48/E48,0)</f>
        <v>0</v>
      </c>
      <c r="K48" s="5" t="str">
        <f>IF(E48=0,"Sin Plan",IF(J48&gt;=1,"Completado",IF(J48&gt;0.001,"En Progreso","Pendiente de ejecutar")))</f>
        <v>Sin Plan</v>
      </c>
    </row>
    <row r="49" spans="1:11" x14ac:dyDescent="0.35">
      <c r="A49" s="5" t="s">
        <v>78</v>
      </c>
      <c r="B49" s="5" t="s">
        <v>79</v>
      </c>
      <c r="C49" s="5" t="s">
        <v>16</v>
      </c>
      <c r="D49" s="5" t="s">
        <v>17</v>
      </c>
      <c r="E49" s="12">
        <v>4100000</v>
      </c>
      <c r="F49" s="12">
        <v>0</v>
      </c>
      <c r="G49" s="12">
        <v>0</v>
      </c>
      <c r="H49" s="12">
        <f>F49+G49</f>
        <v>0</v>
      </c>
      <c r="I49" s="6">
        <f>E49-H49</f>
        <v>4100000</v>
      </c>
      <c r="J49" s="7">
        <f>IFERROR(H49/E49,0)</f>
        <v>0</v>
      </c>
      <c r="K49" s="5" t="str">
        <f>IF(E49=0,"Sin Plan",IF(J49&gt;=1,"Completado",IF(J49&gt;0.001,"En Progreso","Pendiente de ejecutar")))</f>
        <v>Pendiente de ejecutar</v>
      </c>
    </row>
    <row r="50" spans="1:11" x14ac:dyDescent="0.35">
      <c r="A50" s="2" t="s">
        <v>48</v>
      </c>
      <c r="B50" s="2" t="s">
        <v>46</v>
      </c>
      <c r="C50" s="2" t="s">
        <v>120</v>
      </c>
      <c r="D50" s="2" t="s">
        <v>121</v>
      </c>
      <c r="E50" s="12">
        <v>154000</v>
      </c>
      <c r="F50" s="12">
        <v>0</v>
      </c>
      <c r="G50" s="12">
        <v>158800</v>
      </c>
      <c r="H50" s="12">
        <f>F50+G50</f>
        <v>158800</v>
      </c>
      <c r="I50" s="3">
        <f>E50-H50</f>
        <v>-4800</v>
      </c>
      <c r="J50" s="4">
        <f>IFERROR(H50/E50,0)</f>
        <v>1.0311688311688312</v>
      </c>
      <c r="K50" s="2" t="str">
        <f>IF(E50=0,"Sin Plan",IF(J50&gt;=1,"Completado",IF(J50&gt;0.001,"En Progreso","Pendiente de ejecutar")))</f>
        <v>Completado</v>
      </c>
    </row>
    <row r="51" spans="1:11" x14ac:dyDescent="0.35">
      <c r="A51" s="5" t="s">
        <v>90</v>
      </c>
      <c r="B51" s="5" t="s">
        <v>53</v>
      </c>
      <c r="C51" s="5" t="s">
        <v>162</v>
      </c>
      <c r="D51" s="5" t="s">
        <v>163</v>
      </c>
      <c r="E51" s="12">
        <v>17500</v>
      </c>
      <c r="F51" s="12">
        <v>0</v>
      </c>
      <c r="G51" s="12">
        <v>0</v>
      </c>
      <c r="H51" s="12">
        <f>F51+G51</f>
        <v>0</v>
      </c>
      <c r="I51" s="6">
        <f>E51-H51</f>
        <v>17500</v>
      </c>
      <c r="J51" s="7">
        <f>IFERROR(H51/E51,0)</f>
        <v>0</v>
      </c>
      <c r="K51" s="5" t="str">
        <f>IF(E51=0,"Sin Plan",IF(J51&gt;=1,"Completado",IF(J51&gt;0.001,"En Progreso","Pendiente de ejecutar")))</f>
        <v>Pendiente de ejecutar</v>
      </c>
    </row>
    <row r="52" spans="1:11" x14ac:dyDescent="0.35">
      <c r="A52" s="2" t="s">
        <v>69</v>
      </c>
      <c r="B52" s="2" t="s">
        <v>44</v>
      </c>
      <c r="C52" s="2" t="s">
        <v>205</v>
      </c>
      <c r="D52" s="2" t="s">
        <v>206</v>
      </c>
      <c r="E52" s="12">
        <v>208000</v>
      </c>
      <c r="F52" s="12">
        <v>205298.15999999997</v>
      </c>
      <c r="G52" s="12">
        <v>0</v>
      </c>
      <c r="H52" s="12">
        <f>F52+G52</f>
        <v>205298.15999999997</v>
      </c>
      <c r="I52" s="3">
        <f>E52-H52</f>
        <v>2701.8400000000256</v>
      </c>
      <c r="J52" s="4">
        <f>IFERROR(H52/E52,0)</f>
        <v>0.98701038461538448</v>
      </c>
      <c r="K52" s="2" t="str">
        <f>IF(E52=0,"Sin Plan",IF(J52&gt;=1,"Completado",IF(J52&gt;0.001,"En Progreso","Pendiente de ejecutar")))</f>
        <v>En Progreso</v>
      </c>
    </row>
    <row r="53" spans="1:11" x14ac:dyDescent="0.35">
      <c r="A53" s="2" t="s">
        <v>90</v>
      </c>
      <c r="B53" s="2" t="s">
        <v>53</v>
      </c>
      <c r="C53" s="2" t="s">
        <v>252</v>
      </c>
      <c r="D53" s="2" t="s">
        <v>253</v>
      </c>
      <c r="E53" s="12">
        <v>0</v>
      </c>
      <c r="F53" s="12">
        <v>0</v>
      </c>
      <c r="G53" s="12">
        <v>137581.29999999999</v>
      </c>
      <c r="H53" s="12">
        <f>F53+G53</f>
        <v>137581.29999999999</v>
      </c>
      <c r="I53" s="3">
        <f>E53-H53</f>
        <v>-137581.29999999999</v>
      </c>
      <c r="J53" s="4">
        <f>IFERROR(H53/E53,0)</f>
        <v>0</v>
      </c>
      <c r="K53" s="2" t="str">
        <f>IF(E53=0,"Sin Plan",IF(J53&gt;=1,"Completado",IF(J53&gt;0.001,"En Progreso","Pendiente de ejecutar")))</f>
        <v>Sin Plan</v>
      </c>
    </row>
    <row r="54" spans="1:11" x14ac:dyDescent="0.35">
      <c r="A54" s="5" t="s">
        <v>69</v>
      </c>
      <c r="B54" s="5" t="s">
        <v>44</v>
      </c>
      <c r="C54" s="5" t="s">
        <v>116</v>
      </c>
      <c r="D54" s="5" t="s">
        <v>117</v>
      </c>
      <c r="E54" s="12">
        <v>31200</v>
      </c>
      <c r="F54" s="12">
        <v>0</v>
      </c>
      <c r="G54" s="12">
        <v>0</v>
      </c>
      <c r="H54" s="12">
        <f>F54+G54</f>
        <v>0</v>
      </c>
      <c r="I54" s="3">
        <f>E54-H54</f>
        <v>31200</v>
      </c>
      <c r="J54" s="7">
        <f>IFERROR(H54/E54,0)</f>
        <v>0</v>
      </c>
      <c r="K54" s="5" t="str">
        <f>IF(E54=0,"Sin Plan",IF(J54&gt;=1,"Completado",IF(J54&gt;0.001,"En Progreso","Pendiente de ejecutar")))</f>
        <v>Pendiente de ejecutar</v>
      </c>
    </row>
    <row r="55" spans="1:11" x14ac:dyDescent="0.35">
      <c r="A55" s="5" t="s">
        <v>85</v>
      </c>
      <c r="B55" s="5" t="s">
        <v>74</v>
      </c>
      <c r="C55" s="5" t="s">
        <v>94</v>
      </c>
      <c r="D55" s="5" t="s">
        <v>95</v>
      </c>
      <c r="E55" s="12">
        <v>3780000</v>
      </c>
      <c r="F55" s="12">
        <v>0</v>
      </c>
      <c r="G55" s="12">
        <v>0</v>
      </c>
      <c r="H55" s="12">
        <f>F55+G55</f>
        <v>0</v>
      </c>
      <c r="I55" s="6">
        <f>E55-H55</f>
        <v>3780000</v>
      </c>
      <c r="J55" s="7">
        <f>IFERROR(H55/E55,0)</f>
        <v>0</v>
      </c>
      <c r="K55" s="5" t="str">
        <f>IF(E55=0,"Sin Plan",IF(J55&gt;=1,"Completado",IF(J55&gt;0.001,"En Progreso","Pendiente de ejecutar")))</f>
        <v>Pendiente de ejecutar</v>
      </c>
    </row>
    <row r="56" spans="1:11" x14ac:dyDescent="0.35">
      <c r="A56" s="2" t="s">
        <v>183</v>
      </c>
      <c r="B56" s="2" t="s">
        <v>55</v>
      </c>
      <c r="C56" s="2" t="s">
        <v>162</v>
      </c>
      <c r="D56" s="2" t="s">
        <v>163</v>
      </c>
      <c r="E56" s="12">
        <v>427500</v>
      </c>
      <c r="F56" s="12">
        <v>425563.05</v>
      </c>
      <c r="G56" s="12">
        <v>0</v>
      </c>
      <c r="H56" s="12">
        <f>F56+G56</f>
        <v>425563.05</v>
      </c>
      <c r="I56" s="3">
        <f>E56-H56</f>
        <v>1936.9500000000116</v>
      </c>
      <c r="J56" s="4">
        <f>IFERROR(H56/E56,0)</f>
        <v>0.99546912280701749</v>
      </c>
      <c r="K56" s="2" t="str">
        <f>IF(E56=0,"Sin Plan",IF(J56&gt;=1,"Completado",IF(J56&gt;0.001,"En Progreso","Pendiente de ejecutar")))</f>
        <v>En Progreso</v>
      </c>
    </row>
    <row r="57" spans="1:11" s="16" customFormat="1" x14ac:dyDescent="0.35">
      <c r="A57" s="17" t="s">
        <v>80</v>
      </c>
      <c r="B57" s="17" t="s">
        <v>53</v>
      </c>
      <c r="C57" s="17" t="s">
        <v>3</v>
      </c>
      <c r="D57" s="17" t="s">
        <v>4</v>
      </c>
      <c r="E57" s="12">
        <v>6000000</v>
      </c>
      <c r="F57" s="12">
        <v>219033</v>
      </c>
      <c r="G57" s="12">
        <v>0</v>
      </c>
      <c r="H57" s="12">
        <f>F57+G57</f>
        <v>219033</v>
      </c>
      <c r="I57" s="18">
        <f>E57-H57</f>
        <v>5780967</v>
      </c>
      <c r="J57" s="19">
        <f>IFERROR(H57/E57,0)</f>
        <v>3.6505500000000003E-2</v>
      </c>
      <c r="K57" s="17" t="str">
        <f>IF(E57=0,"Sin Plan",IF(J57&gt;=1,"Completado",IF(J57&gt;0.001,"En Progreso","Pendiente de ejecutar")))</f>
        <v>En Progreso</v>
      </c>
    </row>
    <row r="58" spans="1:11" x14ac:dyDescent="0.35">
      <c r="A58" s="2" t="s">
        <v>78</v>
      </c>
      <c r="B58" s="2" t="s">
        <v>79</v>
      </c>
      <c r="C58" s="2" t="s">
        <v>18</v>
      </c>
      <c r="D58" s="2" t="s">
        <v>19</v>
      </c>
      <c r="E58" s="12">
        <v>3630000</v>
      </c>
      <c r="F58" s="12">
        <v>0</v>
      </c>
      <c r="G58" s="12">
        <v>0</v>
      </c>
      <c r="H58" s="12">
        <f>F58+G58</f>
        <v>0</v>
      </c>
      <c r="I58" s="3">
        <f>E58-H58</f>
        <v>3630000</v>
      </c>
      <c r="J58" s="4">
        <f>IFERROR(H58/E58,0)</f>
        <v>0</v>
      </c>
      <c r="K58" s="2" t="str">
        <f>IF(E58=0,"Sin Plan",IF(J58&gt;=1,"Completado",IF(J58&gt;0.001,"En Progreso","Pendiente de ejecutar")))</f>
        <v>Pendiente de ejecutar</v>
      </c>
    </row>
    <row r="59" spans="1:11" x14ac:dyDescent="0.35">
      <c r="A59" s="2" t="s">
        <v>64</v>
      </c>
      <c r="B59" s="2" t="s">
        <v>65</v>
      </c>
      <c r="C59" s="2" t="s">
        <v>128</v>
      </c>
      <c r="D59" s="2" t="s">
        <v>129</v>
      </c>
      <c r="E59" s="12">
        <v>0</v>
      </c>
      <c r="F59" s="12">
        <v>0</v>
      </c>
      <c r="H59" s="12">
        <f>F59+G59</f>
        <v>0</v>
      </c>
      <c r="I59" s="3">
        <f>E59-H59</f>
        <v>0</v>
      </c>
      <c r="J59" s="4">
        <f>IFERROR(H59/E59,0)</f>
        <v>0</v>
      </c>
      <c r="K59" s="2" t="str">
        <f>IF(E59=0,"Sin Plan",IF(J59&gt;=1,"Completado",IF(J59&gt;0.001,"En Progreso","Pendiente de ejecutar")))</f>
        <v>Sin Plan</v>
      </c>
    </row>
    <row r="60" spans="1:11" x14ac:dyDescent="0.35">
      <c r="A60" s="2" t="s">
        <v>98</v>
      </c>
      <c r="B60" s="2" t="s">
        <v>74</v>
      </c>
      <c r="C60" s="2" t="s">
        <v>99</v>
      </c>
      <c r="D60" s="2" t="s">
        <v>100</v>
      </c>
      <c r="E60" s="12">
        <v>3320000</v>
      </c>
      <c r="F60" s="12">
        <v>0</v>
      </c>
      <c r="G60" s="12">
        <v>0</v>
      </c>
      <c r="H60" s="12">
        <f>F60+G60</f>
        <v>0</v>
      </c>
      <c r="I60" s="3">
        <f>E60-H60</f>
        <v>3320000</v>
      </c>
      <c r="J60" s="4">
        <f>IFERROR(H60/E60,0)</f>
        <v>0</v>
      </c>
      <c r="K60" s="2" t="str">
        <f>IF(E60=0,"Sin Plan",IF(J60&gt;=1,"Completado",IF(J60&gt;0.001,"En Progreso","Pendiente de ejecutar")))</f>
        <v>Pendiente de ejecutar</v>
      </c>
    </row>
    <row r="61" spans="1:11" x14ac:dyDescent="0.35">
      <c r="A61" s="2" t="s">
        <v>80</v>
      </c>
      <c r="B61" s="2" t="s">
        <v>53</v>
      </c>
      <c r="C61" s="2" t="s">
        <v>118</v>
      </c>
      <c r="D61" s="2" t="s">
        <v>119</v>
      </c>
      <c r="E61" s="12">
        <v>1685000</v>
      </c>
      <c r="F61" s="12">
        <v>27600</v>
      </c>
      <c r="G61" s="12">
        <v>0</v>
      </c>
      <c r="H61" s="12">
        <f>F61+G61</f>
        <v>27600</v>
      </c>
      <c r="I61" s="3">
        <f>E61-H61</f>
        <v>1657400</v>
      </c>
      <c r="J61" s="4">
        <f>IFERROR(H61/E61,0)</f>
        <v>1.6379821958456973E-2</v>
      </c>
      <c r="K61" s="2" t="str">
        <f>IF(E61=0,"Sin Plan",IF(J61&gt;=1,"Completado",IF(J61&gt;0.001,"En Progreso","Pendiente de ejecutar")))</f>
        <v>En Progreso</v>
      </c>
    </row>
    <row r="62" spans="1:11" x14ac:dyDescent="0.35">
      <c r="A62" s="2" t="s">
        <v>69</v>
      </c>
      <c r="B62" s="2" t="s">
        <v>44</v>
      </c>
      <c r="C62" s="2" t="s">
        <v>234</v>
      </c>
      <c r="D62" s="2" t="s">
        <v>235</v>
      </c>
      <c r="E62" s="12">
        <v>0</v>
      </c>
      <c r="F62" s="12">
        <v>0</v>
      </c>
      <c r="G62" s="12">
        <v>0</v>
      </c>
      <c r="H62" s="12">
        <f>F62+G62</f>
        <v>0</v>
      </c>
      <c r="I62" s="3">
        <f>E62-H62</f>
        <v>0</v>
      </c>
      <c r="J62" s="4">
        <f>IFERROR(H62/E62,0)</f>
        <v>0</v>
      </c>
      <c r="K62" s="2" t="str">
        <f>IF(E62=0,"Sin Plan",IF(J62&gt;=1,"Completado",IF(J62&gt;0.001,"En Progreso","Pendiente de ejecutar")))</f>
        <v>Sin Plan</v>
      </c>
    </row>
    <row r="63" spans="1:11" x14ac:dyDescent="0.35">
      <c r="A63" s="5" t="s">
        <v>166</v>
      </c>
      <c r="B63" s="5" t="s">
        <v>46</v>
      </c>
      <c r="C63" s="5" t="s">
        <v>22</v>
      </c>
      <c r="D63" s="5" t="s">
        <v>23</v>
      </c>
      <c r="E63" s="12">
        <v>126000</v>
      </c>
      <c r="F63" s="12">
        <v>534229.98</v>
      </c>
      <c r="G63" s="12">
        <v>0</v>
      </c>
      <c r="H63" s="12">
        <f>F63+G63</f>
        <v>534229.98</v>
      </c>
      <c r="I63" s="3">
        <f>E63-H63</f>
        <v>-408229.98</v>
      </c>
      <c r="J63" s="7">
        <f>IFERROR(H63/E63,0)</f>
        <v>4.2399204761904761</v>
      </c>
      <c r="K63" s="5" t="str">
        <f>IF(E63=0,"Sin Plan",IF(J63&gt;=1,"Completado",IF(J63&gt;0.001,"En Progreso","Pendiente de ejecutar")))</f>
        <v>Completado</v>
      </c>
    </row>
    <row r="64" spans="1:11" x14ac:dyDescent="0.35">
      <c r="A64" s="2" t="s">
        <v>64</v>
      </c>
      <c r="B64" s="2" t="s">
        <v>65</v>
      </c>
      <c r="C64" s="2" t="s">
        <v>24</v>
      </c>
      <c r="D64" s="2" t="s">
        <v>25</v>
      </c>
      <c r="E64" s="12">
        <v>0</v>
      </c>
      <c r="F64" s="12">
        <v>0</v>
      </c>
      <c r="G64" s="26">
        <v>177001.97</v>
      </c>
      <c r="H64" s="12">
        <f>F64+G64</f>
        <v>177001.97</v>
      </c>
      <c r="I64" s="3">
        <f>E64-H64</f>
        <v>-177001.97</v>
      </c>
      <c r="J64" s="4">
        <f>IFERROR(H64/E64,0)</f>
        <v>0</v>
      </c>
      <c r="K64" s="2" t="str">
        <f>IF(E64=0,"Sin Plan",IF(J64&gt;=1,"Completado",IF(J64&gt;0.001,"En Progreso","Pendiente de ejecutar")))</f>
        <v>Sin Plan</v>
      </c>
    </row>
    <row r="65" spans="1:11" x14ac:dyDescent="0.35">
      <c r="A65" s="5" t="s">
        <v>39</v>
      </c>
      <c r="B65" s="5" t="s">
        <v>40</v>
      </c>
      <c r="C65" s="5" t="s">
        <v>103</v>
      </c>
      <c r="D65" s="5" t="s">
        <v>104</v>
      </c>
      <c r="E65" s="12">
        <v>2700000</v>
      </c>
      <c r="F65" s="12">
        <v>0</v>
      </c>
      <c r="G65" s="12">
        <v>0</v>
      </c>
      <c r="H65" s="12">
        <f>F65+G65</f>
        <v>0</v>
      </c>
      <c r="I65" s="6">
        <f>E65-H65</f>
        <v>2700000</v>
      </c>
      <c r="J65" s="7">
        <f>IFERROR(H65/E65,0)</f>
        <v>0</v>
      </c>
      <c r="K65" s="5" t="str">
        <f>IF(E65=0,"Sin Plan",IF(J65&gt;=1,"Completado",IF(J65&gt;0.001,"En Progreso","Pendiente de ejecutar")))</f>
        <v>Pendiente de ejecutar</v>
      </c>
    </row>
    <row r="66" spans="1:11" x14ac:dyDescent="0.35">
      <c r="A66" s="2" t="s">
        <v>105</v>
      </c>
      <c r="B66" s="2" t="s">
        <v>74</v>
      </c>
      <c r="C66" s="2" t="s">
        <v>22</v>
      </c>
      <c r="D66" s="2" t="s">
        <v>23</v>
      </c>
      <c r="E66" s="12">
        <v>2646000</v>
      </c>
      <c r="F66" s="12">
        <v>0</v>
      </c>
      <c r="G66" s="12">
        <v>0</v>
      </c>
      <c r="H66" s="12">
        <f>F66+G66</f>
        <v>0</v>
      </c>
      <c r="I66" s="3">
        <f>E66-H66</f>
        <v>2646000</v>
      </c>
      <c r="J66" s="4">
        <f>IFERROR(H66/E66,0)</f>
        <v>0</v>
      </c>
      <c r="K66" s="2" t="str">
        <f>IF(E66=0,"Sin Plan",IF(J66&gt;=1,"Completado",IF(J66&gt;0.001,"En Progreso","Pendiente de ejecutar")))</f>
        <v>Pendiente de ejecutar</v>
      </c>
    </row>
    <row r="67" spans="1:11" x14ac:dyDescent="0.35">
      <c r="A67" s="5" t="s">
        <v>183</v>
      </c>
      <c r="B67" s="5" t="s">
        <v>55</v>
      </c>
      <c r="C67" s="5" t="s">
        <v>2</v>
      </c>
      <c r="D67" s="2" t="s">
        <v>299</v>
      </c>
      <c r="E67" s="12">
        <v>350000</v>
      </c>
      <c r="F67" s="12">
        <v>0</v>
      </c>
      <c r="G67" s="12">
        <v>0</v>
      </c>
      <c r="H67" s="12">
        <f>F67+G67</f>
        <v>0</v>
      </c>
      <c r="I67" s="3">
        <f>E67-H67</f>
        <v>350000</v>
      </c>
      <c r="J67" s="7">
        <f>IFERROR(H67/E67,0)</f>
        <v>0</v>
      </c>
      <c r="K67" s="5" t="str">
        <f>IF(E67=0,"Sin Plan",IF(J67&gt;=1,"Completado",IF(J67&gt;0.001,"En Progreso","Pendiente de ejecutar")))</f>
        <v>Pendiente de ejecutar</v>
      </c>
    </row>
    <row r="68" spans="1:11" x14ac:dyDescent="0.35">
      <c r="A68" s="5" t="s">
        <v>48</v>
      </c>
      <c r="B68" s="5" t="s">
        <v>46</v>
      </c>
      <c r="C68" s="5" t="s">
        <v>185</v>
      </c>
      <c r="D68" s="5" t="s">
        <v>186</v>
      </c>
      <c r="E68" s="12">
        <v>108000</v>
      </c>
      <c r="F68" s="12">
        <f>37905.75*3</f>
        <v>113717.25</v>
      </c>
      <c r="H68" s="12">
        <f>F68+G68</f>
        <v>113717.25</v>
      </c>
      <c r="I68" s="3">
        <f>E68-H68</f>
        <v>-5717.25</v>
      </c>
      <c r="J68" s="7">
        <f>IFERROR(H68/E68,0)</f>
        <v>1.0529375000000001</v>
      </c>
      <c r="K68" s="5" t="str">
        <f>IF(E68=0,"Sin Plan",IF(J68&gt;=1,"Completado",IF(J68&gt;0.001,"En Progreso","Pendiente de ejecutar")))</f>
        <v>Completado</v>
      </c>
    </row>
    <row r="69" spans="1:11" x14ac:dyDescent="0.35">
      <c r="A69" s="5" t="s">
        <v>183</v>
      </c>
      <c r="B69" s="5" t="s">
        <v>55</v>
      </c>
      <c r="C69" s="5" t="s">
        <v>158</v>
      </c>
      <c r="D69" s="5" t="s">
        <v>159</v>
      </c>
      <c r="E69" s="12">
        <v>130000</v>
      </c>
      <c r="F69" s="12">
        <v>0</v>
      </c>
      <c r="G69" s="12">
        <v>0</v>
      </c>
      <c r="H69" s="12">
        <f>F69+G69</f>
        <v>0</v>
      </c>
      <c r="I69" s="3">
        <f>E69-H69</f>
        <v>130000</v>
      </c>
      <c r="J69" s="7">
        <f>IFERROR(H69/E69,0)</f>
        <v>0</v>
      </c>
      <c r="K69" s="5" t="str">
        <f>IF(E69=0,"Sin Plan",IF(J69&gt;=1,"Completado",IF(J69&gt;0.001,"En Progreso","Pendiente de ejecutar")))</f>
        <v>Pendiente de ejecutar</v>
      </c>
    </row>
    <row r="70" spans="1:11" x14ac:dyDescent="0.35">
      <c r="A70" s="2" t="s">
        <v>108</v>
      </c>
      <c r="B70" s="2" t="s">
        <v>83</v>
      </c>
      <c r="C70" s="2" t="s">
        <v>109</v>
      </c>
      <c r="D70" s="2" t="s">
        <v>110</v>
      </c>
      <c r="E70" s="12">
        <v>2150000</v>
      </c>
      <c r="F70" s="12">
        <v>0</v>
      </c>
      <c r="G70" s="12">
        <v>0</v>
      </c>
      <c r="H70" s="12">
        <f>F70+G70</f>
        <v>0</v>
      </c>
      <c r="I70" s="3">
        <f>E70-H70</f>
        <v>2150000</v>
      </c>
      <c r="J70" s="4">
        <f>IFERROR(H70/E70,0)</f>
        <v>0</v>
      </c>
      <c r="K70" s="2" t="str">
        <f>IF(E70=0,"Sin Plan",IF(J70&gt;=1,"Completado",IF(J70&gt;0.001,"En Progreso","Pendiente de ejecutar")))</f>
        <v>Pendiente de ejecutar</v>
      </c>
    </row>
    <row r="71" spans="1:11" x14ac:dyDescent="0.35">
      <c r="A71" s="5" t="s">
        <v>183</v>
      </c>
      <c r="B71" s="5" t="s">
        <v>55</v>
      </c>
      <c r="C71" s="5" t="s">
        <v>109</v>
      </c>
      <c r="D71" s="5" t="s">
        <v>110</v>
      </c>
      <c r="E71" s="12">
        <v>0</v>
      </c>
      <c r="F71" s="12">
        <v>26400</v>
      </c>
      <c r="G71" s="12">
        <v>0</v>
      </c>
      <c r="H71" s="12">
        <f>F71+G71</f>
        <v>26400</v>
      </c>
      <c r="I71" s="3">
        <f>E71-H71</f>
        <v>-26400</v>
      </c>
      <c r="J71" s="7">
        <f>IFERROR(H71/E71,0)</f>
        <v>0</v>
      </c>
      <c r="K71" s="5" t="str">
        <f>IF(E71=0,"Sin Plan",IF(J71&gt;=1,"Completado",IF(J71&gt;0.001,"En Progreso","Pendiente de ejecutar")))</f>
        <v>Sin Plan</v>
      </c>
    </row>
    <row r="72" spans="1:11" x14ac:dyDescent="0.35">
      <c r="A72" s="5" t="s">
        <v>48</v>
      </c>
      <c r="B72" s="5" t="s">
        <v>46</v>
      </c>
      <c r="C72" s="5" t="s">
        <v>162</v>
      </c>
      <c r="D72" s="5" t="s">
        <v>163</v>
      </c>
      <c r="E72" s="12">
        <v>20000</v>
      </c>
      <c r="F72" s="12">
        <v>0</v>
      </c>
      <c r="G72" s="12">
        <v>255337.83</v>
      </c>
      <c r="H72" s="12">
        <f>F72+G72</f>
        <v>255337.83</v>
      </c>
      <c r="I72" s="3">
        <f>E72-H72</f>
        <v>-235337.83</v>
      </c>
      <c r="J72" s="7">
        <f>IFERROR(H72/E72,0)</f>
        <v>12.7668915</v>
      </c>
      <c r="K72" s="5" t="str">
        <f>IF(E72=0,"Sin Plan",IF(J72&gt;=1,"Completado",IF(J72&gt;0.001,"En Progreso","Pendiente de ejecutar")))</f>
        <v>Completado</v>
      </c>
    </row>
    <row r="73" spans="1:11" x14ac:dyDescent="0.35">
      <c r="A73" s="2" t="s">
        <v>64</v>
      </c>
      <c r="B73" s="2" t="s">
        <v>65</v>
      </c>
      <c r="D73" s="2" t="s">
        <v>233</v>
      </c>
      <c r="F73" s="12">
        <f>23075.48*2</f>
        <v>46150.96</v>
      </c>
    </row>
    <row r="74" spans="1:11" x14ac:dyDescent="0.35">
      <c r="A74" s="5" t="s">
        <v>69</v>
      </c>
      <c r="B74" s="5" t="s">
        <v>44</v>
      </c>
      <c r="C74" s="5" t="s">
        <v>22</v>
      </c>
      <c r="D74" s="5" t="s">
        <v>23</v>
      </c>
      <c r="E74" s="12">
        <v>0</v>
      </c>
      <c r="F74" s="12">
        <v>0</v>
      </c>
      <c r="G74" s="12">
        <v>246624.75</v>
      </c>
      <c r="H74" s="12">
        <f>F74+G74</f>
        <v>246624.75</v>
      </c>
      <c r="I74" s="3">
        <f>E74-H74</f>
        <v>-246624.75</v>
      </c>
      <c r="J74" s="7">
        <f>IFERROR(H74/E74,0)</f>
        <v>0</v>
      </c>
      <c r="K74" s="5" t="str">
        <f>IF(E74=0,"Sin Plan",IF(J74&gt;=1,"Completado",IF(J74&gt;0.001,"En Progreso","Pendiente de ejecutar")))</f>
        <v>Sin Plan</v>
      </c>
    </row>
    <row r="75" spans="1:11" x14ac:dyDescent="0.35">
      <c r="A75" s="2" t="s">
        <v>69</v>
      </c>
      <c r="B75" s="2" t="s">
        <v>44</v>
      </c>
      <c r="C75" s="2" t="s">
        <v>174</v>
      </c>
      <c r="D75" s="2" t="s">
        <v>175</v>
      </c>
      <c r="E75" s="12">
        <v>0</v>
      </c>
      <c r="F75" s="12">
        <v>0</v>
      </c>
      <c r="G75" s="12">
        <v>0</v>
      </c>
      <c r="H75" s="12">
        <f>F75+G75</f>
        <v>0</v>
      </c>
      <c r="I75" s="3">
        <f>E75-H75</f>
        <v>0</v>
      </c>
      <c r="J75" s="4">
        <f>IFERROR(H75/E75,0)</f>
        <v>0</v>
      </c>
      <c r="K75" s="2" t="str">
        <f>IF(E75=0,"Sin Plan",IF(J75&gt;=1,"Completado",IF(J75&gt;0.001,"En Progreso","Pendiente de ejecutar")))</f>
        <v>Sin Plan</v>
      </c>
    </row>
    <row r="76" spans="1:11" x14ac:dyDescent="0.35">
      <c r="A76" s="2" t="s">
        <v>80</v>
      </c>
      <c r="B76" s="2" t="s">
        <v>53</v>
      </c>
      <c r="C76" s="2" t="s">
        <v>138</v>
      </c>
      <c r="D76" s="2" t="s">
        <v>139</v>
      </c>
      <c r="E76" s="12">
        <v>450000</v>
      </c>
      <c r="F76" s="12">
        <v>818408.64</v>
      </c>
      <c r="G76" s="12">
        <v>0</v>
      </c>
      <c r="H76" s="12">
        <f>F76+G76</f>
        <v>818408.64</v>
      </c>
      <c r="I76" s="3">
        <f>E76-H76</f>
        <v>-368408.64</v>
      </c>
      <c r="J76" s="4">
        <f>IFERROR(H76/E76,0)</f>
        <v>1.8186858666666668</v>
      </c>
      <c r="K76" s="2" t="str">
        <f>IF(E76=0,"Sin Plan",IF(J76&gt;=1,"Completado",IF(J76&gt;0.001,"En Progreso","Pendiente de ejecutar")))</f>
        <v>Completado</v>
      </c>
    </row>
    <row r="77" spans="1:11" x14ac:dyDescent="0.35">
      <c r="A77" s="5" t="s">
        <v>73</v>
      </c>
      <c r="B77" s="5" t="s">
        <v>74</v>
      </c>
      <c r="C77" s="5" t="s">
        <v>94</v>
      </c>
      <c r="D77" s="5" t="s">
        <v>95</v>
      </c>
      <c r="E77" s="12">
        <v>1912000</v>
      </c>
      <c r="F77" s="12">
        <v>0</v>
      </c>
      <c r="G77" s="12">
        <v>0</v>
      </c>
      <c r="H77" s="12">
        <f>F77+G77</f>
        <v>0</v>
      </c>
      <c r="I77" s="6">
        <f>E77-H77</f>
        <v>1912000</v>
      </c>
      <c r="J77" s="7">
        <f>IFERROR(H77/E77,0)</f>
        <v>0</v>
      </c>
      <c r="K77" s="5" t="str">
        <f>IF(E77=0,"Sin Plan",IF(J77&gt;=1,"Completado",IF(J77&gt;0.001,"En Progreso","Pendiente de ejecutar")))</f>
        <v>Pendiente de ejecutar</v>
      </c>
    </row>
    <row r="78" spans="1:11" x14ac:dyDescent="0.35">
      <c r="A78" s="5" t="s">
        <v>63</v>
      </c>
      <c r="B78" s="5" t="s">
        <v>60</v>
      </c>
      <c r="C78" s="5" t="s">
        <v>7</v>
      </c>
      <c r="D78" s="5" t="s">
        <v>8</v>
      </c>
      <c r="E78" s="12">
        <v>11382000</v>
      </c>
      <c r="F78" s="12">
        <v>0</v>
      </c>
      <c r="G78" s="12">
        <v>0</v>
      </c>
      <c r="H78" s="12">
        <f>F78+G78</f>
        <v>0</v>
      </c>
      <c r="I78" s="6">
        <f>E78-H78</f>
        <v>11382000</v>
      </c>
      <c r="J78" s="7">
        <f>IFERROR(H78/E78,0)</f>
        <v>0</v>
      </c>
      <c r="K78" s="5" t="str">
        <f>IF(E78=0,"Sin Plan",IF(J78&gt;=1,"Completado",IF(J78&gt;0.001,"En Progreso","Pendiente de ejecutar")))</f>
        <v>Pendiente de ejecutar</v>
      </c>
    </row>
    <row r="79" spans="1:11" x14ac:dyDescent="0.35">
      <c r="A79" s="2" t="s">
        <v>183</v>
      </c>
      <c r="B79" s="2" t="s">
        <v>55</v>
      </c>
      <c r="C79" s="2" t="s">
        <v>211</v>
      </c>
      <c r="D79" s="2" t="s">
        <v>212</v>
      </c>
      <c r="E79" s="12">
        <v>0</v>
      </c>
      <c r="F79" s="12">
        <v>0</v>
      </c>
      <c r="G79" s="12">
        <v>274733.71999999997</v>
      </c>
      <c r="H79" s="12">
        <f>F79+G79</f>
        <v>274733.71999999997</v>
      </c>
      <c r="I79" s="3">
        <f>E79-H79</f>
        <v>-274733.71999999997</v>
      </c>
      <c r="J79" s="4">
        <f>IFERROR(H79/E79,0)</f>
        <v>0</v>
      </c>
      <c r="K79" s="2" t="str">
        <f>IF(E79=0,"Sin Plan",IF(J79&gt;=1,"Completado",IF(J79&gt;0.001,"En Progreso","Pendiente de ejecutar")))</f>
        <v>Sin Plan</v>
      </c>
    </row>
    <row r="80" spans="1:11" s="16" customFormat="1" x14ac:dyDescent="0.35">
      <c r="A80" s="17" t="s">
        <v>70</v>
      </c>
      <c r="B80" s="17" t="s">
        <v>55</v>
      </c>
      <c r="C80" s="17" t="s">
        <v>13</v>
      </c>
      <c r="D80" s="17" t="s">
        <v>14</v>
      </c>
      <c r="E80" s="12">
        <v>7598250</v>
      </c>
      <c r="F80" s="12">
        <v>0</v>
      </c>
      <c r="G80" s="12">
        <v>0</v>
      </c>
      <c r="H80" s="12">
        <f>F80+G80</f>
        <v>0</v>
      </c>
      <c r="I80" s="3">
        <f>E80-H80</f>
        <v>7598250</v>
      </c>
      <c r="J80" s="19">
        <f>IFERROR(H80/E80,0)</f>
        <v>0</v>
      </c>
      <c r="K80" s="17" t="str">
        <f>IF(E80=0,"Sin Plan",IF(J80&gt;=1,"Completado",IF(J80&gt;0.001,"En Progreso","Pendiente de ejecutar")))</f>
        <v>Pendiente de ejecutar</v>
      </c>
    </row>
    <row r="81" spans="1:13" x14ac:dyDescent="0.35">
      <c r="A81" s="5" t="s">
        <v>70</v>
      </c>
      <c r="B81" s="5" t="s">
        <v>55</v>
      </c>
      <c r="C81" s="5" t="s">
        <v>24</v>
      </c>
      <c r="D81" s="5" t="s">
        <v>25</v>
      </c>
      <c r="E81" s="12">
        <v>6280000</v>
      </c>
      <c r="F81" s="12">
        <v>0</v>
      </c>
      <c r="G81" s="12">
        <v>0</v>
      </c>
      <c r="H81" s="12">
        <f>F81+G81</f>
        <v>0</v>
      </c>
      <c r="I81" s="3">
        <f>E81-H81</f>
        <v>6280000</v>
      </c>
      <c r="J81" s="7">
        <f>IFERROR(H81/E81,0)</f>
        <v>0</v>
      </c>
      <c r="K81" s="5" t="str">
        <f>IF(E81=0,"Sin Plan",IF(J81&gt;=1,"Completado",IF(J81&gt;0.001,"En Progreso","Pendiente de ejecutar")))</f>
        <v>Pendiente de ejecutar</v>
      </c>
    </row>
    <row r="82" spans="1:13" x14ac:dyDescent="0.35">
      <c r="A82" s="5" t="s">
        <v>70</v>
      </c>
      <c r="B82" s="5" t="s">
        <v>55</v>
      </c>
      <c r="C82" s="5" t="s">
        <v>3</v>
      </c>
      <c r="D82" s="5" t="s">
        <v>4</v>
      </c>
      <c r="E82" s="12">
        <v>1755000</v>
      </c>
      <c r="F82" s="12">
        <v>166500</v>
      </c>
      <c r="G82" s="12">
        <v>0</v>
      </c>
      <c r="H82" s="12">
        <f>F82+G82</f>
        <v>166500</v>
      </c>
      <c r="I82" s="3">
        <f>E82-H82</f>
        <v>1588500</v>
      </c>
      <c r="J82" s="7">
        <f>IFERROR(H82/E82,0)</f>
        <v>9.4871794871794868E-2</v>
      </c>
      <c r="K82" s="5" t="str">
        <f>IF(E82=0,"Sin Plan",IF(J82&gt;=1,"Completado",IF(J82&gt;0.001,"En Progreso","Pendiente de ejecutar")))</f>
        <v>En Progreso</v>
      </c>
    </row>
    <row r="83" spans="1:13" x14ac:dyDescent="0.35">
      <c r="A83" s="5" t="s">
        <v>70</v>
      </c>
      <c r="B83" s="5" t="s">
        <v>55</v>
      </c>
      <c r="C83" s="5" t="s">
        <v>116</v>
      </c>
      <c r="D83" s="5" t="s">
        <v>117</v>
      </c>
      <c r="E83" s="12">
        <v>1700000</v>
      </c>
      <c r="F83" s="12">
        <v>0</v>
      </c>
      <c r="G83" s="12">
        <v>0</v>
      </c>
      <c r="H83" s="12">
        <f>F83+G83</f>
        <v>0</v>
      </c>
      <c r="I83" s="3">
        <f>E83-H83</f>
        <v>1700000</v>
      </c>
      <c r="J83" s="7">
        <f>IFERROR(H83/E83,0)</f>
        <v>0</v>
      </c>
      <c r="K83" s="5" t="str">
        <f>IF(E83=0,"Sin Plan",IF(J83&gt;=1,"Completado",IF(J83&gt;0.001,"En Progreso","Pendiente de ejecutar")))</f>
        <v>Pendiente de ejecutar</v>
      </c>
    </row>
    <row r="84" spans="1:13" x14ac:dyDescent="0.35">
      <c r="A84" s="5" t="s">
        <v>80</v>
      </c>
      <c r="B84" s="5" t="s">
        <v>53</v>
      </c>
      <c r="C84" s="5" t="s">
        <v>193</v>
      </c>
      <c r="D84" s="5" t="s">
        <v>194</v>
      </c>
      <c r="E84" s="12">
        <v>355900</v>
      </c>
      <c r="F84" s="12">
        <v>0</v>
      </c>
      <c r="G84" s="12">
        <v>0</v>
      </c>
      <c r="H84" s="12">
        <f>F84+G84</f>
        <v>0</v>
      </c>
      <c r="I84" s="6">
        <f>E84-H84</f>
        <v>355900</v>
      </c>
      <c r="J84" s="7">
        <f>IFERROR(H84/E84,0)</f>
        <v>0</v>
      </c>
      <c r="K84" s="5" t="str">
        <f>IF(E84=0,"Sin Plan",IF(J84&gt;=1,"Completado",IF(J84&gt;0.001,"En Progreso","Pendiente de ejecutar")))</f>
        <v>Pendiente de ejecutar</v>
      </c>
    </row>
    <row r="85" spans="1:13" x14ac:dyDescent="0.35">
      <c r="A85" s="5" t="s">
        <v>80</v>
      </c>
      <c r="B85" s="5" t="s">
        <v>53</v>
      </c>
      <c r="C85" s="5" t="s">
        <v>198</v>
      </c>
      <c r="D85" s="5" t="s">
        <v>199</v>
      </c>
      <c r="E85" s="12">
        <v>168000</v>
      </c>
      <c r="F85" s="12">
        <v>0</v>
      </c>
      <c r="G85" s="12">
        <v>0</v>
      </c>
      <c r="H85" s="12">
        <f>F85+G85</f>
        <v>0</v>
      </c>
      <c r="I85" s="6">
        <f>E85-H85</f>
        <v>168000</v>
      </c>
      <c r="J85" s="7">
        <f>IFERROR(H85/E85,0)</f>
        <v>0</v>
      </c>
      <c r="K85" s="5" t="str">
        <f>IF(E85=0,"Sin Plan",IF(J85&gt;=1,"Completado",IF(J85&gt;0.001,"En Progreso","Pendiente de ejecutar")))</f>
        <v>Pendiente de ejecutar</v>
      </c>
      <c r="M85" s="11"/>
    </row>
    <row r="86" spans="1:13" x14ac:dyDescent="0.35">
      <c r="A86" s="5" t="s">
        <v>48</v>
      </c>
      <c r="B86" s="5" t="s">
        <v>46</v>
      </c>
      <c r="C86" s="5" t="s">
        <v>254</v>
      </c>
      <c r="D86" s="5" t="s">
        <v>255</v>
      </c>
      <c r="E86" s="12">
        <v>0</v>
      </c>
      <c r="F86" s="12">
        <v>57568</v>
      </c>
      <c r="G86" s="12">
        <v>0</v>
      </c>
      <c r="H86" s="12">
        <f>F86+G86</f>
        <v>57568</v>
      </c>
      <c r="I86" s="3">
        <f>E86-H86</f>
        <v>-57568</v>
      </c>
      <c r="J86" s="7">
        <f>IFERROR(H86/E86,0)</f>
        <v>0</v>
      </c>
      <c r="K86" s="5" t="str">
        <f>IF(E86=0,"Sin Plan",IF(J86&gt;=1,"Completado",IF(J86&gt;0.001,"En Progreso","Pendiente de ejecutar")))</f>
        <v>Sin Plan</v>
      </c>
    </row>
    <row r="87" spans="1:13" x14ac:dyDescent="0.35">
      <c r="A87" s="5" t="s">
        <v>69</v>
      </c>
      <c r="B87" s="5" t="s">
        <v>44</v>
      </c>
      <c r="C87" s="5" t="s">
        <v>178</v>
      </c>
      <c r="D87" s="5" t="s">
        <v>179</v>
      </c>
      <c r="E87" s="12">
        <v>0</v>
      </c>
      <c r="F87" s="12">
        <v>0</v>
      </c>
      <c r="G87" s="12">
        <v>0</v>
      </c>
      <c r="H87" s="12">
        <f>F87+G87</f>
        <v>0</v>
      </c>
      <c r="I87" s="3">
        <f>E87-H87</f>
        <v>0</v>
      </c>
      <c r="J87" s="7">
        <f>IFERROR(H87/E87,0)</f>
        <v>0</v>
      </c>
      <c r="K87" s="5" t="str">
        <f>IF(E87=0,"Sin Plan",IF(J87&gt;=1,"Completado",IF(J87&gt;0.001,"En Progreso","Pendiente de ejecutar")))</f>
        <v>Sin Plan</v>
      </c>
    </row>
    <row r="88" spans="1:13" x14ac:dyDescent="0.35">
      <c r="A88" s="2" t="s">
        <v>80</v>
      </c>
      <c r="B88" s="2" t="s">
        <v>53</v>
      </c>
      <c r="C88" s="2" t="s">
        <v>162</v>
      </c>
      <c r="D88" s="2" t="s">
        <v>163</v>
      </c>
      <c r="E88" s="12">
        <v>167500</v>
      </c>
      <c r="F88" s="12">
        <v>283708.7</v>
      </c>
      <c r="G88" s="12">
        <v>0</v>
      </c>
      <c r="H88" s="12">
        <f>F88+G88</f>
        <v>283708.7</v>
      </c>
      <c r="I88" s="3">
        <f>E88-H88</f>
        <v>-116208.70000000001</v>
      </c>
      <c r="J88" s="4">
        <f>IFERROR(H88/E88,0)</f>
        <v>1.6937832835820896</v>
      </c>
      <c r="K88" s="2" t="str">
        <f>IF(E88=0,"Sin Plan",IF(J88&gt;=1,"Completado",IF(J88&gt;0.001,"En Progreso","Pendiente de ejecutar")))</f>
        <v>Completado</v>
      </c>
      <c r="M88" s="11"/>
    </row>
    <row r="89" spans="1:13" x14ac:dyDescent="0.35">
      <c r="A89" s="2" t="s">
        <v>69</v>
      </c>
      <c r="B89" s="2" t="s">
        <v>44</v>
      </c>
      <c r="C89" s="2" t="s">
        <v>138</v>
      </c>
      <c r="D89" s="2" t="s">
        <v>139</v>
      </c>
      <c r="E89" s="12">
        <v>0</v>
      </c>
      <c r="F89" s="12">
        <v>0</v>
      </c>
      <c r="G89" s="12">
        <v>0</v>
      </c>
      <c r="H89" s="12">
        <f>F89+G89</f>
        <v>0</v>
      </c>
      <c r="I89" s="3">
        <f>E89-H89</f>
        <v>0</v>
      </c>
      <c r="J89" s="4">
        <f>IFERROR(H89/E89,0)</f>
        <v>0</v>
      </c>
      <c r="K89" s="2" t="str">
        <f>IF(E89=0,"Sin Plan",IF(J89&gt;=1,"Completado",IF(J89&gt;0.001,"En Progreso","Pendiente de ejecutar")))</f>
        <v>Sin Plan</v>
      </c>
    </row>
    <row r="90" spans="1:13" x14ac:dyDescent="0.35">
      <c r="A90" s="5" t="s">
        <v>63</v>
      </c>
      <c r="B90" s="5" t="s">
        <v>60</v>
      </c>
      <c r="C90" s="5" t="s">
        <v>9</v>
      </c>
      <c r="D90" s="5" t="s">
        <v>10</v>
      </c>
      <c r="E90" s="12">
        <v>462000</v>
      </c>
      <c r="F90" s="12">
        <v>275967.8</v>
      </c>
      <c r="G90" s="12">
        <v>0</v>
      </c>
      <c r="H90" s="12">
        <f>F90+G90</f>
        <v>275967.8</v>
      </c>
      <c r="I90" s="6">
        <f>E90-H90</f>
        <v>186032.2</v>
      </c>
      <c r="J90" s="7">
        <f>IFERROR(H90/E90,0)</f>
        <v>0.59733290043290044</v>
      </c>
      <c r="K90" s="5" t="str">
        <f>IF(E90=0,"Sin Plan",IF(J90&gt;=1,"Completado",IF(J90&gt;0.001,"En Progreso","Pendiente de ejecutar")))</f>
        <v>En Progreso</v>
      </c>
    </row>
    <row r="91" spans="1:13" x14ac:dyDescent="0.35">
      <c r="A91" s="2" t="s">
        <v>70</v>
      </c>
      <c r="B91" s="2" t="s">
        <v>55</v>
      </c>
      <c r="C91" s="2" t="s">
        <v>28</v>
      </c>
      <c r="D91" s="2" t="s">
        <v>29</v>
      </c>
      <c r="E91" s="12">
        <v>1440000</v>
      </c>
      <c r="F91" s="12">
        <v>91500</v>
      </c>
      <c r="H91" s="12">
        <f>F91+G91</f>
        <v>91500</v>
      </c>
      <c r="I91" s="3">
        <f>E91-H91</f>
        <v>1348500</v>
      </c>
      <c r="J91" s="4">
        <f>IFERROR(H91/E91,0)</f>
        <v>6.3541666666666663E-2</v>
      </c>
      <c r="K91" s="2" t="str">
        <f>IF(E91=0,"Sin Plan",IF(J91&gt;=1,"Completado",IF(J91&gt;0.001,"En Progreso","Pendiente de ejecutar")))</f>
        <v>En Progreso</v>
      </c>
    </row>
    <row r="92" spans="1:13" x14ac:dyDescent="0.35">
      <c r="A92" s="2" t="s">
        <v>57</v>
      </c>
      <c r="B92" s="2" t="s">
        <v>51</v>
      </c>
      <c r="C92" s="2" t="s">
        <v>7</v>
      </c>
      <c r="D92" s="2" t="s">
        <v>8</v>
      </c>
      <c r="E92" s="12">
        <v>11452000</v>
      </c>
      <c r="F92" s="12">
        <v>0</v>
      </c>
      <c r="G92" s="12">
        <v>0</v>
      </c>
      <c r="H92" s="12">
        <f>F92+G92</f>
        <v>0</v>
      </c>
      <c r="I92" s="3">
        <f>E92-H92</f>
        <v>11452000</v>
      </c>
      <c r="J92" s="4">
        <f>IFERROR(H92/E92,0)</f>
        <v>0</v>
      </c>
      <c r="K92" s="2" t="str">
        <f>IF(E92=0,"Sin Plan",IF(J92&gt;=1,"Completado",IF(J92&gt;0.001,"En Progreso","Pendiente de ejecutar")))</f>
        <v>Pendiente de ejecutar</v>
      </c>
    </row>
    <row r="93" spans="1:13" x14ac:dyDescent="0.35">
      <c r="A93" s="2" t="s">
        <v>57</v>
      </c>
      <c r="B93" s="2" t="s">
        <v>51</v>
      </c>
      <c r="C93" s="2" t="s">
        <v>3</v>
      </c>
      <c r="D93" s="2" t="s">
        <v>4</v>
      </c>
      <c r="E93" s="12">
        <v>435000</v>
      </c>
      <c r="F93" s="12">
        <v>326891.09999999998</v>
      </c>
      <c r="G93" s="12">
        <v>0</v>
      </c>
      <c r="H93" s="12">
        <f>F93+G93</f>
        <v>326891.09999999998</v>
      </c>
      <c r="I93" s="3">
        <f>E93-H93</f>
        <v>108108.90000000002</v>
      </c>
      <c r="J93" s="4">
        <f>IFERROR(H93/E93,0)</f>
        <v>0.7514737931034482</v>
      </c>
      <c r="K93" s="2" t="str">
        <f>IF(E93=0,"Sin Plan",IF(J93&gt;=1,"Completado",IF(J93&gt;0.001,"En Progreso","Pendiente de ejecutar")))</f>
        <v>En Progreso</v>
      </c>
    </row>
    <row r="94" spans="1:13" x14ac:dyDescent="0.35">
      <c r="A94" s="2" t="s">
        <v>70</v>
      </c>
      <c r="B94" s="2" t="s">
        <v>55</v>
      </c>
      <c r="C94" s="2" t="s">
        <v>2</v>
      </c>
      <c r="D94" s="2" t="s">
        <v>299</v>
      </c>
      <c r="E94" s="12">
        <v>840000</v>
      </c>
      <c r="F94" s="12">
        <v>0</v>
      </c>
      <c r="G94" s="12">
        <v>4841717.07</v>
      </c>
      <c r="H94" s="12">
        <f>F94+G94</f>
        <v>4841717.07</v>
      </c>
      <c r="I94" s="3">
        <f>E94-H94</f>
        <v>-4001717.0700000003</v>
      </c>
      <c r="J94" s="4">
        <f>IFERROR(H94/E94,0)</f>
        <v>5.763948892857143</v>
      </c>
      <c r="K94" s="2" t="str">
        <f>IF(E94=0,"Sin Plan",IF(J94&gt;=1,"Completado",IF(J94&gt;0.001,"En Progreso","Pendiente de ejecutar")))</f>
        <v>Completado</v>
      </c>
    </row>
    <row r="95" spans="1:13" x14ac:dyDescent="0.35">
      <c r="A95" s="2" t="s">
        <v>57</v>
      </c>
      <c r="B95" s="2" t="s">
        <v>51</v>
      </c>
      <c r="C95" s="2" t="s">
        <v>2</v>
      </c>
      <c r="D95" s="2" t="s">
        <v>299</v>
      </c>
      <c r="E95" s="12">
        <v>110000</v>
      </c>
      <c r="F95" s="12">
        <f>23075.48*2</f>
        <v>46150.96</v>
      </c>
      <c r="G95" s="12">
        <v>0</v>
      </c>
      <c r="H95" s="12">
        <f>F95+G95</f>
        <v>46150.96</v>
      </c>
      <c r="I95" s="3">
        <f>E95-H95</f>
        <v>63849.04</v>
      </c>
      <c r="J95" s="4">
        <f>IFERROR(H95/E95,0)</f>
        <v>0.41955418181818183</v>
      </c>
      <c r="K95" s="2" t="str">
        <f>IF(E95=0,"Sin Plan",IF(J95&gt;=1,"Completado",IF(J95&gt;0.001,"En Progreso","Pendiente de ejecutar")))</f>
        <v>En Progreso</v>
      </c>
    </row>
    <row r="96" spans="1:13" x14ac:dyDescent="0.35">
      <c r="A96" s="5" t="s">
        <v>57</v>
      </c>
      <c r="B96" s="5" t="s">
        <v>51</v>
      </c>
      <c r="C96" s="5" t="s">
        <v>128</v>
      </c>
      <c r="D96" s="5" t="s">
        <v>129</v>
      </c>
      <c r="E96" s="12">
        <v>0</v>
      </c>
      <c r="F96" s="12">
        <v>0</v>
      </c>
      <c r="G96" s="12">
        <v>0</v>
      </c>
      <c r="H96" s="12">
        <f>F96+G96</f>
        <v>0</v>
      </c>
      <c r="I96" s="6">
        <f>E96-H96</f>
        <v>0</v>
      </c>
      <c r="J96" s="7">
        <f>IFERROR(H96/E96,0)</f>
        <v>0</v>
      </c>
      <c r="K96" s="5" t="str">
        <f>IF(E96=0,"Sin Plan",IF(J96&gt;=1,"Completado",IF(J96&gt;0.001,"En Progreso","Pendiente de ejecutar")))</f>
        <v>Sin Plan</v>
      </c>
    </row>
    <row r="97" spans="1:11" x14ac:dyDescent="0.35">
      <c r="A97" s="5" t="s">
        <v>58</v>
      </c>
      <c r="B97" s="5" t="s">
        <v>51</v>
      </c>
      <c r="C97" s="5" t="s">
        <v>7</v>
      </c>
      <c r="D97" s="5" t="s">
        <v>8</v>
      </c>
      <c r="E97" s="12">
        <v>11452000</v>
      </c>
      <c r="F97" s="12">
        <v>0</v>
      </c>
      <c r="G97" s="12">
        <v>0</v>
      </c>
      <c r="H97" s="12">
        <f>F97+G97</f>
        <v>0</v>
      </c>
      <c r="I97" s="6">
        <f>E97-H97</f>
        <v>11452000</v>
      </c>
      <c r="J97" s="7">
        <f>IFERROR(H97/E97,0)</f>
        <v>0</v>
      </c>
      <c r="K97" s="5" t="str">
        <f>IF(E97=0,"Sin Plan",IF(J97&gt;=1,"Completado",IF(J97&gt;0.001,"En Progreso","Pendiente de ejecutar")))</f>
        <v>Pendiente de ejecutar</v>
      </c>
    </row>
    <row r="98" spans="1:11" x14ac:dyDescent="0.35">
      <c r="A98" s="2" t="s">
        <v>70</v>
      </c>
      <c r="B98" s="2" t="s">
        <v>55</v>
      </c>
      <c r="C98" s="2" t="s">
        <v>178</v>
      </c>
      <c r="D98" s="2" t="s">
        <v>179</v>
      </c>
      <c r="E98" s="12">
        <v>450000</v>
      </c>
      <c r="F98" s="12">
        <v>157344</v>
      </c>
      <c r="G98" s="12">
        <v>0</v>
      </c>
      <c r="H98" s="12">
        <f>F98+G98</f>
        <v>157344</v>
      </c>
      <c r="I98" s="3">
        <f>E98-H98</f>
        <v>292656</v>
      </c>
      <c r="J98" s="4">
        <f>IFERROR(H98/E98,0)</f>
        <v>0.34965333333333332</v>
      </c>
      <c r="K98" s="2" t="str">
        <f>IF(E98=0,"Sin Plan",IF(J98&gt;=1,"Completado",IF(J98&gt;0.001,"En Progreso","Pendiente de ejecutar")))</f>
        <v>En Progreso</v>
      </c>
    </row>
    <row r="99" spans="1:11" x14ac:dyDescent="0.35">
      <c r="A99" s="5" t="s">
        <v>58</v>
      </c>
      <c r="B99" s="5" t="s">
        <v>51</v>
      </c>
      <c r="C99" s="5" t="s">
        <v>2</v>
      </c>
      <c r="D99" s="2" t="s">
        <v>299</v>
      </c>
      <c r="E99" s="12">
        <v>1463000</v>
      </c>
      <c r="F99" s="12">
        <v>612102.36</v>
      </c>
      <c r="G99" s="12">
        <v>0</v>
      </c>
      <c r="H99" s="12">
        <f>F99+G99</f>
        <v>612102.36</v>
      </c>
      <c r="I99" s="6">
        <f>E99-H99</f>
        <v>850897.64</v>
      </c>
      <c r="J99" s="7">
        <f>IFERROR(H99/E99,0)</f>
        <v>0.41838848940533152</v>
      </c>
      <c r="K99" s="5" t="str">
        <f>IF(E99=0,"Sin Plan",IF(J99&gt;=1,"Completado",IF(J99&gt;0.001,"En Progreso","Pendiente de ejecutar")))</f>
        <v>En Progreso</v>
      </c>
    </row>
    <row r="100" spans="1:11" x14ac:dyDescent="0.35">
      <c r="A100" s="2" t="s">
        <v>58</v>
      </c>
      <c r="B100" s="2" t="s">
        <v>51</v>
      </c>
      <c r="C100" s="2" t="s">
        <v>18</v>
      </c>
      <c r="D100" s="2" t="s">
        <v>19</v>
      </c>
      <c r="E100" s="12">
        <v>685000</v>
      </c>
      <c r="F100" s="12">
        <v>0</v>
      </c>
      <c r="G100" s="12">
        <v>850100</v>
      </c>
      <c r="H100" s="12">
        <f>F100+G100</f>
        <v>850100</v>
      </c>
      <c r="I100" s="3">
        <f>E100-H100</f>
        <v>-165100</v>
      </c>
      <c r="J100" s="4">
        <f>IFERROR(H100/E100,0)</f>
        <v>1.241021897810219</v>
      </c>
      <c r="K100" s="2" t="str">
        <f>IF(E100=0,"Sin Plan",IF(J100&gt;=1,"Completado",IF(J100&gt;0.001,"En Progreso","Pendiente de ejecutar")))</f>
        <v>Completado</v>
      </c>
    </row>
    <row r="101" spans="1:11" x14ac:dyDescent="0.35">
      <c r="A101" s="2" t="s">
        <v>70</v>
      </c>
      <c r="B101" s="2" t="s">
        <v>55</v>
      </c>
      <c r="C101" s="2" t="s">
        <v>167</v>
      </c>
      <c r="D101" s="2" t="s">
        <v>168</v>
      </c>
      <c r="E101" s="12">
        <v>448000</v>
      </c>
      <c r="F101" s="12">
        <v>0</v>
      </c>
      <c r="G101" s="12">
        <v>170582.95</v>
      </c>
      <c r="H101" s="12">
        <f>F101+G101</f>
        <v>170582.95</v>
      </c>
      <c r="I101" s="3">
        <f>E101-H101</f>
        <v>277417.05</v>
      </c>
      <c r="J101" s="4">
        <f>IFERROR(H101/E101,0)</f>
        <v>0.38076551339285719</v>
      </c>
      <c r="K101" s="2" t="str">
        <f>IF(E101=0,"Sin Plan",IF(J101&gt;=1,"Completado",IF(J101&gt;0.001,"En Progreso","Pendiente de ejecutar")))</f>
        <v>En Progreso</v>
      </c>
    </row>
    <row r="102" spans="1:11" x14ac:dyDescent="0.35">
      <c r="A102" s="2" t="s">
        <v>58</v>
      </c>
      <c r="B102" s="2" t="s">
        <v>51</v>
      </c>
      <c r="C102" s="2" t="s">
        <v>9</v>
      </c>
      <c r="D102" s="2" t="s">
        <v>10</v>
      </c>
      <c r="E102" s="12">
        <v>462000</v>
      </c>
      <c r="F102" s="12">
        <v>410352.12</v>
      </c>
      <c r="G102" s="12">
        <v>0</v>
      </c>
      <c r="H102" s="12">
        <f>F102+G102</f>
        <v>410352.12</v>
      </c>
      <c r="I102" s="3">
        <f>E102-H102</f>
        <v>51647.880000000005</v>
      </c>
      <c r="J102" s="4">
        <f>IFERROR(H102/E102,0)</f>
        <v>0.88820805194805197</v>
      </c>
      <c r="K102" s="2" t="str">
        <f>IF(E102=0,"Sin Plan",IF(J102&gt;=1,"Completado",IF(J102&gt;0.001,"En Progreso","Pendiente de ejecutar")))</f>
        <v>En Progreso</v>
      </c>
    </row>
    <row r="103" spans="1:11" x14ac:dyDescent="0.35">
      <c r="A103" s="5" t="s">
        <v>70</v>
      </c>
      <c r="B103" s="5" t="s">
        <v>55</v>
      </c>
      <c r="C103" s="5" t="s">
        <v>162</v>
      </c>
      <c r="D103" s="5" t="s">
        <v>163</v>
      </c>
      <c r="E103" s="12">
        <v>427500</v>
      </c>
      <c r="F103" s="12">
        <v>0</v>
      </c>
      <c r="G103" s="12">
        <v>322869.2</v>
      </c>
      <c r="H103" s="12">
        <f>F103+G103</f>
        <v>322869.2</v>
      </c>
      <c r="I103" s="3">
        <f>E103-H103</f>
        <v>104630.79999999999</v>
      </c>
      <c r="J103" s="7">
        <f>IFERROR(H103/E103,0)</f>
        <v>0.7552495906432749</v>
      </c>
      <c r="K103" s="5" t="str">
        <f>IF(E103=0,"Sin Plan",IF(J103&gt;=1,"Completado",IF(J103&gt;0.001,"En Progreso","Pendiente de ejecutar")))</f>
        <v>En Progreso</v>
      </c>
    </row>
    <row r="104" spans="1:11" x14ac:dyDescent="0.35">
      <c r="A104" s="2" t="s">
        <v>82</v>
      </c>
      <c r="B104" s="2" t="s">
        <v>83</v>
      </c>
      <c r="C104" s="2" t="s">
        <v>130</v>
      </c>
      <c r="D104" s="2" t="s">
        <v>131</v>
      </c>
      <c r="E104" s="12">
        <v>1350000</v>
      </c>
      <c r="F104" s="12">
        <v>0</v>
      </c>
      <c r="G104" s="12">
        <v>49000</v>
      </c>
      <c r="H104" s="12">
        <f>F104+G104</f>
        <v>49000</v>
      </c>
      <c r="I104" s="3">
        <f>E104-H104</f>
        <v>1301000</v>
      </c>
      <c r="J104" s="4">
        <f>IFERROR(H104/E104,0)</f>
        <v>3.6296296296296299E-2</v>
      </c>
      <c r="K104" s="2" t="str">
        <f>IF(E104=0,"Sin Plan",IF(J104&gt;=1,"Completado",IF(J104&gt;0.001,"En Progreso","Pendiente de ejecutar")))</f>
        <v>En Progreso</v>
      </c>
    </row>
    <row r="105" spans="1:11" x14ac:dyDescent="0.35">
      <c r="A105" s="5" t="s">
        <v>70</v>
      </c>
      <c r="B105" s="5" t="s">
        <v>55</v>
      </c>
      <c r="C105" s="5" t="s">
        <v>120</v>
      </c>
      <c r="D105" s="5" t="s">
        <v>121</v>
      </c>
      <c r="E105" s="12">
        <v>320000</v>
      </c>
      <c r="F105" s="12">
        <v>0</v>
      </c>
      <c r="G105" s="12">
        <v>0</v>
      </c>
      <c r="H105" s="12">
        <f>F105+G105</f>
        <v>0</v>
      </c>
      <c r="I105" s="3">
        <f>E105-H105</f>
        <v>320000</v>
      </c>
      <c r="J105" s="7">
        <f>IFERROR(H105/E105,0)</f>
        <v>0</v>
      </c>
      <c r="K105" s="5" t="str">
        <f>IF(E105=0,"Sin Plan",IF(J105&gt;=1,"Completado",IF(J105&gt;0.001,"En Progreso","Pendiente de ejecutar")))</f>
        <v>Pendiente de ejecutar</v>
      </c>
    </row>
    <row r="106" spans="1:11" x14ac:dyDescent="0.35">
      <c r="A106" s="2" t="s">
        <v>70</v>
      </c>
      <c r="B106" s="2" t="s">
        <v>55</v>
      </c>
      <c r="C106" s="2" t="s">
        <v>158</v>
      </c>
      <c r="D106" s="2" t="s">
        <v>159</v>
      </c>
      <c r="E106" s="12">
        <v>260000</v>
      </c>
      <c r="F106" s="12">
        <f>98659.84*2</f>
        <v>197319.67999999999</v>
      </c>
      <c r="G106" s="12">
        <v>0</v>
      </c>
      <c r="H106" s="12">
        <f>F106+G106</f>
        <v>197319.67999999999</v>
      </c>
      <c r="I106" s="3">
        <f>E106-H106</f>
        <v>62680.320000000007</v>
      </c>
      <c r="J106" s="4">
        <f>IFERROR(H106/E106,0)</f>
        <v>0.75892184615384617</v>
      </c>
      <c r="K106" s="2" t="str">
        <f>IF(E106=0,"Sin Plan",IF(J106&gt;=1,"Completado",IF(J106&gt;0.001,"En Progreso","Pendiente de ejecutar")))</f>
        <v>En Progreso</v>
      </c>
    </row>
    <row r="107" spans="1:11" x14ac:dyDescent="0.35">
      <c r="A107" s="5" t="s">
        <v>80</v>
      </c>
      <c r="B107" s="5" t="s">
        <v>53</v>
      </c>
      <c r="C107" s="5" t="s">
        <v>2</v>
      </c>
      <c r="D107" s="2" t="s">
        <v>299</v>
      </c>
      <c r="E107" s="12">
        <v>49000</v>
      </c>
      <c r="F107" s="12">
        <v>17067.28</v>
      </c>
      <c r="G107" s="12">
        <v>0</v>
      </c>
      <c r="H107" s="12">
        <f>F107+G107</f>
        <v>17067.28</v>
      </c>
      <c r="I107" s="6">
        <f>E107-H107</f>
        <v>31932.720000000001</v>
      </c>
      <c r="J107" s="7">
        <f>IFERROR(H107/E107,0)</f>
        <v>0.34831183673469385</v>
      </c>
      <c r="K107" s="5" t="str">
        <f>IF(E107=0,"Sin Plan",IF(J107&gt;=1,"Completado",IF(J107&gt;0.001,"En Progreso","Pendiente de ejecutar")))</f>
        <v>En Progreso</v>
      </c>
    </row>
    <row r="108" spans="1:11" x14ac:dyDescent="0.35">
      <c r="A108" s="5" t="s">
        <v>48</v>
      </c>
      <c r="B108" s="5" t="s">
        <v>46</v>
      </c>
      <c r="C108" s="5" t="s">
        <v>167</v>
      </c>
      <c r="D108" s="5" t="s">
        <v>168</v>
      </c>
      <c r="E108" s="12">
        <v>0</v>
      </c>
      <c r="F108" s="12">
        <v>0</v>
      </c>
      <c r="G108" s="12">
        <v>537231.13</v>
      </c>
      <c r="H108" s="12">
        <f>F108+G108</f>
        <v>537231.13</v>
      </c>
      <c r="I108" s="3">
        <f>E108-H108</f>
        <v>-537231.13</v>
      </c>
      <c r="J108" s="7">
        <f>IFERROR(H108/E108,0)</f>
        <v>0</v>
      </c>
      <c r="K108" s="5" t="str">
        <f>IF(E108=0,"Sin Plan",IF(J108&gt;=1,"Completado",IF(J108&gt;0.001,"En Progreso","Pendiente de ejecutar")))</f>
        <v>Sin Plan</v>
      </c>
    </row>
    <row r="109" spans="1:11" x14ac:dyDescent="0.35">
      <c r="A109" s="2" t="s">
        <v>48</v>
      </c>
      <c r="B109" s="2" t="s">
        <v>46</v>
      </c>
      <c r="C109" s="2" t="s">
        <v>13</v>
      </c>
      <c r="D109" s="2" t="s">
        <v>14</v>
      </c>
      <c r="E109" s="12">
        <v>0</v>
      </c>
      <c r="F109" s="12">
        <v>0</v>
      </c>
      <c r="G109" s="12">
        <v>360677.92</v>
      </c>
      <c r="H109" s="12">
        <f>F109+G109</f>
        <v>360677.92</v>
      </c>
      <c r="I109" s="3">
        <f>E109-H109</f>
        <v>-360677.92</v>
      </c>
      <c r="J109" s="4">
        <f>IFERROR(H109/E109,0)</f>
        <v>0</v>
      </c>
      <c r="K109" s="2" t="str">
        <f>IF(E109=0,"Sin Plan",IF(J109&gt;=1,"Completado",IF(J109&gt;0.001,"En Progreso","Pendiente de ejecutar")))</f>
        <v>Sin Plan</v>
      </c>
    </row>
    <row r="110" spans="1:11" x14ac:dyDescent="0.35">
      <c r="A110" s="2" t="s">
        <v>58</v>
      </c>
      <c r="B110" s="2" t="s">
        <v>51</v>
      </c>
      <c r="C110" s="2" t="s">
        <v>26</v>
      </c>
      <c r="D110" s="2" t="s">
        <v>27</v>
      </c>
      <c r="E110" s="12">
        <v>112000</v>
      </c>
      <c r="F110" s="12">
        <v>0</v>
      </c>
      <c r="G110" s="12">
        <v>0</v>
      </c>
      <c r="H110" s="12">
        <f>F110+G110</f>
        <v>0</v>
      </c>
      <c r="I110" s="3">
        <f>E110-H110</f>
        <v>112000</v>
      </c>
      <c r="J110" s="4">
        <f>IFERROR(H110/E110,0)</f>
        <v>0</v>
      </c>
      <c r="K110" s="2" t="str">
        <f>IF(E110=0,"Sin Plan",IF(J110&gt;=1,"Completado",IF(J110&gt;0.001,"En Progreso","Pendiente de ejecutar")))</f>
        <v>Pendiente de ejecutar</v>
      </c>
    </row>
    <row r="111" spans="1:11" x14ac:dyDescent="0.35">
      <c r="A111" s="2" t="s">
        <v>70</v>
      </c>
      <c r="B111" s="2" t="s">
        <v>55</v>
      </c>
      <c r="C111" s="2" t="s">
        <v>205</v>
      </c>
      <c r="D111" s="2" t="s">
        <v>206</v>
      </c>
      <c r="E111" s="12">
        <v>156000</v>
      </c>
      <c r="F111" s="12">
        <v>0</v>
      </c>
      <c r="G111" s="12">
        <v>0</v>
      </c>
      <c r="H111" s="12">
        <f>F111+G111</f>
        <v>0</v>
      </c>
      <c r="I111" s="3">
        <f>E111-H111</f>
        <v>156000</v>
      </c>
      <c r="J111" s="4">
        <f>IFERROR(H111/E111,0)</f>
        <v>0</v>
      </c>
      <c r="K111" s="2" t="str">
        <f>IF(E111=0,"Sin Plan",IF(J111&gt;=1,"Completado",IF(J111&gt;0.001,"En Progreso","Pendiente de ejecutar")))</f>
        <v>Pendiente de ejecutar</v>
      </c>
    </row>
    <row r="112" spans="1:11" x14ac:dyDescent="0.35">
      <c r="A112" s="5" t="s">
        <v>69</v>
      </c>
      <c r="B112" s="5" t="s">
        <v>44</v>
      </c>
      <c r="C112" s="5" t="s">
        <v>213</v>
      </c>
      <c r="D112" s="5" t="s">
        <v>214</v>
      </c>
      <c r="E112" s="12">
        <v>0</v>
      </c>
      <c r="F112" s="12">
        <v>0</v>
      </c>
      <c r="G112" s="12">
        <v>0</v>
      </c>
      <c r="H112" s="12">
        <f>F112+G112</f>
        <v>0</v>
      </c>
      <c r="I112" s="3">
        <f>E112-H112</f>
        <v>0</v>
      </c>
      <c r="J112" s="7">
        <f>IFERROR(H112/E112,0)</f>
        <v>0</v>
      </c>
      <c r="K112" s="5" t="str">
        <f>IF(E112=0,"Sin Plan",IF(J112&gt;=1,"Completado",IF(J112&gt;0.001,"En Progreso","Pendiente de ejecutar")))</f>
        <v>Sin Plan</v>
      </c>
    </row>
    <row r="113" spans="1:11" x14ac:dyDescent="0.35">
      <c r="A113" s="2" t="s">
        <v>80</v>
      </c>
      <c r="B113" s="2" t="s">
        <v>53</v>
      </c>
      <c r="C113" s="2" t="s">
        <v>242</v>
      </c>
      <c r="D113" s="2" t="s">
        <v>243</v>
      </c>
      <c r="E113" s="12">
        <v>0</v>
      </c>
      <c r="F113" s="12">
        <v>8000</v>
      </c>
      <c r="G113" s="12">
        <v>0</v>
      </c>
      <c r="H113" s="12">
        <f>F113+G113</f>
        <v>8000</v>
      </c>
      <c r="I113" s="3">
        <f>E113-H113</f>
        <v>-8000</v>
      </c>
      <c r="J113" s="4">
        <f>IFERROR(H113/E113,0)</f>
        <v>0</v>
      </c>
      <c r="K113" s="2" t="str">
        <f>IF(E113=0,"Sin Plan",IF(J113&gt;=1,"Completado",IF(J113&gt;0.001,"En Progreso","Pendiente de ejecutar")))</f>
        <v>Sin Plan</v>
      </c>
    </row>
    <row r="114" spans="1:11" x14ac:dyDescent="0.35">
      <c r="A114" s="2" t="s">
        <v>136</v>
      </c>
      <c r="B114" s="2" t="s">
        <v>60</v>
      </c>
      <c r="C114" s="2" t="s">
        <v>3</v>
      </c>
      <c r="D114" s="2" t="s">
        <v>4</v>
      </c>
      <c r="E114" s="12">
        <v>1080000</v>
      </c>
      <c r="F114" s="12">
        <v>783656.43</v>
      </c>
      <c r="G114" s="12">
        <v>0</v>
      </c>
      <c r="H114" s="12">
        <f>F114+G114</f>
        <v>783656.43</v>
      </c>
      <c r="I114" s="3">
        <f>E114-H114</f>
        <v>296343.56999999995</v>
      </c>
      <c r="J114" s="4">
        <f>IFERROR(H114/E114,0)</f>
        <v>0.7256078055555556</v>
      </c>
      <c r="K114" s="2" t="str">
        <f>IF(E114=0,"Sin Plan",IF(J114&gt;=1,"Completado",IF(J114&gt;0.001,"En Progreso","Pendiente de ejecutar")))</f>
        <v>En Progreso</v>
      </c>
    </row>
    <row r="115" spans="1:11" s="16" customFormat="1" x14ac:dyDescent="0.35">
      <c r="A115" s="17" t="s">
        <v>48</v>
      </c>
      <c r="B115" s="17" t="s">
        <v>46</v>
      </c>
      <c r="C115" s="17" t="s">
        <v>178</v>
      </c>
      <c r="D115" s="17" t="s">
        <v>179</v>
      </c>
      <c r="E115" s="12">
        <v>0</v>
      </c>
      <c r="F115" s="12">
        <v>253300</v>
      </c>
      <c r="H115" s="12" t="e">
        <f>#REF!+F115</f>
        <v>#REF!</v>
      </c>
      <c r="I115" s="3" t="e">
        <f>E115-H115</f>
        <v>#REF!</v>
      </c>
      <c r="J115" s="19">
        <f>IFERROR(H115/E115,0)</f>
        <v>0</v>
      </c>
      <c r="K115" s="17" t="str">
        <f>IF(E115=0,"Sin Plan",IF(J115&gt;=1,"Completado",IF(J115&gt;0.001,"En Progreso","Pendiente de ejecutar")))</f>
        <v>Sin Plan</v>
      </c>
    </row>
    <row r="116" spans="1:11" x14ac:dyDescent="0.35">
      <c r="A116" s="2" t="s">
        <v>98</v>
      </c>
      <c r="B116" s="2" t="s">
        <v>74</v>
      </c>
      <c r="C116" s="2" t="s">
        <v>3</v>
      </c>
      <c r="D116" s="2" t="s">
        <v>4</v>
      </c>
      <c r="E116" s="12">
        <v>959455</v>
      </c>
      <c r="F116" s="12">
        <v>0</v>
      </c>
      <c r="G116" s="12">
        <v>0</v>
      </c>
      <c r="H116" s="12">
        <f>F116+G116</f>
        <v>0</v>
      </c>
      <c r="I116" s="3">
        <f>E116-H116</f>
        <v>959455</v>
      </c>
      <c r="J116" s="4">
        <f>IFERROR(H116/E116,0)</f>
        <v>0</v>
      </c>
      <c r="K116" s="2" t="str">
        <f>IF(E116=0,"Sin Plan",IF(J116&gt;=1,"Completado",IF(J116&gt;0.001,"En Progreso","Pendiente de ejecutar")))</f>
        <v>Pendiente de ejecutar</v>
      </c>
    </row>
    <row r="117" spans="1:11" x14ac:dyDescent="0.35">
      <c r="A117" s="13" t="s">
        <v>69</v>
      </c>
      <c r="B117" s="13" t="s">
        <v>44</v>
      </c>
      <c r="C117" s="13" t="s">
        <v>236</v>
      </c>
      <c r="D117" s="13" t="s">
        <v>237</v>
      </c>
      <c r="E117" s="12">
        <v>0</v>
      </c>
      <c r="F117" s="12">
        <v>0</v>
      </c>
      <c r="G117" s="12">
        <v>0</v>
      </c>
      <c r="H117" s="12">
        <f>F117+G117</f>
        <v>0</v>
      </c>
      <c r="I117" s="3">
        <f>E117-H117</f>
        <v>0</v>
      </c>
      <c r="J117" s="15">
        <f>IFERROR(H117/E117,0)</f>
        <v>0</v>
      </c>
      <c r="K117" s="13" t="str">
        <f>IF(E117=0,"Sin Plan",IF(J117&gt;=1,"Completado",IF(J117&gt;0.001,"En Progreso","Pendiente de ejecutar")))</f>
        <v>Sin Plan</v>
      </c>
    </row>
    <row r="118" spans="1:11" x14ac:dyDescent="0.35">
      <c r="A118" s="2" t="s">
        <v>66</v>
      </c>
      <c r="B118" s="2" t="s">
        <v>46</v>
      </c>
      <c r="C118" s="2" t="s">
        <v>3</v>
      </c>
      <c r="D118" s="2" t="s">
        <v>4</v>
      </c>
      <c r="E118" s="12">
        <v>8768000</v>
      </c>
      <c r="F118" s="12">
        <v>0</v>
      </c>
      <c r="G118" s="12">
        <v>6023870.4000000004</v>
      </c>
      <c r="H118" s="12">
        <f>F118+G118</f>
        <v>6023870.4000000004</v>
      </c>
      <c r="I118" s="3">
        <f>E118-H118</f>
        <v>2744129.5999999996</v>
      </c>
      <c r="J118" s="4">
        <f>IFERROR(H118/E118,0)</f>
        <v>0.68702901459854016</v>
      </c>
      <c r="K118" s="2" t="str">
        <f>IF(E118=0,"Sin Plan",IF(J118&gt;=1,"Completado",IF(J118&gt;0.001,"En Progreso","Pendiente de ejecutar")))</f>
        <v>En Progreso</v>
      </c>
    </row>
    <row r="119" spans="1:11" x14ac:dyDescent="0.35">
      <c r="A119" s="5" t="s">
        <v>70</v>
      </c>
      <c r="B119" s="5" t="s">
        <v>55</v>
      </c>
      <c r="C119" s="5" t="s">
        <v>185</v>
      </c>
      <c r="D119" s="5" t="s">
        <v>186</v>
      </c>
      <c r="E119" s="12">
        <v>143200</v>
      </c>
      <c r="F119" s="12">
        <v>0</v>
      </c>
      <c r="G119" s="12">
        <v>0</v>
      </c>
      <c r="H119" s="12">
        <f>F119+G119</f>
        <v>0</v>
      </c>
      <c r="I119" s="3">
        <f>E119-H119</f>
        <v>143200</v>
      </c>
      <c r="J119" s="7">
        <f>IFERROR(H119/E119,0)</f>
        <v>0</v>
      </c>
      <c r="K119" s="5" t="str">
        <f>IF(E119=0,"Sin Plan",IF(J119&gt;=1,"Completado",IF(J119&gt;0.001,"En Progreso","Pendiente de ejecutar")))</f>
        <v>Pendiente de ejecutar</v>
      </c>
    </row>
    <row r="120" spans="1:11" x14ac:dyDescent="0.35">
      <c r="A120" s="5" t="s">
        <v>70</v>
      </c>
      <c r="B120" s="5" t="s">
        <v>55</v>
      </c>
      <c r="C120" s="5" t="s">
        <v>22</v>
      </c>
      <c r="D120" s="5" t="s">
        <v>23</v>
      </c>
      <c r="E120" s="12">
        <v>126000</v>
      </c>
      <c r="F120" s="12">
        <v>0</v>
      </c>
      <c r="G120" s="12">
        <v>246624.75</v>
      </c>
      <c r="H120" s="12">
        <f>F120+G120</f>
        <v>246624.75</v>
      </c>
      <c r="I120" s="3">
        <f>E120-H120</f>
        <v>-120624.75</v>
      </c>
      <c r="J120" s="7">
        <f>IFERROR(H120/E120,0)</f>
        <v>1.9573392857142857</v>
      </c>
      <c r="K120" s="5" t="str">
        <f>IF(E120=0,"Sin Plan",IF(J120&gt;=1,"Completado",IF(J120&gt;0.001,"En Progreso","Pendiente de ejecutar")))</f>
        <v>Completado</v>
      </c>
    </row>
    <row r="121" spans="1:11" s="16" customFormat="1" x14ac:dyDescent="0.35">
      <c r="A121" s="13" t="s">
        <v>80</v>
      </c>
      <c r="B121" s="13" t="s">
        <v>53</v>
      </c>
      <c r="C121" s="13" t="s">
        <v>295</v>
      </c>
      <c r="D121" s="13" t="s">
        <v>296</v>
      </c>
      <c r="E121" s="12">
        <v>0</v>
      </c>
      <c r="F121" s="12">
        <v>0</v>
      </c>
      <c r="G121" s="12">
        <v>403000</v>
      </c>
      <c r="H121" s="12">
        <f>F121+G121</f>
        <v>403000</v>
      </c>
      <c r="I121" s="14">
        <f>E121-H121</f>
        <v>-403000</v>
      </c>
      <c r="J121" s="15">
        <f>IFERROR(H121/E121,0)</f>
        <v>0</v>
      </c>
      <c r="K121" s="13" t="str">
        <f>IF(E121=0,"Sin Plan",IF(J121&gt;=1,"Completado",IF(J121&gt;0.001,"En Progreso","Pendiente de ejecutar")))</f>
        <v>Sin Plan</v>
      </c>
    </row>
    <row r="122" spans="1:11" x14ac:dyDescent="0.35">
      <c r="A122" s="2" t="s">
        <v>70</v>
      </c>
      <c r="B122" s="2" t="s">
        <v>55</v>
      </c>
      <c r="C122" s="2" t="s">
        <v>223</v>
      </c>
      <c r="D122" s="2" t="s">
        <v>224</v>
      </c>
      <c r="E122" s="12">
        <v>50000</v>
      </c>
      <c r="F122" s="12">
        <v>199393</v>
      </c>
      <c r="G122" s="12">
        <v>0</v>
      </c>
      <c r="H122" s="12">
        <f>F122+G122</f>
        <v>199393</v>
      </c>
      <c r="I122" s="3">
        <f>E122-H122</f>
        <v>-149393</v>
      </c>
      <c r="J122" s="4">
        <f>IFERROR(H122/E122,0)</f>
        <v>3.98786</v>
      </c>
      <c r="K122" s="2" t="str">
        <f>IF(E122=0,"Sin Plan",IF(J122&gt;=1,"Completado",IF(J122&gt;0.001,"En Progreso","Pendiente de ejecutar")))</f>
        <v>Completado</v>
      </c>
    </row>
    <row r="123" spans="1:11" x14ac:dyDescent="0.35">
      <c r="A123" s="2" t="s">
        <v>93</v>
      </c>
      <c r="B123" s="2" t="s">
        <v>44</v>
      </c>
      <c r="C123" s="2" t="s">
        <v>13</v>
      </c>
      <c r="D123" s="2" t="s">
        <v>14</v>
      </c>
      <c r="E123" s="12">
        <v>3780000</v>
      </c>
      <c r="F123" s="12">
        <v>0</v>
      </c>
      <c r="G123" s="12">
        <v>3072841.46</v>
      </c>
      <c r="H123" s="12">
        <f>F123+G123</f>
        <v>3072841.46</v>
      </c>
      <c r="I123" s="3">
        <f>E123-H123</f>
        <v>707158.54</v>
      </c>
      <c r="J123" s="4">
        <f>IFERROR(H123/E123,0)</f>
        <v>0.81292102116402121</v>
      </c>
      <c r="K123" s="2" t="str">
        <f>IF(E123=0,"Sin Plan",IF(J123&gt;=1,"Completado",IF(J123&gt;0.001,"En Progreso","Pendiente de ejecutar")))</f>
        <v>En Progreso</v>
      </c>
    </row>
    <row r="124" spans="1:11" x14ac:dyDescent="0.35">
      <c r="A124" s="2" t="s">
        <v>93</v>
      </c>
      <c r="B124" s="2" t="s">
        <v>44</v>
      </c>
      <c r="C124" s="2" t="s">
        <v>24</v>
      </c>
      <c r="D124" s="2" t="s">
        <v>25</v>
      </c>
      <c r="E124" s="12">
        <v>3030000</v>
      </c>
      <c r="F124" s="12">
        <v>0</v>
      </c>
      <c r="G124" s="12">
        <v>0</v>
      </c>
      <c r="H124" s="12">
        <f>F124+G124</f>
        <v>0</v>
      </c>
      <c r="I124" s="3">
        <f>E124-H124</f>
        <v>3030000</v>
      </c>
      <c r="J124" s="4">
        <f>IFERROR(H124/E124,0)</f>
        <v>0</v>
      </c>
      <c r="K124" s="2" t="str">
        <f>IF(E124=0,"Sin Plan",IF(J124&gt;=1,"Completado",IF(J124&gt;0.001,"En Progreso","Pendiente de ejecutar")))</f>
        <v>Pendiente de ejecutar</v>
      </c>
    </row>
    <row r="125" spans="1:11" x14ac:dyDescent="0.35">
      <c r="A125" s="5" t="s">
        <v>92</v>
      </c>
      <c r="B125" s="5" t="s">
        <v>53</v>
      </c>
      <c r="C125" s="5" t="s">
        <v>3</v>
      </c>
      <c r="D125" s="5" t="s">
        <v>4</v>
      </c>
      <c r="E125" s="12">
        <v>3850000</v>
      </c>
      <c r="F125" s="12">
        <v>165127.6</v>
      </c>
      <c r="G125" s="12">
        <v>2139624.19</v>
      </c>
      <c r="H125" s="12">
        <f>F125+G125</f>
        <v>2304751.79</v>
      </c>
      <c r="I125" s="6">
        <f>E125-H125</f>
        <v>1545248.21</v>
      </c>
      <c r="J125" s="7">
        <f>IFERROR(H125/E125,0)</f>
        <v>0.59863682857142864</v>
      </c>
      <c r="K125" s="5" t="str">
        <f>IF(E125=0,"Sin Plan",IF(J125&gt;=1,"Completado",IF(J125&gt;0.001,"En Progreso","Pendiente de ejecutar")))</f>
        <v>En Progreso</v>
      </c>
    </row>
    <row r="126" spans="1:11" x14ac:dyDescent="0.35">
      <c r="A126" s="5" t="s">
        <v>92</v>
      </c>
      <c r="B126" s="5" t="s">
        <v>53</v>
      </c>
      <c r="C126" s="5" t="s">
        <v>20</v>
      </c>
      <c r="D126" s="5" t="s">
        <v>21</v>
      </c>
      <c r="E126" s="12">
        <v>3300000</v>
      </c>
      <c r="F126" s="12">
        <v>0</v>
      </c>
      <c r="G126" s="12">
        <v>0</v>
      </c>
      <c r="H126" s="12">
        <f>F126+G126</f>
        <v>0</v>
      </c>
      <c r="I126" s="6">
        <f>E126-H126</f>
        <v>3300000</v>
      </c>
      <c r="J126" s="7">
        <f>IFERROR(H126/E126,0)</f>
        <v>0</v>
      </c>
      <c r="K126" s="5" t="str">
        <f>IF(E126=0,"Sin Plan",IF(J126&gt;=1,"Completado",IF(J126&gt;0.001,"En Progreso","Pendiente de ejecutar")))</f>
        <v>Pendiente de ejecutar</v>
      </c>
    </row>
    <row r="127" spans="1:11" x14ac:dyDescent="0.35">
      <c r="A127" s="2" t="s">
        <v>136</v>
      </c>
      <c r="B127" s="2" t="s">
        <v>60</v>
      </c>
      <c r="C127" s="2" t="s">
        <v>256</v>
      </c>
      <c r="D127" s="2" t="s">
        <v>257</v>
      </c>
      <c r="E127" s="12">
        <v>0</v>
      </c>
      <c r="F127" s="12">
        <v>47457.63</v>
      </c>
      <c r="G127" s="12">
        <v>0</v>
      </c>
      <c r="H127" s="12">
        <f>F127+G127</f>
        <v>47457.63</v>
      </c>
      <c r="I127" s="3">
        <f>E127-H127</f>
        <v>-47457.63</v>
      </c>
      <c r="J127" s="4">
        <f>IFERROR(H127/E127,0)</f>
        <v>0</v>
      </c>
      <c r="K127" s="2" t="str">
        <f>IF(E127=0,"Sin Plan",IF(J127&gt;=1,"Completado",IF(J127&gt;0.001,"En Progreso","Pendiente de ejecutar")))</f>
        <v>Sin Plan</v>
      </c>
    </row>
    <row r="128" spans="1:11" x14ac:dyDescent="0.35">
      <c r="A128" s="2" t="s">
        <v>105</v>
      </c>
      <c r="B128" s="2" t="s">
        <v>74</v>
      </c>
      <c r="C128" s="2" t="s">
        <v>26</v>
      </c>
      <c r="D128" s="2" t="s">
        <v>27</v>
      </c>
      <c r="E128" s="12">
        <v>760000</v>
      </c>
      <c r="F128" s="12">
        <v>0</v>
      </c>
      <c r="G128" s="12">
        <v>0</v>
      </c>
      <c r="H128" s="12">
        <f>F128+G128</f>
        <v>0</v>
      </c>
      <c r="I128" s="3">
        <f>E128-H128</f>
        <v>760000</v>
      </c>
      <c r="J128" s="4">
        <f>IFERROR(H128/E128,0)</f>
        <v>0</v>
      </c>
      <c r="K128" s="2" t="str">
        <f>IF(E128=0,"Sin Plan",IF(J128&gt;=1,"Completado",IF(J128&gt;0.001,"En Progreso","Pendiente de ejecutar")))</f>
        <v>Pendiente de ejecutar</v>
      </c>
    </row>
    <row r="129" spans="1:11" x14ac:dyDescent="0.35">
      <c r="A129" s="5" t="s">
        <v>66</v>
      </c>
      <c r="B129" s="5" t="s">
        <v>46</v>
      </c>
      <c r="C129" s="5" t="s">
        <v>20</v>
      </c>
      <c r="D129" s="5" t="s">
        <v>21</v>
      </c>
      <c r="E129" s="12">
        <v>4780000</v>
      </c>
      <c r="F129" s="12">
        <v>0</v>
      </c>
      <c r="G129" s="12">
        <v>0</v>
      </c>
      <c r="H129" s="12">
        <f>F129+G129</f>
        <v>0</v>
      </c>
      <c r="I129" s="3">
        <f>E129-H129</f>
        <v>4780000</v>
      </c>
      <c r="J129" s="7">
        <f>IFERROR(H129/E129,0)</f>
        <v>0</v>
      </c>
      <c r="K129" s="5" t="str">
        <f>IF(E129=0,"Sin Plan",IF(J129&gt;=1,"Completado",IF(J129&gt;0.001,"En Progreso","Pendiente de ejecutar")))</f>
        <v>Pendiente de ejecutar</v>
      </c>
    </row>
    <row r="130" spans="1:11" x14ac:dyDescent="0.35">
      <c r="A130" s="5" t="s">
        <v>92</v>
      </c>
      <c r="B130" s="5" t="s">
        <v>53</v>
      </c>
      <c r="C130" s="5" t="s">
        <v>16</v>
      </c>
      <c r="D130" s="5" t="s">
        <v>17</v>
      </c>
      <c r="E130" s="12">
        <v>1200000</v>
      </c>
      <c r="F130" s="12">
        <v>0</v>
      </c>
      <c r="G130" s="12">
        <v>0</v>
      </c>
      <c r="H130" s="12">
        <f>F130+G130</f>
        <v>0</v>
      </c>
      <c r="I130" s="6">
        <f>E130-H130</f>
        <v>1200000</v>
      </c>
      <c r="J130" s="7">
        <f>IFERROR(H130/E130,0)</f>
        <v>0</v>
      </c>
      <c r="K130" s="5" t="str">
        <f>IF(E130=0,"Sin Plan",IF(J130&gt;=1,"Completado",IF(J130&gt;0.001,"En Progreso","Pendiente de ejecutar")))</f>
        <v>Pendiente de ejecutar</v>
      </c>
    </row>
    <row r="131" spans="1:11" x14ac:dyDescent="0.35">
      <c r="A131" s="5" t="s">
        <v>141</v>
      </c>
      <c r="B131" s="5" t="s">
        <v>83</v>
      </c>
      <c r="C131" s="5" t="s">
        <v>142</v>
      </c>
      <c r="D131" s="5" t="s">
        <v>143</v>
      </c>
      <c r="E131" s="12">
        <v>750000</v>
      </c>
      <c r="F131" s="12">
        <v>0</v>
      </c>
      <c r="G131" s="12">
        <v>0</v>
      </c>
      <c r="H131" s="12">
        <f>F131+G131</f>
        <v>0</v>
      </c>
      <c r="I131" s="6">
        <f>E131-H131</f>
        <v>750000</v>
      </c>
      <c r="J131" s="7">
        <f>IFERROR(H131/E131,0)</f>
        <v>0</v>
      </c>
      <c r="K131" s="5" t="str">
        <f>IF(E131=0,"Sin Plan",IF(J131&gt;=1,"Completado",IF(J131&gt;0.001,"En Progreso","Pendiente de ejecutar")))</f>
        <v>Pendiente de ejecutar</v>
      </c>
    </row>
    <row r="132" spans="1:11" x14ac:dyDescent="0.35">
      <c r="A132" s="2" t="s">
        <v>70</v>
      </c>
      <c r="B132" s="2" t="s">
        <v>55</v>
      </c>
      <c r="C132" s="2" t="s">
        <v>208</v>
      </c>
      <c r="D132" s="2" t="s">
        <v>209</v>
      </c>
      <c r="E132" s="12">
        <v>0</v>
      </c>
      <c r="F132" s="12">
        <v>47800</v>
      </c>
      <c r="G132" s="12">
        <v>0</v>
      </c>
      <c r="H132" s="12">
        <f>F132+G132</f>
        <v>47800</v>
      </c>
      <c r="I132" s="3">
        <f>E132-H132</f>
        <v>-47800</v>
      </c>
      <c r="J132" s="4">
        <f>IFERROR(H132/E132,0)</f>
        <v>0</v>
      </c>
      <c r="K132" s="2" t="str">
        <f>IF(E132=0,"Sin Plan",IF(J132&gt;=1,"Completado",IF(J132&gt;0.001,"En Progreso","Pendiente de ejecutar")))</f>
        <v>Sin Plan</v>
      </c>
    </row>
    <row r="133" spans="1:11" x14ac:dyDescent="0.35">
      <c r="A133" s="5" t="s">
        <v>41</v>
      </c>
      <c r="B133" s="5" t="s">
        <v>42</v>
      </c>
      <c r="C133" s="5" t="s">
        <v>2</v>
      </c>
      <c r="D133" s="2" t="s">
        <v>299</v>
      </c>
      <c r="E133" s="12">
        <v>700000</v>
      </c>
      <c r="F133" s="12">
        <v>179244.5</v>
      </c>
      <c r="G133" s="12">
        <v>0</v>
      </c>
      <c r="H133" s="12">
        <f>F133+G133</f>
        <v>179244.5</v>
      </c>
      <c r="I133" s="6">
        <f>E133-H133</f>
        <v>520755.5</v>
      </c>
      <c r="J133" s="7">
        <f>IFERROR(H133/E133,0)</f>
        <v>0.25606357142857145</v>
      </c>
      <c r="K133" s="5" t="str">
        <f>IF(E133=0,"Sin Plan",IF(J133&gt;=1,"Completado",IF(J133&gt;0.001,"En Progreso","Pendiente de ejecutar")))</f>
        <v>En Progreso</v>
      </c>
    </row>
    <row r="134" spans="1:11" x14ac:dyDescent="0.35">
      <c r="A134" s="2" t="s">
        <v>59</v>
      </c>
      <c r="B134" s="2" t="s">
        <v>60</v>
      </c>
      <c r="C134" s="2" t="s">
        <v>7</v>
      </c>
      <c r="D134" s="2" t="s">
        <v>8</v>
      </c>
      <c r="E134" s="12">
        <v>11452000</v>
      </c>
      <c r="F134" s="12">
        <v>0</v>
      </c>
      <c r="G134" s="12">
        <v>0</v>
      </c>
      <c r="H134" s="12">
        <f>F134+G134</f>
        <v>0</v>
      </c>
      <c r="I134" s="3">
        <f>E134-H134</f>
        <v>11452000</v>
      </c>
      <c r="J134" s="4">
        <f>IFERROR(H134/E134,0)</f>
        <v>0</v>
      </c>
      <c r="K134" s="2" t="str">
        <f>IF(E134=0,"Sin Plan",IF(J134&gt;=1,"Completado",IF(J134&gt;0.001,"En Progreso","Pendiente de ejecutar")))</f>
        <v>Pendiente de ejecutar</v>
      </c>
    </row>
    <row r="135" spans="1:11" x14ac:dyDescent="0.35">
      <c r="A135" s="5" t="s">
        <v>59</v>
      </c>
      <c r="B135" s="5" t="s">
        <v>60</v>
      </c>
      <c r="C135" s="5" t="s">
        <v>18</v>
      </c>
      <c r="D135" s="5" t="s">
        <v>19</v>
      </c>
      <c r="E135" s="12">
        <v>685000</v>
      </c>
      <c r="F135" s="12">
        <v>0</v>
      </c>
      <c r="G135" s="12">
        <v>1004300</v>
      </c>
      <c r="H135" s="12">
        <f>F135+G135</f>
        <v>1004300</v>
      </c>
      <c r="I135" s="6">
        <f>E135-H135</f>
        <v>-319300</v>
      </c>
      <c r="J135" s="7">
        <f>IFERROR(H135/E135,0)</f>
        <v>1.4661313868613139</v>
      </c>
      <c r="K135" s="5" t="str">
        <f>IF(E135=0,"Sin Plan",IF(J135&gt;=1,"Completado",IF(J135&gt;0.001,"En Progreso","Pendiente de ejecutar")))</f>
        <v>Completado</v>
      </c>
    </row>
    <row r="136" spans="1:11" x14ac:dyDescent="0.35">
      <c r="A136" s="5" t="s">
        <v>59</v>
      </c>
      <c r="B136" s="5" t="s">
        <v>60</v>
      </c>
      <c r="C136" s="5" t="s">
        <v>9</v>
      </c>
      <c r="D136" s="5" t="s">
        <v>10</v>
      </c>
      <c r="E136" s="12">
        <v>462000</v>
      </c>
      <c r="F136" s="12">
        <v>52000</v>
      </c>
      <c r="G136" s="12">
        <v>0</v>
      </c>
      <c r="H136" s="12">
        <f>F136+G136</f>
        <v>52000</v>
      </c>
      <c r="I136" s="6">
        <f>E136-H136</f>
        <v>410000</v>
      </c>
      <c r="J136" s="7">
        <f>IFERROR(H136/E136,0)</f>
        <v>0.11255411255411256</v>
      </c>
      <c r="K136" s="5" t="str">
        <f>IF(E136=0,"Sin Plan",IF(J136&gt;=1,"Completado",IF(J136&gt;0.001,"En Progreso","Pendiente de ejecutar")))</f>
        <v>En Progreso</v>
      </c>
    </row>
    <row r="137" spans="1:11" x14ac:dyDescent="0.35">
      <c r="A137" s="2" t="s">
        <v>59</v>
      </c>
      <c r="B137" s="2" t="s">
        <v>60</v>
      </c>
      <c r="C137" s="2" t="s">
        <v>22</v>
      </c>
      <c r="D137" s="2" t="s">
        <v>23</v>
      </c>
      <c r="E137" s="12">
        <v>132300</v>
      </c>
      <c r="F137" s="12">
        <v>136751.45000000001</v>
      </c>
      <c r="G137" s="12">
        <v>0</v>
      </c>
      <c r="H137" s="12">
        <f>F137+G137</f>
        <v>136751.45000000001</v>
      </c>
      <c r="I137" s="3">
        <f>E137-H137</f>
        <v>-4451.4500000000116</v>
      </c>
      <c r="J137" s="4">
        <f>IFERROR(H137/E137,0)</f>
        <v>1.0336466364323509</v>
      </c>
      <c r="K137" s="2" t="str">
        <f>IF(E137=0,"Sin Plan",IF(J137&gt;=1,"Completado",IF(J137&gt;0.001,"En Progreso","Pendiente de ejecutar")))</f>
        <v>Completado</v>
      </c>
    </row>
    <row r="138" spans="1:11" x14ac:dyDescent="0.35">
      <c r="A138" s="5" t="s">
        <v>59</v>
      </c>
      <c r="B138" s="5" t="s">
        <v>60</v>
      </c>
      <c r="C138" s="5" t="s">
        <v>250</v>
      </c>
      <c r="D138" s="5" t="s">
        <v>251</v>
      </c>
      <c r="E138" s="12">
        <v>0</v>
      </c>
      <c r="F138" s="12">
        <v>304399.5</v>
      </c>
      <c r="G138" s="12">
        <v>0</v>
      </c>
      <c r="H138" s="12">
        <f>F138+G138</f>
        <v>304399.5</v>
      </c>
      <c r="I138" s="6">
        <f>E138-H138</f>
        <v>-304399.5</v>
      </c>
      <c r="J138" s="7">
        <f>IFERROR(H138/E138,0)</f>
        <v>0</v>
      </c>
      <c r="K138" s="5" t="str">
        <f>IF(E138=0,"Sin Plan",IF(J138&gt;=1,"Completado",IF(J138&gt;0.001,"En Progreso","Pendiente de ejecutar")))</f>
        <v>Sin Plan</v>
      </c>
    </row>
    <row r="139" spans="1:11" x14ac:dyDescent="0.35">
      <c r="A139" s="2" t="s">
        <v>144</v>
      </c>
      <c r="B139" s="2" t="s">
        <v>51</v>
      </c>
      <c r="C139" s="2" t="s">
        <v>18</v>
      </c>
      <c r="D139" s="2" t="s">
        <v>19</v>
      </c>
      <c r="E139" s="12">
        <v>685000</v>
      </c>
      <c r="F139" s="12">
        <v>0</v>
      </c>
      <c r="G139" s="12">
        <v>448100</v>
      </c>
      <c r="H139" s="12">
        <f>F139+G139</f>
        <v>448100</v>
      </c>
      <c r="I139" s="3">
        <f>E139-H139</f>
        <v>236900</v>
      </c>
      <c r="J139" s="4">
        <f>IFERROR(H139/E139,0)</f>
        <v>0.65416058394160581</v>
      </c>
      <c r="K139" s="2" t="str">
        <f>IF(E139=0,"Sin Plan",IF(J139&gt;=1,"Completado",IF(J139&gt;0.001,"En Progreso","Pendiente de ejecutar")))</f>
        <v>En Progreso</v>
      </c>
    </row>
    <row r="140" spans="1:11" x14ac:dyDescent="0.35">
      <c r="A140" s="5" t="s">
        <v>144</v>
      </c>
      <c r="B140" s="5" t="s">
        <v>51</v>
      </c>
      <c r="C140" s="5" t="s">
        <v>2</v>
      </c>
      <c r="D140" s="2" t="s">
        <v>299</v>
      </c>
      <c r="E140" s="12">
        <v>189000</v>
      </c>
      <c r="F140" s="12">
        <v>23075.48</v>
      </c>
      <c r="H140" s="12" t="e">
        <f>#REF!+G140</f>
        <v>#REF!</v>
      </c>
      <c r="I140" s="6" t="e">
        <f>E140-H140</f>
        <v>#REF!</v>
      </c>
      <c r="J140" s="7">
        <f>IFERROR(H140/E140,0)</f>
        <v>0</v>
      </c>
      <c r="K140" s="5" t="str">
        <f>IF(E140=0,"Sin Plan",IF(J140&gt;=1,"Completado",IF(J140&gt;0.001,"En Progreso","Pendiente de ejecutar")))</f>
        <v>Pendiente de ejecutar</v>
      </c>
    </row>
    <row r="141" spans="1:11" x14ac:dyDescent="0.35">
      <c r="A141" s="5" t="s">
        <v>144</v>
      </c>
      <c r="B141" s="5" t="s">
        <v>51</v>
      </c>
      <c r="C141" s="5" t="s">
        <v>185</v>
      </c>
      <c r="D141" s="5" t="s">
        <v>186</v>
      </c>
      <c r="E141" s="12">
        <v>70000</v>
      </c>
      <c r="F141" s="12">
        <v>0</v>
      </c>
      <c r="G141" s="12">
        <v>0</v>
      </c>
      <c r="H141" s="12">
        <f>F141+G141</f>
        <v>0</v>
      </c>
      <c r="I141" s="6">
        <f>E141-H141</f>
        <v>70000</v>
      </c>
      <c r="J141" s="7">
        <f>IFERROR(H141/E141,0)</f>
        <v>0</v>
      </c>
      <c r="K141" s="5" t="str">
        <f>IF(E141=0,"Sin Plan",IF(J141&gt;=1,"Completado",IF(J141&gt;0.001,"En Progreso","Pendiente de ejecutar")))</f>
        <v>Pendiente de ejecutar</v>
      </c>
    </row>
    <row r="142" spans="1:11" x14ac:dyDescent="0.35">
      <c r="A142" s="5" t="s">
        <v>144</v>
      </c>
      <c r="B142" s="5" t="s">
        <v>51</v>
      </c>
      <c r="C142" s="5" t="s">
        <v>242</v>
      </c>
      <c r="D142" s="5" t="s">
        <v>243</v>
      </c>
      <c r="E142" s="12">
        <v>0</v>
      </c>
      <c r="F142" s="12">
        <v>0</v>
      </c>
      <c r="G142" s="12">
        <f>55000+9500</f>
        <v>64500</v>
      </c>
      <c r="H142" s="12">
        <f>F142+G142</f>
        <v>64500</v>
      </c>
      <c r="I142" s="6">
        <f>E142-H142</f>
        <v>-64500</v>
      </c>
      <c r="J142" s="7">
        <f>IFERROR(H142/E142,0)</f>
        <v>0</v>
      </c>
      <c r="K142" s="5" t="str">
        <f>IF(E142=0,"Sin Plan",IF(J142&gt;=1,"Completado",IF(J142&gt;0.001,"En Progreso","Pendiente de ejecutar")))</f>
        <v>Sin Plan</v>
      </c>
    </row>
    <row r="143" spans="1:11" x14ac:dyDescent="0.35">
      <c r="A143" s="5" t="s">
        <v>61</v>
      </c>
      <c r="B143" s="5" t="s">
        <v>60</v>
      </c>
      <c r="C143" s="5" t="s">
        <v>7</v>
      </c>
      <c r="D143" s="5" t="s">
        <v>8</v>
      </c>
      <c r="E143" s="12">
        <v>11452000</v>
      </c>
      <c r="F143" s="12">
        <v>0</v>
      </c>
      <c r="G143" s="12">
        <v>0</v>
      </c>
      <c r="H143" s="12">
        <f>F143+G143</f>
        <v>0</v>
      </c>
      <c r="I143" s="6">
        <f>E143-H143</f>
        <v>11452000</v>
      </c>
      <c r="J143" s="7">
        <f>IFERROR(H143/E143,0)</f>
        <v>0</v>
      </c>
      <c r="K143" s="5" t="str">
        <f>IF(E143=0,"Sin Plan",IF(J143&gt;=1,"Completado",IF(J143&gt;0.001,"En Progreso","Pendiente de ejecutar")))</f>
        <v>Pendiente de ejecutar</v>
      </c>
    </row>
    <row r="144" spans="1:11" x14ac:dyDescent="0.35">
      <c r="A144" s="5" t="s">
        <v>61</v>
      </c>
      <c r="B144" s="5" t="s">
        <v>60</v>
      </c>
      <c r="C144" s="5" t="s">
        <v>3</v>
      </c>
      <c r="D144" s="5" t="s">
        <v>4</v>
      </c>
      <c r="E144" s="12">
        <v>2049812</v>
      </c>
      <c r="F144" s="12">
        <v>31946.11</v>
      </c>
      <c r="G144" s="12">
        <f>129050+171600</f>
        <v>300650</v>
      </c>
      <c r="H144" s="12">
        <f>F144+G144</f>
        <v>332596.11</v>
      </c>
      <c r="I144" s="6">
        <f>E144-H144</f>
        <v>1717215.8900000001</v>
      </c>
      <c r="J144" s="7">
        <f>IFERROR(H144/E144,0)</f>
        <v>0.16225688502165075</v>
      </c>
      <c r="K144" s="5" t="str">
        <f>IF(E144=0,"Sin Plan",IF(J144&gt;=1,"Completado",IF(J144&gt;0.001,"En Progreso","Pendiente de ejecutar")))</f>
        <v>En Progreso</v>
      </c>
    </row>
    <row r="145" spans="1:11" x14ac:dyDescent="0.35">
      <c r="A145" s="5" t="s">
        <v>61</v>
      </c>
      <c r="B145" s="5" t="s">
        <v>60</v>
      </c>
      <c r="C145" s="5" t="s">
        <v>22</v>
      </c>
      <c r="D145" s="5" t="s">
        <v>23</v>
      </c>
      <c r="E145" s="12">
        <v>132300</v>
      </c>
      <c r="F145" s="26">
        <v>136751.45000000001</v>
      </c>
      <c r="G145" s="12">
        <v>246624.75</v>
      </c>
      <c r="H145" s="12">
        <f>F145+G145</f>
        <v>383376.2</v>
      </c>
      <c r="I145" s="6">
        <f>E145-H145</f>
        <v>-251076.2</v>
      </c>
      <c r="J145" s="7">
        <f>IFERROR(H145/E145,0)</f>
        <v>2.8977792894935752</v>
      </c>
      <c r="K145" s="5" t="str">
        <f>IF(E145=0,"Sin Plan",IF(J145&gt;=1,"Completado",IF(J145&gt;0.001,"En Progreso","Pendiente de ejecutar")))</f>
        <v>Completado</v>
      </c>
    </row>
    <row r="146" spans="1:11" x14ac:dyDescent="0.35">
      <c r="A146" s="2" t="s">
        <v>61</v>
      </c>
      <c r="B146" s="2" t="s">
        <v>60</v>
      </c>
      <c r="C146" s="2" t="s">
        <v>26</v>
      </c>
      <c r="D146" s="2" t="s">
        <v>27</v>
      </c>
      <c r="E146" s="12">
        <v>128000</v>
      </c>
      <c r="F146" s="26">
        <v>25662</v>
      </c>
      <c r="G146" s="12">
        <v>267560</v>
      </c>
      <c r="H146" s="12">
        <f>F146+G146</f>
        <v>293222</v>
      </c>
      <c r="I146" s="3">
        <f>E146-H146</f>
        <v>-165222</v>
      </c>
      <c r="J146" s="4">
        <f>IFERROR(H146/E146,0)</f>
        <v>2.2907968749999998</v>
      </c>
      <c r="K146" s="2" t="str">
        <f>IF(E146=0,"Sin Plan",IF(J146&gt;=1,"Completado",IF(J146&gt;0.001,"En Progreso","Pendiente de ejecutar")))</f>
        <v>Completado</v>
      </c>
    </row>
    <row r="147" spans="1:11" x14ac:dyDescent="0.35">
      <c r="A147" s="5" t="s">
        <v>61</v>
      </c>
      <c r="B147" s="5" t="s">
        <v>60</v>
      </c>
      <c r="C147" s="5" t="s">
        <v>205</v>
      </c>
      <c r="D147" s="5" t="s">
        <v>206</v>
      </c>
      <c r="E147" s="12">
        <v>52000</v>
      </c>
      <c r="F147" s="26">
        <f>25662.27*2</f>
        <v>51324.54</v>
      </c>
      <c r="G147" s="12">
        <v>0</v>
      </c>
      <c r="H147" s="12">
        <f>F147+G147</f>
        <v>51324.54</v>
      </c>
      <c r="I147" s="6">
        <f>E147-H147</f>
        <v>675.45999999999913</v>
      </c>
      <c r="J147" s="7">
        <f>IFERROR(H147/E147,0)</f>
        <v>0.9870103846153846</v>
      </c>
      <c r="K147" s="5" t="str">
        <f>IF(E147=0,"Sin Plan",IF(J147&gt;=1,"Completado",IF(J147&gt;0.001,"En Progreso","Pendiente de ejecutar")))</f>
        <v>En Progreso</v>
      </c>
    </row>
    <row r="148" spans="1:11" x14ac:dyDescent="0.35">
      <c r="A148" s="5" t="s">
        <v>61</v>
      </c>
      <c r="B148" s="5" t="s">
        <v>60</v>
      </c>
      <c r="C148" s="5" t="s">
        <v>248</v>
      </c>
      <c r="D148" s="5" t="s">
        <v>249</v>
      </c>
      <c r="E148" s="12">
        <v>0</v>
      </c>
      <c r="F148" s="26">
        <v>61286.400000000001</v>
      </c>
      <c r="G148" s="12">
        <v>0</v>
      </c>
      <c r="H148" s="12">
        <f>F148+G148</f>
        <v>61286.400000000001</v>
      </c>
      <c r="I148" s="6">
        <f>E148-H148</f>
        <v>-61286.400000000001</v>
      </c>
      <c r="J148" s="7">
        <f>IFERROR(H148/E148,0)</f>
        <v>0</v>
      </c>
      <c r="K148" s="5" t="str">
        <f>IF(E148=0,"Sin Plan",IF(J148&gt;=1,"Completado",IF(J148&gt;0.001,"En Progreso","Pendiente de ejecutar")))</f>
        <v>Sin Plan</v>
      </c>
    </row>
    <row r="149" spans="1:11" x14ac:dyDescent="0.35">
      <c r="A149" s="2" t="s">
        <v>62</v>
      </c>
      <c r="B149" s="2" t="s">
        <v>51</v>
      </c>
      <c r="C149" s="2" t="s">
        <v>9</v>
      </c>
      <c r="D149" s="2" t="s">
        <v>10</v>
      </c>
      <c r="E149" s="12">
        <v>11452000</v>
      </c>
      <c r="F149" s="12">
        <v>0</v>
      </c>
      <c r="G149" s="12">
        <v>0</v>
      </c>
      <c r="H149" s="12">
        <f>F149+G149</f>
        <v>0</v>
      </c>
      <c r="I149" s="3">
        <f>E149-H149</f>
        <v>11452000</v>
      </c>
      <c r="J149" s="4">
        <f>IFERROR(H149/E149,0)</f>
        <v>0</v>
      </c>
      <c r="K149" s="2" t="str">
        <f>IF(E149=0,"Sin Plan",IF(J149&gt;=1,"Completado",IF(J149&gt;0.001,"En Progreso","Pendiente de ejecutar")))</f>
        <v>Pendiente de ejecutar</v>
      </c>
    </row>
    <row r="150" spans="1:11" x14ac:dyDescent="0.35">
      <c r="A150" s="2" t="s">
        <v>62</v>
      </c>
      <c r="B150" s="2" t="s">
        <v>51</v>
      </c>
      <c r="C150" s="2" t="s">
        <v>2</v>
      </c>
      <c r="D150" s="2" t="s">
        <v>299</v>
      </c>
      <c r="E150" s="12">
        <v>1400000</v>
      </c>
      <c r="F150" s="12">
        <v>635177.84000000008</v>
      </c>
      <c r="G150" s="12">
        <v>0</v>
      </c>
      <c r="H150" s="12">
        <f>F150+G150</f>
        <v>635177.84000000008</v>
      </c>
      <c r="I150" s="3">
        <f>E150-H150</f>
        <v>764822.15999999992</v>
      </c>
      <c r="J150" s="4">
        <f>IFERROR(H150/E150,0)</f>
        <v>0.45369845714285723</v>
      </c>
      <c r="K150" s="2" t="str">
        <f>IF(E150=0,"Sin Plan",IF(J150&gt;=1,"Completado",IF(J150&gt;0.001,"En Progreso","Pendiente de ejecutar")))</f>
        <v>En Progreso</v>
      </c>
    </row>
    <row r="151" spans="1:11" x14ac:dyDescent="0.35">
      <c r="A151" s="2" t="s">
        <v>62</v>
      </c>
      <c r="B151" s="2" t="s">
        <v>51</v>
      </c>
      <c r="C151" s="2" t="s">
        <v>134</v>
      </c>
      <c r="D151" s="2" t="s">
        <v>135</v>
      </c>
      <c r="E151" s="12">
        <v>1100000</v>
      </c>
      <c r="F151" s="12">
        <v>0</v>
      </c>
      <c r="G151" s="12">
        <v>0</v>
      </c>
      <c r="H151" s="12">
        <f>F151+G151</f>
        <v>0</v>
      </c>
      <c r="I151" s="3">
        <f>E151-H151</f>
        <v>1100000</v>
      </c>
      <c r="J151" s="4">
        <f>IFERROR(H151/E151,0)</f>
        <v>0</v>
      </c>
      <c r="K151" s="2" t="str">
        <f>IF(E151=0,"Sin Plan",IF(J151&gt;=1,"Completado",IF(J151&gt;0.001,"En Progreso","Pendiente de ejecutar")))</f>
        <v>Pendiente de ejecutar</v>
      </c>
    </row>
    <row r="152" spans="1:11" x14ac:dyDescent="0.35">
      <c r="A152" s="5" t="s">
        <v>62</v>
      </c>
      <c r="B152" s="5" t="s">
        <v>51</v>
      </c>
      <c r="C152" s="5" t="s">
        <v>18</v>
      </c>
      <c r="D152" s="5" t="s">
        <v>19</v>
      </c>
      <c r="E152" s="12">
        <v>685000</v>
      </c>
      <c r="F152" s="12">
        <v>0</v>
      </c>
      <c r="G152" s="12">
        <v>847500</v>
      </c>
      <c r="H152" s="12">
        <f>F152+G152</f>
        <v>847500</v>
      </c>
      <c r="I152" s="6">
        <f>E152-H152</f>
        <v>-162500</v>
      </c>
      <c r="J152" s="7">
        <f>IFERROR(H152/E152,0)</f>
        <v>1.2372262773722629</v>
      </c>
      <c r="K152" s="5" t="str">
        <f>IF(E152=0,"Sin Plan",IF(J152&gt;=1,"Completado",IF(J152&gt;0.001,"En Progreso","Pendiente de ejecutar")))</f>
        <v>Completado</v>
      </c>
    </row>
    <row r="153" spans="1:11" x14ac:dyDescent="0.35">
      <c r="A153" s="5" t="s">
        <v>62</v>
      </c>
      <c r="B153" s="5" t="s">
        <v>51</v>
      </c>
      <c r="C153" s="5" t="s">
        <v>26</v>
      </c>
      <c r="D153" s="5" t="s">
        <v>27</v>
      </c>
      <c r="E153" s="12">
        <v>192000</v>
      </c>
      <c r="F153" s="12">
        <v>86781.81</v>
      </c>
      <c r="G153" s="12">
        <v>0</v>
      </c>
      <c r="H153" s="12">
        <f>F153+G153</f>
        <v>86781.81</v>
      </c>
      <c r="I153" s="6">
        <f>E153-H153</f>
        <v>105218.19</v>
      </c>
      <c r="J153" s="7">
        <f>IFERROR(H153/E153,0)</f>
        <v>0.45198859375</v>
      </c>
      <c r="K153" s="5" t="str">
        <f>IF(E153=0,"Sin Plan",IF(J153&gt;=1,"Completado",IF(J153&gt;0.001,"En Progreso","Pendiente de ejecutar")))</f>
        <v>En Progreso</v>
      </c>
    </row>
    <row r="154" spans="1:11" x14ac:dyDescent="0.35">
      <c r="A154" s="2" t="s">
        <v>62</v>
      </c>
      <c r="B154" s="2" t="s">
        <v>51</v>
      </c>
      <c r="C154" s="2" t="s">
        <v>22</v>
      </c>
      <c r="D154" s="2" t="s">
        <v>23</v>
      </c>
      <c r="E154" s="12">
        <v>120000</v>
      </c>
      <c r="F154" s="12">
        <v>136751.45000000001</v>
      </c>
      <c r="G154" s="12">
        <v>0</v>
      </c>
      <c r="H154" s="12">
        <f>F154+G154</f>
        <v>136751.45000000001</v>
      </c>
      <c r="I154" s="3">
        <f>E154-H154</f>
        <v>-16751.450000000012</v>
      </c>
      <c r="J154" s="4">
        <f>IFERROR(H154/E154,0)</f>
        <v>1.1395954166666669</v>
      </c>
      <c r="K154" s="2" t="str">
        <f>IF(E154=0,"Sin Plan",IF(J154&gt;=1,"Completado",IF(J154&gt;0.001,"En Progreso","Pendiente de ejecutar")))</f>
        <v>Completado</v>
      </c>
    </row>
    <row r="155" spans="1:11" x14ac:dyDescent="0.35">
      <c r="A155" s="5" t="s">
        <v>62</v>
      </c>
      <c r="B155" s="5" t="s">
        <v>51</v>
      </c>
      <c r="C155" s="5" t="s">
        <v>277</v>
      </c>
      <c r="D155" s="5" t="s">
        <v>278</v>
      </c>
      <c r="E155" s="12">
        <v>0</v>
      </c>
      <c r="F155" s="12">
        <v>0</v>
      </c>
      <c r="G155" s="12">
        <v>1733831.48</v>
      </c>
      <c r="H155" s="12">
        <f>F155+G155</f>
        <v>1733831.48</v>
      </c>
      <c r="I155" s="6">
        <f>E155-H155</f>
        <v>-1733831.48</v>
      </c>
      <c r="J155" s="7">
        <f>IFERROR(H155/E155,0)</f>
        <v>0</v>
      </c>
      <c r="K155" s="5" t="str">
        <f>IF(E155=0,"Sin Plan",IF(J155&gt;=1,"Completado",IF(J155&gt;0.001,"En Progreso","Pendiente de ejecutar")))</f>
        <v>Sin Plan</v>
      </c>
    </row>
    <row r="156" spans="1:11" x14ac:dyDescent="0.35">
      <c r="A156" s="2" t="s">
        <v>102</v>
      </c>
      <c r="B156" s="2" t="s">
        <v>51</v>
      </c>
      <c r="C156" s="2" t="s">
        <v>16</v>
      </c>
      <c r="D156" s="2" t="s">
        <v>17</v>
      </c>
      <c r="E156" s="12">
        <v>2850000</v>
      </c>
      <c r="F156" s="12">
        <f>1290760+311637.46</f>
        <v>1602397.46</v>
      </c>
      <c r="H156" s="12">
        <f>F156+G156</f>
        <v>1602397.46</v>
      </c>
      <c r="I156" s="3">
        <f>E156-H156</f>
        <v>1247602.54</v>
      </c>
      <c r="J156" s="4">
        <f>IFERROR(H156/E156,0)</f>
        <v>0.56224472280701754</v>
      </c>
      <c r="K156" s="2" t="str">
        <f>IF(E156=0,"Sin Plan",IF(J156&gt;=1,"Completado",IF(J156&gt;0.001,"En Progreso","Pendiente de ejecutar")))</f>
        <v>En Progreso</v>
      </c>
    </row>
    <row r="157" spans="1:11" x14ac:dyDescent="0.35">
      <c r="A157" s="5" t="s">
        <v>70</v>
      </c>
      <c r="B157" s="5" t="s">
        <v>55</v>
      </c>
      <c r="C157" s="5" t="s">
        <v>211</v>
      </c>
      <c r="D157" s="5" t="s">
        <v>212</v>
      </c>
      <c r="E157" s="12">
        <v>0</v>
      </c>
      <c r="F157" s="12">
        <v>256728.13</v>
      </c>
      <c r="G157" s="12">
        <v>256728.13</v>
      </c>
      <c r="H157" s="12">
        <f>F157+G157</f>
        <v>513456.26</v>
      </c>
      <c r="I157" s="3">
        <f>E157-H157</f>
        <v>-513456.26</v>
      </c>
      <c r="J157" s="7">
        <f>IFERROR(H157/E157,0)</f>
        <v>0</v>
      </c>
      <c r="K157" s="5" t="str">
        <f>IF(E157=0,"Sin Plan",IF(J157&gt;=1,"Completado",IF(J157&gt;0.001,"En Progreso","Pendiente de ejecutar")))</f>
        <v>Sin Plan</v>
      </c>
    </row>
    <row r="158" spans="1:11" x14ac:dyDescent="0.35">
      <c r="A158" s="2" t="s">
        <v>102</v>
      </c>
      <c r="B158" s="2" t="s">
        <v>51</v>
      </c>
      <c r="C158" s="2" t="s">
        <v>2</v>
      </c>
      <c r="D158" s="2" t="s">
        <v>299</v>
      </c>
      <c r="E158" s="12">
        <v>63000</v>
      </c>
      <c r="F158" s="12">
        <v>17067.28</v>
      </c>
      <c r="G158" s="12">
        <v>0</v>
      </c>
      <c r="H158" s="12">
        <f>F158+G158</f>
        <v>17067.28</v>
      </c>
      <c r="I158" s="3">
        <f>E158-H158</f>
        <v>45932.72</v>
      </c>
      <c r="J158" s="4">
        <f>IFERROR(H158/E158,0)</f>
        <v>0.27090920634920634</v>
      </c>
      <c r="K158" s="2" t="str">
        <f>IF(E158=0,"Sin Plan",IF(J158&gt;=1,"Completado",IF(J158&gt;0.001,"En Progreso","Pendiente de ejecutar")))</f>
        <v>En Progreso</v>
      </c>
    </row>
    <row r="159" spans="1:11" x14ac:dyDescent="0.35">
      <c r="A159" s="2" t="s">
        <v>66</v>
      </c>
      <c r="B159" s="2" t="s">
        <v>46</v>
      </c>
      <c r="C159" s="2" t="s">
        <v>2</v>
      </c>
      <c r="D159" s="2" t="s">
        <v>299</v>
      </c>
      <c r="E159" s="12">
        <v>2500000</v>
      </c>
      <c r="F159" s="26">
        <f>322720+3162744+4120271</f>
        <v>7605735</v>
      </c>
      <c r="G159" s="12">
        <f>776630+70000</f>
        <v>846630</v>
      </c>
      <c r="H159" s="12">
        <f>F159+G159</f>
        <v>8452365</v>
      </c>
      <c r="I159" s="3">
        <f>E159-H159</f>
        <v>-5952365</v>
      </c>
      <c r="J159" s="4">
        <f>IFERROR(H159/E159,0)</f>
        <v>3.3809459999999998</v>
      </c>
      <c r="K159" s="2" t="str">
        <f>IF(E159=0,"Sin Plan",IF(J159&gt;=1,"Completado",IF(J159&gt;0.001,"En Progreso","Pendiente de ejecutar")))</f>
        <v>Completado</v>
      </c>
    </row>
    <row r="160" spans="1:11" x14ac:dyDescent="0.35">
      <c r="A160" s="2" t="s">
        <v>123</v>
      </c>
      <c r="B160" s="2" t="s">
        <v>65</v>
      </c>
      <c r="C160" s="2" t="s">
        <v>2</v>
      </c>
      <c r="D160" s="2" t="s">
        <v>299</v>
      </c>
      <c r="E160" s="12">
        <v>1589000</v>
      </c>
      <c r="F160" s="12">
        <v>424572.36</v>
      </c>
      <c r="G160" s="12">
        <v>0</v>
      </c>
      <c r="H160" s="12">
        <f>F160+G160</f>
        <v>424572.36</v>
      </c>
      <c r="I160" s="3">
        <f>E160-H160</f>
        <v>1164427.6400000001</v>
      </c>
      <c r="J160" s="4">
        <f>IFERROR(H160/E160,0)</f>
        <v>0.26719468848332284</v>
      </c>
      <c r="K160" s="2" t="str">
        <f>IF(E160=0,"Sin Plan",IF(J160&gt;=1,"Completado",IF(J160&gt;0.001,"En Progreso","Pendiente de ejecutar")))</f>
        <v>En Progreso</v>
      </c>
    </row>
    <row r="161" spans="1:11" x14ac:dyDescent="0.35">
      <c r="A161" s="2" t="s">
        <v>70</v>
      </c>
      <c r="B161" s="2" t="s">
        <v>55</v>
      </c>
      <c r="C161" s="2" t="s">
        <v>142</v>
      </c>
      <c r="D161" s="2" t="s">
        <v>143</v>
      </c>
      <c r="E161" s="12">
        <v>0</v>
      </c>
      <c r="F161" s="12">
        <v>0</v>
      </c>
      <c r="G161" s="12">
        <v>122539.2</v>
      </c>
      <c r="H161" s="12">
        <f>F161+G161</f>
        <v>122539.2</v>
      </c>
      <c r="I161" s="3">
        <f>E161-H161</f>
        <v>-122539.2</v>
      </c>
      <c r="J161" s="4">
        <f>IFERROR(H161/E161,0)</f>
        <v>0</v>
      </c>
      <c r="K161" s="2" t="str">
        <f>IF(E161=0,"Sin Plan",IF(J161&gt;=1,"Completado",IF(J161&gt;0.001,"En Progreso","Pendiente de ejecutar")))</f>
        <v>Sin Plan</v>
      </c>
    </row>
    <row r="162" spans="1:11" x14ac:dyDescent="0.35">
      <c r="A162" s="2" t="s">
        <v>123</v>
      </c>
      <c r="B162" s="2" t="s">
        <v>65</v>
      </c>
      <c r="C162" s="2" t="s">
        <v>18</v>
      </c>
      <c r="D162" s="2" t="s">
        <v>19</v>
      </c>
      <c r="E162" s="12">
        <v>685000</v>
      </c>
      <c r="F162" s="12">
        <v>0</v>
      </c>
      <c r="G162" s="12">
        <v>872100</v>
      </c>
      <c r="H162" s="12">
        <f>F162+G162</f>
        <v>872100</v>
      </c>
      <c r="I162" s="3">
        <f>E162-H162</f>
        <v>-187100</v>
      </c>
      <c r="J162" s="4">
        <f>IFERROR(H162/E162,0)</f>
        <v>1.2731386861313869</v>
      </c>
      <c r="K162" s="2" t="str">
        <f>IF(E162=0,"Sin Plan",IF(J162&gt;=1,"Completado",IF(J162&gt;0.001,"En Progreso","Pendiente de ejecutar")))</f>
        <v>Completado</v>
      </c>
    </row>
    <row r="163" spans="1:11" x14ac:dyDescent="0.35">
      <c r="A163" s="2" t="s">
        <v>93</v>
      </c>
      <c r="B163" s="2" t="s">
        <v>44</v>
      </c>
      <c r="C163" s="2" t="s">
        <v>116</v>
      </c>
      <c r="D163" s="2" t="s">
        <v>117</v>
      </c>
      <c r="E163" s="12">
        <v>212500</v>
      </c>
      <c r="F163" s="12">
        <v>0</v>
      </c>
      <c r="G163" s="12">
        <v>0</v>
      </c>
      <c r="H163" s="12">
        <f>F163+G163</f>
        <v>0</v>
      </c>
      <c r="I163" s="3">
        <f>E163-H163</f>
        <v>212500</v>
      </c>
      <c r="J163" s="4">
        <f>IFERROR(H163/E163,0)</f>
        <v>0</v>
      </c>
      <c r="K163" s="2" t="str">
        <f>IF(E163=0,"Sin Plan",IF(J163&gt;=1,"Completado",IF(J163&gt;0.001,"En Progreso","Pendiente de ejecutar")))</f>
        <v>Pendiente de ejecutar</v>
      </c>
    </row>
    <row r="164" spans="1:11" x14ac:dyDescent="0.35">
      <c r="A164" s="5" t="s">
        <v>92</v>
      </c>
      <c r="B164" s="5" t="s">
        <v>53</v>
      </c>
      <c r="C164" s="5" t="s">
        <v>116</v>
      </c>
      <c r="D164" s="5" t="s">
        <v>117</v>
      </c>
      <c r="E164" s="12">
        <v>850000</v>
      </c>
      <c r="F164" s="12">
        <v>0</v>
      </c>
      <c r="G164" s="12">
        <v>0</v>
      </c>
      <c r="H164" s="12">
        <f>F164+G164</f>
        <v>0</v>
      </c>
      <c r="I164" s="6">
        <f>E164-H164</f>
        <v>850000</v>
      </c>
      <c r="J164" s="7">
        <f>IFERROR(H164/E164,0)</f>
        <v>0</v>
      </c>
      <c r="K164" s="5" t="str">
        <f>IF(E164=0,"Sin Plan",IF(J164&gt;=1,"Completado",IF(J164&gt;0.001,"En Progreso","Pendiente de ejecutar")))</f>
        <v>Pendiente de ejecutar</v>
      </c>
    </row>
    <row r="165" spans="1:11" x14ac:dyDescent="0.35">
      <c r="A165" s="5" t="s">
        <v>85</v>
      </c>
      <c r="B165" s="5" t="s">
        <v>74</v>
      </c>
      <c r="C165" s="5" t="s">
        <v>3</v>
      </c>
      <c r="D165" s="5" t="s">
        <v>4</v>
      </c>
      <c r="E165" s="12">
        <v>625000</v>
      </c>
      <c r="F165" s="12">
        <v>0</v>
      </c>
      <c r="G165" s="12">
        <v>924797.13</v>
      </c>
      <c r="H165" s="12">
        <f>F165+G165</f>
        <v>924797.13</v>
      </c>
      <c r="I165" s="6">
        <f>E165-H165</f>
        <v>-299797.13</v>
      </c>
      <c r="J165" s="7">
        <f>IFERROR(H165/E165,0)</f>
        <v>1.4796754080000001</v>
      </c>
      <c r="K165" s="5" t="str">
        <f>IF(E165=0,"Sin Plan",IF(J165&gt;=1,"Completado",IF(J165&gt;0.001,"En Progreso","Pendiente de ejecutar")))</f>
        <v>Completado</v>
      </c>
    </row>
    <row r="166" spans="1:11" x14ac:dyDescent="0.35">
      <c r="A166" s="5" t="s">
        <v>93</v>
      </c>
      <c r="B166" s="5" t="s">
        <v>44</v>
      </c>
      <c r="C166" s="5" t="s">
        <v>162</v>
      </c>
      <c r="D166" s="5" t="s">
        <v>163</v>
      </c>
      <c r="E166" s="12">
        <v>162500</v>
      </c>
      <c r="F166" s="12">
        <v>0</v>
      </c>
      <c r="G166" s="12">
        <v>0</v>
      </c>
      <c r="H166" s="12">
        <f>F166+G166</f>
        <v>0</v>
      </c>
      <c r="I166" s="3">
        <f>E166-H166</f>
        <v>162500</v>
      </c>
      <c r="J166" s="7">
        <f>IFERROR(H166/E166,0)</f>
        <v>0</v>
      </c>
      <c r="K166" s="5" t="str">
        <f>IF(E166=0,"Sin Plan",IF(J166&gt;=1,"Completado",IF(J166&gt;0.001,"En Progreso","Pendiente de ejecutar")))</f>
        <v>Pendiente de ejecutar</v>
      </c>
    </row>
    <row r="167" spans="1:11" x14ac:dyDescent="0.35">
      <c r="A167" s="5" t="s">
        <v>93</v>
      </c>
      <c r="B167" s="5" t="s">
        <v>44</v>
      </c>
      <c r="C167" s="5" t="s">
        <v>158</v>
      </c>
      <c r="D167" s="5" t="s">
        <v>159</v>
      </c>
      <c r="E167" s="12">
        <v>130000</v>
      </c>
      <c r="F167" s="12">
        <v>98659.839999999997</v>
      </c>
      <c r="G167" s="12">
        <v>0</v>
      </c>
      <c r="H167" s="12">
        <f>F167+G167</f>
        <v>98659.839999999997</v>
      </c>
      <c r="I167" s="3">
        <f>E167-H167</f>
        <v>31340.160000000003</v>
      </c>
      <c r="J167" s="7">
        <f>IFERROR(H167/E167,0)</f>
        <v>0.75892184615384617</v>
      </c>
      <c r="K167" s="5" t="str">
        <f>IF(E167=0,"Sin Plan",IF(J167&gt;=1,"Completado",IF(J167&gt;0.001,"En Progreso","Pendiente de ejecutar")))</f>
        <v>En Progreso</v>
      </c>
    </row>
    <row r="168" spans="1:11" x14ac:dyDescent="0.35">
      <c r="A168" s="2" t="s">
        <v>66</v>
      </c>
      <c r="B168" s="2" t="s">
        <v>46</v>
      </c>
      <c r="C168" s="2" t="s">
        <v>13</v>
      </c>
      <c r="D168" s="2" t="s">
        <v>14</v>
      </c>
      <c r="E168" s="12">
        <v>1200000</v>
      </c>
      <c r="F168" s="12">
        <v>0</v>
      </c>
      <c r="G168" s="12">
        <v>944709.77</v>
      </c>
      <c r="H168" s="12">
        <f>F168+G168</f>
        <v>944709.77</v>
      </c>
      <c r="I168" s="3">
        <f>E168-H168</f>
        <v>255290.22999999998</v>
      </c>
      <c r="J168" s="4">
        <f>IFERROR(H168/E168,0)</f>
        <v>0.78725814166666663</v>
      </c>
      <c r="K168" s="2" t="str">
        <f>IF(E168=0,"Sin Plan",IF(J168&gt;=1,"Completado",IF(J168&gt;0.001,"En Progreso","Pendiente de ejecutar")))</f>
        <v>En Progreso</v>
      </c>
    </row>
    <row r="169" spans="1:11" x14ac:dyDescent="0.35">
      <c r="A169" s="2" t="s">
        <v>123</v>
      </c>
      <c r="B169" s="2" t="s">
        <v>65</v>
      </c>
      <c r="C169" s="2" t="s">
        <v>13</v>
      </c>
      <c r="D169" s="2" t="s">
        <v>14</v>
      </c>
      <c r="E169" s="12">
        <v>130000</v>
      </c>
      <c r="F169" s="12">
        <v>0</v>
      </c>
      <c r="G169" s="12">
        <v>138246.07</v>
      </c>
      <c r="H169" s="12">
        <f>F169+G169</f>
        <v>138246.07</v>
      </c>
      <c r="I169" s="3">
        <f>E169-H169</f>
        <v>-8246.070000000007</v>
      </c>
      <c r="J169" s="4">
        <f>IFERROR(H169/E169,0)</f>
        <v>1.0634313076923076</v>
      </c>
      <c r="K169" s="2" t="str">
        <f>IF(E169=0,"Sin Plan",IF(J169&gt;=1,"Completado",IF(J169&gt;0.001,"En Progreso","Pendiente de ejecutar")))</f>
        <v>Completado</v>
      </c>
    </row>
    <row r="170" spans="1:11" x14ac:dyDescent="0.35">
      <c r="A170" s="5" t="s">
        <v>66</v>
      </c>
      <c r="B170" s="5" t="s">
        <v>46</v>
      </c>
      <c r="C170" s="5" t="s">
        <v>120</v>
      </c>
      <c r="D170" s="5" t="s">
        <v>121</v>
      </c>
      <c r="E170" s="12">
        <v>333500</v>
      </c>
      <c r="F170" s="26">
        <v>81650</v>
      </c>
      <c r="G170" s="12">
        <v>121850</v>
      </c>
      <c r="H170" s="12">
        <f>F170+G170</f>
        <v>203500</v>
      </c>
      <c r="I170" s="3">
        <f>E170-H170</f>
        <v>130000</v>
      </c>
      <c r="J170" s="7">
        <f>IFERROR(H170/E170,0)</f>
        <v>0.61019490254872566</v>
      </c>
      <c r="K170" s="5" t="str">
        <f>IF(E170=0,"Sin Plan",IF(J170&gt;=1,"Completado",IF(J170&gt;0.001,"En Progreso","Pendiente de ejecutar")))</f>
        <v>En Progreso</v>
      </c>
    </row>
    <row r="171" spans="1:11" x14ac:dyDescent="0.35">
      <c r="A171" s="5" t="s">
        <v>41</v>
      </c>
      <c r="B171" s="5" t="s">
        <v>42</v>
      </c>
      <c r="C171" s="5" t="s">
        <v>24</v>
      </c>
      <c r="D171" s="5" t="s">
        <v>25</v>
      </c>
      <c r="E171" s="12">
        <v>550000</v>
      </c>
      <c r="F171" s="12">
        <v>0</v>
      </c>
      <c r="G171" s="12">
        <v>0</v>
      </c>
      <c r="H171" s="12">
        <f>F171+G171</f>
        <v>0</v>
      </c>
      <c r="I171" s="6">
        <f>E171-H171</f>
        <v>550000</v>
      </c>
      <c r="J171" s="7">
        <f>IFERROR(H171/E171,0)</f>
        <v>0</v>
      </c>
      <c r="K171" s="5" t="str">
        <f>IF(E171=0,"Sin Plan",IF(J171&gt;=1,"Completado",IF(J171&gt;0.001,"En Progreso","Pendiente de ejecutar")))</f>
        <v>Pendiente de ejecutar</v>
      </c>
    </row>
    <row r="172" spans="1:11" x14ac:dyDescent="0.35">
      <c r="A172" s="5" t="s">
        <v>123</v>
      </c>
      <c r="B172" s="5" t="s">
        <v>65</v>
      </c>
      <c r="C172" s="5" t="s">
        <v>226</v>
      </c>
      <c r="D172" s="5" t="s">
        <v>227</v>
      </c>
      <c r="E172" s="12">
        <v>39000</v>
      </c>
      <c r="F172" s="12">
        <v>29850</v>
      </c>
      <c r="G172" s="12">
        <v>0</v>
      </c>
      <c r="H172" s="12">
        <f>F172+G172</f>
        <v>29850</v>
      </c>
      <c r="I172" s="6">
        <f>E172-H172</f>
        <v>9150</v>
      </c>
      <c r="J172" s="7">
        <f>IFERROR(H172/E172,0)</f>
        <v>0.76538461538461533</v>
      </c>
      <c r="K172" s="5" t="str">
        <f>IF(E172=0,"Sin Plan",IF(J172&gt;=1,"Completado",IF(J172&gt;0.001,"En Progreso","Pendiente de ejecutar")))</f>
        <v>En Progreso</v>
      </c>
    </row>
    <row r="173" spans="1:11" x14ac:dyDescent="0.35">
      <c r="A173" s="5" t="s">
        <v>56</v>
      </c>
      <c r="B173" s="5" t="s">
        <v>51</v>
      </c>
      <c r="C173" s="5" t="s">
        <v>9</v>
      </c>
      <c r="D173" s="5" t="s">
        <v>10</v>
      </c>
      <c r="E173" s="12">
        <v>11914000</v>
      </c>
      <c r="F173" s="12">
        <v>275967.8</v>
      </c>
      <c r="G173" s="12">
        <v>0</v>
      </c>
      <c r="H173" s="12">
        <f>F173+G173</f>
        <v>275967.8</v>
      </c>
      <c r="I173" s="6">
        <f>E173-H173</f>
        <v>11638032.199999999</v>
      </c>
      <c r="J173" s="7">
        <f>IFERROR(H173/E173,0)</f>
        <v>2.3163320463320463E-2</v>
      </c>
      <c r="K173" s="5" t="str">
        <f>IF(E173=0,"Sin Plan",IF(J173&gt;=1,"Completado",IF(J173&gt;0.001,"En Progreso","Pendiente de ejecutar")))</f>
        <v>En Progreso</v>
      </c>
    </row>
    <row r="174" spans="1:11" x14ac:dyDescent="0.35">
      <c r="A174" s="2" t="s">
        <v>92</v>
      </c>
      <c r="B174" s="2" t="s">
        <v>53</v>
      </c>
      <c r="C174" s="2" t="s">
        <v>7</v>
      </c>
      <c r="D174" s="2" t="s">
        <v>8</v>
      </c>
      <c r="E174" s="12">
        <v>760000</v>
      </c>
      <c r="F174" s="12">
        <v>0</v>
      </c>
      <c r="G174" s="12">
        <v>0</v>
      </c>
      <c r="H174" s="12">
        <f>F174+G174</f>
        <v>0</v>
      </c>
      <c r="I174" s="3">
        <f>E174-H174</f>
        <v>760000</v>
      </c>
      <c r="J174" s="4">
        <f>IFERROR(H174/E174,0)</f>
        <v>0</v>
      </c>
      <c r="K174" s="2" t="str">
        <f>IF(E174=0,"Sin Plan",IF(J174&gt;=1,"Completado",IF(J174&gt;0.001,"En Progreso","Pendiente de ejecutar")))</f>
        <v>Pendiente de ejecutar</v>
      </c>
    </row>
    <row r="175" spans="1:11" x14ac:dyDescent="0.35">
      <c r="A175" s="5" t="s">
        <v>92</v>
      </c>
      <c r="B175" s="5" t="s">
        <v>53</v>
      </c>
      <c r="C175" s="5" t="s">
        <v>162</v>
      </c>
      <c r="D175" s="5" t="s">
        <v>163</v>
      </c>
      <c r="E175" s="12">
        <v>124000</v>
      </c>
      <c r="F175" s="12">
        <v>0</v>
      </c>
      <c r="G175" s="12">
        <v>0</v>
      </c>
      <c r="H175" s="12">
        <f>F175+G175</f>
        <v>0</v>
      </c>
      <c r="I175" s="6">
        <f>E175-H175</f>
        <v>124000</v>
      </c>
      <c r="J175" s="7">
        <f>IFERROR(H175/E175,0)</f>
        <v>0</v>
      </c>
      <c r="K175" s="5" t="str">
        <f>IF(E175=0,"Sin Plan",IF(J175&gt;=1,"Completado",IF(J175&gt;0.001,"En Progreso","Pendiente de ejecutar")))</f>
        <v>Pendiente de ejecutar</v>
      </c>
    </row>
    <row r="176" spans="1:11" x14ac:dyDescent="0.35">
      <c r="A176" s="2" t="s">
        <v>66</v>
      </c>
      <c r="B176" s="2" t="s">
        <v>46</v>
      </c>
      <c r="C176" s="2" t="s">
        <v>162</v>
      </c>
      <c r="D176" s="2" t="s">
        <v>163</v>
      </c>
      <c r="E176" s="12">
        <v>188500</v>
      </c>
      <c r="F176" s="26">
        <v>193721.52</v>
      </c>
      <c r="G176" s="12">
        <v>0</v>
      </c>
      <c r="H176" s="12">
        <f>F176+G176</f>
        <v>193721.52</v>
      </c>
      <c r="I176" s="3">
        <f>E176-H176</f>
        <v>-5221.5199999999895</v>
      </c>
      <c r="J176" s="4">
        <f>IFERROR(H176/E176,0)</f>
        <v>1.027700371352785</v>
      </c>
      <c r="K176" s="2" t="str">
        <f>IF(E176=0,"Sin Plan",IF(J176&gt;=1,"Completado",IF(J176&gt;0.001,"En Progreso","Pendiente de ejecutar")))</f>
        <v>Completado</v>
      </c>
    </row>
    <row r="177" spans="1:11" x14ac:dyDescent="0.35">
      <c r="A177" s="5" t="s">
        <v>66</v>
      </c>
      <c r="B177" s="5" t="s">
        <v>46</v>
      </c>
      <c r="C177" s="5" t="s">
        <v>138</v>
      </c>
      <c r="D177" s="5" t="s">
        <v>139</v>
      </c>
      <c r="E177" s="12">
        <v>188000</v>
      </c>
      <c r="F177" s="26">
        <v>199248.88</v>
      </c>
      <c r="G177" s="12">
        <v>0</v>
      </c>
      <c r="H177" s="12">
        <f>F177+G177</f>
        <v>199248.88</v>
      </c>
      <c r="I177" s="3">
        <f>E177-H177</f>
        <v>-11248.880000000005</v>
      </c>
      <c r="J177" s="7">
        <f>IFERROR(H177/E177,0)</f>
        <v>1.0598344680851064</v>
      </c>
      <c r="K177" s="5" t="str">
        <f>IF(E177=0,"Sin Plan",IF(J177&gt;=1,"Completado",IF(J177&gt;0.001,"En Progreso","Pendiente de ejecutar")))</f>
        <v>Completado</v>
      </c>
    </row>
    <row r="178" spans="1:11" x14ac:dyDescent="0.35">
      <c r="A178" s="5" t="s">
        <v>92</v>
      </c>
      <c r="B178" s="5" t="s">
        <v>53</v>
      </c>
      <c r="C178" s="5" t="s">
        <v>208</v>
      </c>
      <c r="D178" s="5" t="s">
        <v>209</v>
      </c>
      <c r="E178" s="12">
        <v>86000</v>
      </c>
      <c r="F178" s="12">
        <v>0</v>
      </c>
      <c r="G178" s="12">
        <v>0</v>
      </c>
      <c r="H178" s="12">
        <f>F178+G178</f>
        <v>0</v>
      </c>
      <c r="I178" s="6">
        <f>E178-H178</f>
        <v>86000</v>
      </c>
      <c r="J178" s="7">
        <f>IFERROR(H178/E178,0)</f>
        <v>0</v>
      </c>
      <c r="K178" s="5" t="str">
        <f>IF(E178=0,"Sin Plan",IF(J178&gt;=1,"Completado",IF(J178&gt;0.001,"En Progreso","Pendiente de ejecutar")))</f>
        <v>Pendiente de ejecutar</v>
      </c>
    </row>
    <row r="179" spans="1:11" s="16" customFormat="1" x14ac:dyDescent="0.35">
      <c r="A179" s="17" t="s">
        <v>70</v>
      </c>
      <c r="B179" s="17" t="s">
        <v>55</v>
      </c>
      <c r="C179" s="17" t="s">
        <v>293</v>
      </c>
      <c r="D179" s="17" t="s">
        <v>294</v>
      </c>
      <c r="E179" s="12">
        <v>0</v>
      </c>
      <c r="F179" s="12">
        <v>0</v>
      </c>
      <c r="G179" s="12">
        <v>218034</v>
      </c>
      <c r="H179" s="12">
        <f>F179+G179</f>
        <v>218034</v>
      </c>
      <c r="I179" s="3">
        <f>E179-H179</f>
        <v>-218034</v>
      </c>
      <c r="J179" s="19">
        <f>IFERROR(H179/E179,0)</f>
        <v>0</v>
      </c>
      <c r="K179" s="17" t="str">
        <f>IF(E179=0,"Sin Plan",IF(J179&gt;=1,"Completado",IF(J179&gt;0.001,"En Progreso","Pendiente de ejecutar")))</f>
        <v>Sin Plan</v>
      </c>
    </row>
    <row r="180" spans="1:11" x14ac:dyDescent="0.35">
      <c r="A180" s="5" t="s">
        <v>56</v>
      </c>
      <c r="B180" s="5" t="s">
        <v>51</v>
      </c>
      <c r="C180" s="5" t="s">
        <v>2</v>
      </c>
      <c r="D180" s="2" t="s">
        <v>299</v>
      </c>
      <c r="E180" s="12">
        <v>1463000</v>
      </c>
      <c r="F180" s="12">
        <v>612102.36</v>
      </c>
      <c r="G180" s="12">
        <v>0</v>
      </c>
      <c r="H180" s="12">
        <f>F180+G180</f>
        <v>612102.36</v>
      </c>
      <c r="I180" s="6">
        <f>E180-H180</f>
        <v>850897.64</v>
      </c>
      <c r="J180" s="7">
        <f>IFERROR(H180/E180,0)</f>
        <v>0.41838848940533152</v>
      </c>
      <c r="K180" s="5" t="str">
        <f>IF(E180=0,"Sin Plan",IF(J180&gt;=1,"Completado",IF(J180&gt;0.001,"En Progreso","Pendiente de ejecutar")))</f>
        <v>En Progreso</v>
      </c>
    </row>
    <row r="181" spans="1:11" x14ac:dyDescent="0.35">
      <c r="A181" s="5" t="s">
        <v>56</v>
      </c>
      <c r="B181" s="5" t="s">
        <v>51</v>
      </c>
      <c r="C181" s="5" t="s">
        <v>18</v>
      </c>
      <c r="D181" s="5" t="s">
        <v>19</v>
      </c>
      <c r="E181" s="12">
        <v>685000</v>
      </c>
      <c r="F181" s="12">
        <v>0</v>
      </c>
      <c r="G181" s="12">
        <v>768100</v>
      </c>
      <c r="H181" s="12">
        <f>F181+G181</f>
        <v>768100</v>
      </c>
      <c r="I181" s="6">
        <f>E181-H181</f>
        <v>-83100</v>
      </c>
      <c r="J181" s="7">
        <f>IFERROR(H181/E181,0)</f>
        <v>1.1213138686131388</v>
      </c>
      <c r="K181" s="5" t="str">
        <f>IF(E181=0,"Sin Plan",IF(J181&gt;=1,"Completado",IF(J181&gt;0.001,"En Progreso","Pendiente de ejecutar")))</f>
        <v>Completado</v>
      </c>
    </row>
    <row r="182" spans="1:11" x14ac:dyDescent="0.35">
      <c r="A182" s="2" t="s">
        <v>56</v>
      </c>
      <c r="B182" s="2" t="s">
        <v>51</v>
      </c>
      <c r="C182" s="2" t="s">
        <v>26</v>
      </c>
      <c r="D182" s="2" t="s">
        <v>27</v>
      </c>
      <c r="E182" s="12">
        <v>160000</v>
      </c>
      <c r="F182" s="12">
        <v>64307.7</v>
      </c>
      <c r="G182" s="12">
        <v>0</v>
      </c>
      <c r="H182" s="12">
        <f>F182+G182</f>
        <v>64307.7</v>
      </c>
      <c r="I182" s="3">
        <f>E182-H182</f>
        <v>95692.3</v>
      </c>
      <c r="J182" s="4">
        <f>IFERROR(H182/E182,0)</f>
        <v>0.40192312499999999</v>
      </c>
      <c r="K182" s="2" t="str">
        <f>IF(E182=0,"Sin Plan",IF(J182&gt;=1,"Completado",IF(J182&gt;0.001,"En Progreso","Pendiente de ejecutar")))</f>
        <v>En Progreso</v>
      </c>
    </row>
    <row r="183" spans="1:11" x14ac:dyDescent="0.35">
      <c r="A183" s="2" t="s">
        <v>56</v>
      </c>
      <c r="B183" s="2" t="s">
        <v>51</v>
      </c>
      <c r="C183" s="2" t="s">
        <v>142</v>
      </c>
      <c r="D183" s="2" t="s">
        <v>143</v>
      </c>
      <c r="E183" s="12">
        <v>105000</v>
      </c>
      <c r="F183" s="12">
        <v>0</v>
      </c>
      <c r="G183" s="12">
        <v>0</v>
      </c>
      <c r="H183" s="12">
        <f>F183+G183</f>
        <v>0</v>
      </c>
      <c r="I183" s="3">
        <f>E183-H183</f>
        <v>105000</v>
      </c>
      <c r="J183" s="4">
        <f>IFERROR(H183/E183,0)</f>
        <v>0</v>
      </c>
      <c r="K183" s="2" t="str">
        <f>IF(E183=0,"Sin Plan",IF(J183&gt;=1,"Completado",IF(J183&gt;0.001,"En Progreso","Pendiente de ejecutar")))</f>
        <v>Pendiente de ejecutar</v>
      </c>
    </row>
    <row r="184" spans="1:11" x14ac:dyDescent="0.35">
      <c r="A184" s="5" t="s">
        <v>56</v>
      </c>
      <c r="B184" s="5" t="s">
        <v>51</v>
      </c>
      <c r="C184" s="5" t="s">
        <v>2</v>
      </c>
      <c r="D184" s="2" t="s">
        <v>299</v>
      </c>
      <c r="F184" s="12">
        <f>17067.28+23075.48</f>
        <v>40142.759999999995</v>
      </c>
    </row>
    <row r="185" spans="1:11" x14ac:dyDescent="0.35">
      <c r="A185" s="5" t="s">
        <v>204</v>
      </c>
      <c r="B185" s="5" t="s">
        <v>65</v>
      </c>
      <c r="C185" s="5" t="s">
        <v>13</v>
      </c>
      <c r="D185" s="5" t="s">
        <v>14</v>
      </c>
      <c r="E185" s="12">
        <v>228000</v>
      </c>
      <c r="F185" s="12">
        <v>0</v>
      </c>
      <c r="G185" s="12">
        <v>134924.26</v>
      </c>
      <c r="H185" s="12">
        <f>F185+G185</f>
        <v>134924.26</v>
      </c>
      <c r="I185" s="6">
        <f>E185-H185</f>
        <v>93075.739999999991</v>
      </c>
      <c r="J185" s="7">
        <f>IFERROR(H185/E185,0)</f>
        <v>0.59177307017543868</v>
      </c>
      <c r="K185" s="5" t="str">
        <f>IF(E185=0,"Sin Plan",IF(J185&gt;=1,"Completado",IF(J185&gt;0.001,"En Progreso","Pendiente de ejecutar")))</f>
        <v>En Progreso</v>
      </c>
    </row>
    <row r="186" spans="1:11" x14ac:dyDescent="0.35">
      <c r="A186" s="2" t="s">
        <v>204</v>
      </c>
      <c r="B186" s="2" t="s">
        <v>65</v>
      </c>
      <c r="C186" s="2" t="s">
        <v>26</v>
      </c>
      <c r="D186" s="2" t="s">
        <v>27</v>
      </c>
      <c r="E186" s="12">
        <v>192000</v>
      </c>
      <c r="F186" s="12">
        <v>68760.78</v>
      </c>
      <c r="G186" s="12">
        <v>0</v>
      </c>
      <c r="H186" s="12">
        <f>F186+G186</f>
        <v>68760.78</v>
      </c>
      <c r="I186" s="3">
        <f>E186-H186</f>
        <v>123239.22</v>
      </c>
      <c r="J186" s="4">
        <f>IFERROR(H186/E186,0)</f>
        <v>0.35812906249999998</v>
      </c>
      <c r="K186" s="2" t="str">
        <f>IF(E186=0,"Sin Plan",IF(J186&gt;=1,"Completado",IF(J186&gt;0.001,"En Progreso","Pendiente de ejecutar")))</f>
        <v>En Progreso</v>
      </c>
    </row>
    <row r="187" spans="1:11" x14ac:dyDescent="0.35">
      <c r="A187" s="5" t="s">
        <v>204</v>
      </c>
      <c r="B187" s="5" t="s">
        <v>65</v>
      </c>
      <c r="C187" s="5" t="s">
        <v>2</v>
      </c>
      <c r="D187" s="2" t="s">
        <v>299</v>
      </c>
      <c r="E187" s="12">
        <v>63000</v>
      </c>
      <c r="F187" s="12">
        <v>23075.48</v>
      </c>
      <c r="G187" s="12">
        <v>0</v>
      </c>
      <c r="H187" s="12">
        <f>F187+G187</f>
        <v>23075.48</v>
      </c>
      <c r="I187" s="6">
        <f>E187-H187</f>
        <v>39924.520000000004</v>
      </c>
      <c r="J187" s="7">
        <f>IFERROR(H187/E187,0)</f>
        <v>0.36627746031746033</v>
      </c>
      <c r="K187" s="5" t="str">
        <f>IF(E187=0,"Sin Plan",IF(J187&gt;=1,"Completado",IF(J187&gt;0.001,"En Progreso","Pendiente de ejecutar")))</f>
        <v>En Progreso</v>
      </c>
    </row>
    <row r="188" spans="1:11" x14ac:dyDescent="0.35">
      <c r="A188" s="2" t="s">
        <v>204</v>
      </c>
      <c r="B188" s="2" t="s">
        <v>65</v>
      </c>
      <c r="C188" s="2" t="s">
        <v>256</v>
      </c>
      <c r="D188" s="2" t="s">
        <v>257</v>
      </c>
      <c r="E188" s="12">
        <v>0</v>
      </c>
      <c r="F188" s="12">
        <v>42697.2</v>
      </c>
      <c r="G188" s="12">
        <v>0</v>
      </c>
      <c r="H188" s="12">
        <f>F188+G188</f>
        <v>42697.2</v>
      </c>
      <c r="I188" s="3">
        <f>E188-H188</f>
        <v>-42697.2</v>
      </c>
      <c r="J188" s="4">
        <f>IFERROR(H188/E188,0)</f>
        <v>0</v>
      </c>
      <c r="K188" s="2" t="str">
        <f>IF(E188=0,"Sin Plan",IF(J188&gt;=1,"Completado",IF(J188&gt;0.001,"En Progreso","Pendiente de ejecutar")))</f>
        <v>Sin Plan</v>
      </c>
    </row>
    <row r="189" spans="1:11" x14ac:dyDescent="0.35">
      <c r="A189" s="2" t="s">
        <v>124</v>
      </c>
      <c r="B189" s="2" t="s">
        <v>51</v>
      </c>
      <c r="C189" s="2" t="s">
        <v>2</v>
      </c>
      <c r="D189" s="2" t="s">
        <v>299</v>
      </c>
      <c r="E189" s="12">
        <v>1526000</v>
      </c>
      <c r="F189" s="12">
        <v>612102.36</v>
      </c>
      <c r="G189" s="12">
        <v>0</v>
      </c>
      <c r="H189" s="12">
        <f>F189+G189</f>
        <v>612102.36</v>
      </c>
      <c r="I189" s="3">
        <f>E189-H189</f>
        <v>913897.64</v>
      </c>
      <c r="J189" s="4">
        <f>IFERROR(H189/E189,0)</f>
        <v>0.40111557011795546</v>
      </c>
      <c r="K189" s="2" t="str">
        <f>IF(E189=0,"Sin Plan",IF(J189&gt;=1,"Completado",IF(J189&gt;0.001,"En Progreso","Pendiente de ejecutar")))</f>
        <v>En Progreso</v>
      </c>
    </row>
    <row r="190" spans="1:11" x14ac:dyDescent="0.35">
      <c r="A190" s="2" t="s">
        <v>124</v>
      </c>
      <c r="B190" s="2" t="s">
        <v>51</v>
      </c>
      <c r="C190" s="2" t="s">
        <v>9</v>
      </c>
      <c r="D190" s="2" t="s">
        <v>10</v>
      </c>
      <c r="E190" s="12">
        <v>462000</v>
      </c>
      <c r="F190" s="12">
        <v>410352.12</v>
      </c>
      <c r="G190" s="12">
        <v>0</v>
      </c>
      <c r="H190" s="12">
        <f>F190+G190</f>
        <v>410352.12</v>
      </c>
      <c r="I190" s="3">
        <f>E190-H190</f>
        <v>51647.880000000005</v>
      </c>
      <c r="J190" s="4">
        <f>IFERROR(H190/E190,0)</f>
        <v>0.88820805194805197</v>
      </c>
      <c r="K190" s="2" t="str">
        <f>IF(E190=0,"Sin Plan",IF(J190&gt;=1,"Completado",IF(J190&gt;0.001,"En Progreso","Pendiente de ejecutar")))</f>
        <v>En Progreso</v>
      </c>
    </row>
    <row r="191" spans="1:11" x14ac:dyDescent="0.35">
      <c r="A191" s="2" t="s">
        <v>124</v>
      </c>
      <c r="B191" s="2" t="s">
        <v>51</v>
      </c>
      <c r="D191" t="s">
        <v>117</v>
      </c>
      <c r="E191" s="12">
        <v>0</v>
      </c>
      <c r="F191" s="12">
        <v>40082.92</v>
      </c>
    </row>
    <row r="192" spans="1:11" x14ac:dyDescent="0.35">
      <c r="A192" s="2" t="s">
        <v>145</v>
      </c>
      <c r="B192" s="2" t="s">
        <v>65</v>
      </c>
      <c r="C192" s="2" t="s">
        <v>18</v>
      </c>
      <c r="D192" s="2" t="s">
        <v>19</v>
      </c>
      <c r="E192" s="12">
        <v>685000</v>
      </c>
      <c r="F192" s="12">
        <v>0</v>
      </c>
      <c r="G192" s="12">
        <v>746100</v>
      </c>
      <c r="H192" s="12">
        <f>F192+G192</f>
        <v>746100</v>
      </c>
      <c r="I192" s="3">
        <f>E192-H192</f>
        <v>-61100</v>
      </c>
      <c r="J192" s="4">
        <f>IFERROR(H192/E192,0)</f>
        <v>1.0891970802919708</v>
      </c>
      <c r="K192" s="2" t="str">
        <f>IF(E192=0,"Sin Plan",IF(J192&gt;=1,"Completado",IF(J192&gt;0.001,"En Progreso","Pendiente de ejecutar")))</f>
        <v>Completado</v>
      </c>
    </row>
    <row r="193" spans="1:11" x14ac:dyDescent="0.35">
      <c r="A193" s="5" t="s">
        <v>145</v>
      </c>
      <c r="B193" s="5" t="s">
        <v>65</v>
      </c>
      <c r="C193" s="5" t="s">
        <v>26</v>
      </c>
      <c r="D193" s="5" t="s">
        <v>27</v>
      </c>
      <c r="E193" s="12">
        <v>192000</v>
      </c>
      <c r="F193" s="12">
        <v>0</v>
      </c>
      <c r="G193" s="12">
        <v>0</v>
      </c>
      <c r="H193" s="12">
        <f>F193+G193</f>
        <v>0</v>
      </c>
      <c r="I193" s="6">
        <f>E193-H193</f>
        <v>192000</v>
      </c>
      <c r="J193" s="7">
        <f>IFERROR(H193/E193,0)</f>
        <v>0</v>
      </c>
      <c r="K193" s="5" t="str">
        <f>IF(E193=0,"Sin Plan",IF(J193&gt;=1,"Completado",IF(J193&gt;0.001,"En Progreso","Pendiente de ejecutar")))</f>
        <v>Pendiente de ejecutar</v>
      </c>
    </row>
    <row r="194" spans="1:11" x14ac:dyDescent="0.35">
      <c r="A194" s="5" t="s">
        <v>145</v>
      </c>
      <c r="B194" s="5" t="s">
        <v>65</v>
      </c>
      <c r="C194" s="5" t="s">
        <v>22</v>
      </c>
      <c r="D194" s="5" t="s">
        <v>23</v>
      </c>
      <c r="E194" s="12">
        <v>120000</v>
      </c>
      <c r="F194" s="12">
        <v>0</v>
      </c>
      <c r="G194" s="12">
        <v>246624.75</v>
      </c>
      <c r="H194" s="12">
        <f>F194+G194</f>
        <v>246624.75</v>
      </c>
      <c r="I194" s="6">
        <f>E194-H194</f>
        <v>-126624.75</v>
      </c>
      <c r="J194" s="7">
        <f>IFERROR(H194/E194,0)</f>
        <v>2.0552062499999999</v>
      </c>
      <c r="K194" s="5" t="str">
        <f>IF(E194=0,"Sin Plan",IF(J194&gt;=1,"Completado",IF(J194&gt;0.001,"En Progreso","Pendiente de ejecutar")))</f>
        <v>Completado</v>
      </c>
    </row>
    <row r="195" spans="1:11" x14ac:dyDescent="0.35">
      <c r="A195" s="2" t="s">
        <v>145</v>
      </c>
      <c r="B195" s="2" t="s">
        <v>65</v>
      </c>
      <c r="C195" s="2" t="s">
        <v>2</v>
      </c>
      <c r="D195" s="2" t="s">
        <v>299</v>
      </c>
      <c r="E195" s="12">
        <v>63000</v>
      </c>
      <c r="F195" s="12">
        <v>23075.48</v>
      </c>
      <c r="G195" s="12">
        <v>0</v>
      </c>
      <c r="H195" s="12">
        <f>F195+G195</f>
        <v>23075.48</v>
      </c>
      <c r="I195" s="3">
        <f>E195-H195</f>
        <v>39924.520000000004</v>
      </c>
      <c r="J195" s="4">
        <f>IFERROR(H195/E195,0)</f>
        <v>0.36627746031746033</v>
      </c>
      <c r="K195" s="2" t="str">
        <f>IF(E195=0,"Sin Plan",IF(J195&gt;=1,"Completado",IF(J195&gt;0.001,"En Progreso","Pendiente de ejecutar")))</f>
        <v>En Progreso</v>
      </c>
    </row>
    <row r="196" spans="1:11" x14ac:dyDescent="0.35">
      <c r="A196" s="5" t="s">
        <v>146</v>
      </c>
      <c r="B196" s="5" t="s">
        <v>51</v>
      </c>
      <c r="C196" s="5" t="s">
        <v>18</v>
      </c>
      <c r="D196" s="5" t="s">
        <v>19</v>
      </c>
      <c r="E196" s="12">
        <v>685000</v>
      </c>
      <c r="F196" s="12">
        <v>0</v>
      </c>
      <c r="G196" s="12">
        <v>789100</v>
      </c>
      <c r="H196" s="12">
        <f>F196+G196</f>
        <v>789100</v>
      </c>
      <c r="I196" s="6">
        <f>E196-H196</f>
        <v>-104100</v>
      </c>
      <c r="J196" s="7">
        <f>IFERROR(H196/E196,0)</f>
        <v>1.151970802919708</v>
      </c>
      <c r="K196" s="5" t="str">
        <f>IF(E196=0,"Sin Plan",IF(J196&gt;=1,"Completado",IF(J196&gt;0.001,"En Progreso","Pendiente de ejecutar")))</f>
        <v>Completado</v>
      </c>
    </row>
    <row r="197" spans="1:11" x14ac:dyDescent="0.35">
      <c r="A197" s="2" t="s">
        <v>54</v>
      </c>
      <c r="B197" s="2" t="s">
        <v>55</v>
      </c>
      <c r="C197" s="2" t="s">
        <v>9</v>
      </c>
      <c r="D197" s="2" t="s">
        <v>10</v>
      </c>
      <c r="E197" s="12">
        <v>12275000</v>
      </c>
      <c r="F197" s="12">
        <v>0</v>
      </c>
      <c r="G197" s="12">
        <v>6068531.9199999999</v>
      </c>
      <c r="H197" s="12">
        <f>F197+G197</f>
        <v>6068531.9199999999</v>
      </c>
      <c r="I197" s="3">
        <f>E197-H197</f>
        <v>6206468.0800000001</v>
      </c>
      <c r="J197" s="4">
        <f>IFERROR(H197/E197,0)</f>
        <v>0.49438141914460282</v>
      </c>
      <c r="K197" s="2" t="str">
        <f>IF(E197=0,"Sin Plan",IF(J197&gt;=1,"Completado",IF(J197&gt;0.001,"En Progreso","Pendiente de ejecutar")))</f>
        <v>En Progreso</v>
      </c>
    </row>
    <row r="198" spans="1:11" x14ac:dyDescent="0.35">
      <c r="A198" s="2" t="s">
        <v>54</v>
      </c>
      <c r="B198" s="2" t="s">
        <v>55</v>
      </c>
      <c r="C198" s="2" t="s">
        <v>3</v>
      </c>
      <c r="D198" s="2" t="s">
        <v>4</v>
      </c>
      <c r="E198" s="12">
        <v>7590000</v>
      </c>
      <c r="F198" s="12">
        <v>0</v>
      </c>
      <c r="G198" s="12">
        <v>0</v>
      </c>
      <c r="H198" s="12">
        <f>F198+G198</f>
        <v>0</v>
      </c>
      <c r="I198" s="3">
        <f>E198-H198</f>
        <v>7590000</v>
      </c>
      <c r="J198" s="4">
        <f>IFERROR(H198/E198,0)</f>
        <v>0</v>
      </c>
      <c r="K198" s="2" t="str">
        <f>IF(E198=0,"Sin Plan",IF(J198&gt;=1,"Completado",IF(J198&gt;0.001,"En Progreso","Pendiente de ejecutar")))</f>
        <v>Pendiente de ejecutar</v>
      </c>
    </row>
    <row r="199" spans="1:11" x14ac:dyDescent="0.35">
      <c r="A199" s="5" t="s">
        <v>54</v>
      </c>
      <c r="B199" s="5" t="s">
        <v>55</v>
      </c>
      <c r="C199" s="5" t="s">
        <v>13</v>
      </c>
      <c r="D199" s="5" t="s">
        <v>14</v>
      </c>
      <c r="E199" s="12">
        <v>4835000</v>
      </c>
      <c r="F199" s="12">
        <v>0</v>
      </c>
      <c r="G199" s="12">
        <v>3774339.61</v>
      </c>
      <c r="H199" s="12">
        <f>F199+G199</f>
        <v>3774339.61</v>
      </c>
      <c r="I199" s="3">
        <f>E199-H199</f>
        <v>1060660.3900000001</v>
      </c>
      <c r="J199" s="7">
        <f>IFERROR(H199/E199,0)</f>
        <v>0.78062866804550157</v>
      </c>
      <c r="K199" s="5" t="str">
        <f>IF(E199=0,"Sin Plan",IF(J199&gt;=1,"Completado",IF(J199&gt;0.001,"En Progreso","Pendiente de ejecutar")))</f>
        <v>En Progreso</v>
      </c>
    </row>
    <row r="200" spans="1:11" x14ac:dyDescent="0.35">
      <c r="A200" s="2" t="s">
        <v>66</v>
      </c>
      <c r="B200" s="2" t="s">
        <v>46</v>
      </c>
      <c r="C200" s="2" t="s">
        <v>178</v>
      </c>
      <c r="D200" s="2" t="s">
        <v>179</v>
      </c>
      <c r="E200" s="12">
        <v>180000</v>
      </c>
      <c r="F200" s="26">
        <v>157344</v>
      </c>
      <c r="G200" s="12">
        <v>0</v>
      </c>
      <c r="H200" s="12">
        <f>F200+G200</f>
        <v>157344</v>
      </c>
      <c r="I200" s="3">
        <f>E200-H200</f>
        <v>22656</v>
      </c>
      <c r="J200" s="4">
        <f>IFERROR(H200/E200,0)</f>
        <v>0.87413333333333332</v>
      </c>
      <c r="K200" s="2" t="str">
        <f>IF(E200=0,"Sin Plan",IF(J200&gt;=1,"Completado",IF(J200&gt;0.001,"En Progreso","Pendiente de ejecutar")))</f>
        <v>En Progreso</v>
      </c>
    </row>
    <row r="201" spans="1:11" s="16" customFormat="1" x14ac:dyDescent="0.35">
      <c r="A201" s="13" t="s">
        <v>92</v>
      </c>
      <c r="B201" s="13" t="s">
        <v>53</v>
      </c>
      <c r="C201" s="13" t="s">
        <v>221</v>
      </c>
      <c r="D201" s="13" t="s">
        <v>222</v>
      </c>
      <c r="E201" s="12">
        <v>0</v>
      </c>
      <c r="F201" s="12">
        <f>33300+60474.46+7233.09</f>
        <v>101007.54999999999</v>
      </c>
      <c r="G201" s="12">
        <v>0</v>
      </c>
      <c r="H201" s="12">
        <f>F201+G201</f>
        <v>101007.54999999999</v>
      </c>
      <c r="I201" s="14">
        <f>E201-H201</f>
        <v>-101007.54999999999</v>
      </c>
      <c r="J201" s="15">
        <f>IFERROR(H201/E201,0)</f>
        <v>0</v>
      </c>
      <c r="K201" s="13" t="str">
        <f>IF(E201=0,"Sin Plan",IF(J201&gt;=1,"Completado",IF(J201&gt;0.001,"En Progreso","Pendiente de ejecutar")))</f>
        <v>Sin Plan</v>
      </c>
    </row>
    <row r="202" spans="1:11" x14ac:dyDescent="0.35">
      <c r="A202" s="2" t="s">
        <v>87</v>
      </c>
      <c r="B202" s="2" t="s">
        <v>53</v>
      </c>
      <c r="C202" s="2" t="s">
        <v>3</v>
      </c>
      <c r="D202" s="2" t="s">
        <v>4</v>
      </c>
      <c r="E202" s="12">
        <v>4350000</v>
      </c>
      <c r="F202" s="12">
        <v>0</v>
      </c>
      <c r="G202" s="12">
        <v>0</v>
      </c>
      <c r="H202" s="12">
        <f>F202+G202</f>
        <v>0</v>
      </c>
      <c r="I202" s="3">
        <f>E202-H202</f>
        <v>4350000</v>
      </c>
      <c r="J202" s="4">
        <f>IFERROR(H202/E202,0)</f>
        <v>0</v>
      </c>
      <c r="K202" s="2" t="str">
        <f>IF(E202=0,"Sin Plan",IF(J202&gt;=1,"Completado",IF(J202&gt;0.001,"En Progreso","Pendiente de ejecutar")))</f>
        <v>Pendiente de ejecutar</v>
      </c>
    </row>
    <row r="203" spans="1:11" x14ac:dyDescent="0.35">
      <c r="A203" s="5" t="s">
        <v>54</v>
      </c>
      <c r="B203" s="5" t="s">
        <v>55</v>
      </c>
      <c r="C203" s="5" t="s">
        <v>158</v>
      </c>
      <c r="D203" s="5" t="s">
        <v>159</v>
      </c>
      <c r="E203" s="12">
        <v>650000</v>
      </c>
      <c r="F203" s="12">
        <f>98659.84*2</f>
        <v>197319.67999999999</v>
      </c>
      <c r="G203" s="12">
        <v>0</v>
      </c>
      <c r="H203" s="12">
        <f>F203+G203</f>
        <v>197319.67999999999</v>
      </c>
      <c r="I203" s="3">
        <f>E203-H203</f>
        <v>452680.32</v>
      </c>
      <c r="J203" s="7">
        <f>IFERROR(H203/E203,0)</f>
        <v>0.30356873846153842</v>
      </c>
      <c r="K203" s="5" t="str">
        <f>IF(E203=0,"Sin Plan",IF(J203&gt;=1,"Completado",IF(J203&gt;0.001,"En Progreso","Pendiente de ejecutar")))</f>
        <v>En Progreso</v>
      </c>
    </row>
    <row r="204" spans="1:11" x14ac:dyDescent="0.35">
      <c r="A204" s="5" t="s">
        <v>66</v>
      </c>
      <c r="B204" s="5" t="s">
        <v>46</v>
      </c>
      <c r="C204" s="5" t="s">
        <v>208</v>
      </c>
      <c r="D204" s="5" t="s">
        <v>209</v>
      </c>
      <c r="E204" s="12">
        <v>136000</v>
      </c>
      <c r="F204" s="12">
        <v>0</v>
      </c>
      <c r="G204" s="12">
        <v>0</v>
      </c>
      <c r="H204" s="12">
        <f>F204+G204</f>
        <v>0</v>
      </c>
      <c r="I204" s="3">
        <f>E204-H204</f>
        <v>136000</v>
      </c>
      <c r="J204" s="7">
        <f>IFERROR(H204/E204,0)</f>
        <v>0</v>
      </c>
      <c r="K204" s="5" t="str">
        <f>IF(E204=0,"Sin Plan",IF(J204&gt;=1,"Completado",IF(J204&gt;0.001,"En Progreso","Pendiente de ejecutar")))</f>
        <v>Pendiente de ejecutar</v>
      </c>
    </row>
    <row r="205" spans="1:11" x14ac:dyDescent="0.35">
      <c r="A205" s="2" t="s">
        <v>146</v>
      </c>
      <c r="B205" s="2" t="s">
        <v>51</v>
      </c>
      <c r="C205" s="2" t="s">
        <v>167</v>
      </c>
      <c r="D205" s="2" t="s">
        <v>168</v>
      </c>
      <c r="E205" s="12">
        <v>220420</v>
      </c>
      <c r="F205" s="12">
        <v>0</v>
      </c>
      <c r="G205" s="12">
        <v>110732.56</v>
      </c>
      <c r="H205" s="12">
        <f>F205+G205</f>
        <v>110732.56</v>
      </c>
      <c r="I205" s="3">
        <f>E205-H205</f>
        <v>109687.44</v>
      </c>
      <c r="J205" s="4">
        <f>IFERROR(H205/E205,0)</f>
        <v>0.50237074675619275</v>
      </c>
      <c r="K205" s="2" t="str">
        <f>IF(E205=0,"Sin Plan",IF(J205&gt;=1,"Completado",IF(J205&gt;0.001,"En Progreso","Pendiente de ejecutar")))</f>
        <v>En Progreso</v>
      </c>
    </row>
    <row r="206" spans="1:11" x14ac:dyDescent="0.35">
      <c r="A206" s="5" t="s">
        <v>146</v>
      </c>
      <c r="B206" s="5" t="s">
        <v>51</v>
      </c>
      <c r="C206" s="5" t="s">
        <v>2</v>
      </c>
      <c r="D206" s="2" t="s">
        <v>299</v>
      </c>
      <c r="E206" s="12">
        <v>63000</v>
      </c>
      <c r="F206" s="12">
        <v>0</v>
      </c>
      <c r="G206" s="12">
        <v>0</v>
      </c>
      <c r="H206" s="12">
        <f>F206+G206</f>
        <v>0</v>
      </c>
      <c r="I206" s="6">
        <f>E206-H206</f>
        <v>63000</v>
      </c>
      <c r="J206" s="7">
        <f>IFERROR(H206/E206,0)</f>
        <v>0</v>
      </c>
      <c r="K206" s="5" t="str">
        <f>IF(E206=0,"Sin Plan",IF(J206&gt;=1,"Completado",IF(J206&gt;0.001,"En Progreso","Pendiente de ejecutar")))</f>
        <v>Pendiente de ejecutar</v>
      </c>
    </row>
    <row r="207" spans="1:11" x14ac:dyDescent="0.35">
      <c r="A207" s="2" t="s">
        <v>54</v>
      </c>
      <c r="B207" s="2" t="s">
        <v>55</v>
      </c>
      <c r="C207" s="2" t="s">
        <v>223</v>
      </c>
      <c r="D207" s="2" t="s">
        <v>224</v>
      </c>
      <c r="E207" s="12">
        <v>37500</v>
      </c>
      <c r="F207" s="12">
        <v>149544.75</v>
      </c>
      <c r="G207" s="12">
        <v>0</v>
      </c>
      <c r="H207" s="12">
        <f>F207+G207</f>
        <v>149544.75</v>
      </c>
      <c r="I207" s="3">
        <f>E207-H207</f>
        <v>-112044.75</v>
      </c>
      <c r="J207" s="4">
        <f>IFERROR(H207/E207,0)</f>
        <v>3.98786</v>
      </c>
      <c r="K207" s="2" t="str">
        <f>IF(E207=0,"Sin Plan",IF(J207&gt;=1,"Completado",IF(J207&gt;0.001,"En Progreso","Pendiente de ejecutar")))</f>
        <v>Completado</v>
      </c>
    </row>
    <row r="208" spans="1:11" x14ac:dyDescent="0.35">
      <c r="A208" s="5" t="s">
        <v>54</v>
      </c>
      <c r="B208" s="5" t="s">
        <v>55</v>
      </c>
      <c r="C208" s="5" t="s">
        <v>162</v>
      </c>
      <c r="D208" s="5" t="s">
        <v>163</v>
      </c>
      <c r="E208" s="12">
        <v>20000</v>
      </c>
      <c r="F208" s="12">
        <v>0</v>
      </c>
      <c r="G208" s="12">
        <v>0</v>
      </c>
      <c r="H208" s="12">
        <f>F208+G208</f>
        <v>0</v>
      </c>
      <c r="I208" s="3">
        <f>E208-H208</f>
        <v>20000</v>
      </c>
      <c r="J208" s="7">
        <f>IFERROR(H208/E208,0)</f>
        <v>0</v>
      </c>
      <c r="K208" s="5" t="str">
        <f>IF(E208=0,"Sin Plan",IF(J208&gt;=1,"Completado",IF(J208&gt;0.001,"En Progreso","Pendiente de ejecutar")))</f>
        <v>Pendiente de ejecutar</v>
      </c>
    </row>
    <row r="209" spans="1:11" x14ac:dyDescent="0.35">
      <c r="A209" s="2" t="s">
        <v>66</v>
      </c>
      <c r="B209" s="2" t="s">
        <v>46</v>
      </c>
      <c r="C209" s="2" t="s">
        <v>219</v>
      </c>
      <c r="D209" s="2" t="s">
        <v>220</v>
      </c>
      <c r="E209" s="12">
        <v>114000</v>
      </c>
      <c r="F209" s="12">
        <v>0</v>
      </c>
      <c r="G209" s="12">
        <v>0</v>
      </c>
      <c r="H209" s="12">
        <f>F209+G209</f>
        <v>0</v>
      </c>
      <c r="I209" s="3">
        <f>E209-H209</f>
        <v>114000</v>
      </c>
      <c r="J209" s="4">
        <f>IFERROR(H209/E209,0)</f>
        <v>0</v>
      </c>
      <c r="K209" s="2" t="str">
        <f>IF(E209=0,"Sin Plan",IF(J209&gt;=1,"Completado",IF(J209&gt;0.001,"En Progreso","Pendiente de ejecutar")))</f>
        <v>Pendiente de ejecutar</v>
      </c>
    </row>
    <row r="210" spans="1:11" x14ac:dyDescent="0.35">
      <c r="A210" s="2" t="s">
        <v>66</v>
      </c>
      <c r="B210" s="2" t="s">
        <v>46</v>
      </c>
      <c r="C210" s="2" t="s">
        <v>185</v>
      </c>
      <c r="D210" s="2" t="s">
        <v>186</v>
      </c>
      <c r="E210" s="12">
        <v>108000</v>
      </c>
      <c r="F210" s="12">
        <v>0</v>
      </c>
      <c r="G210" s="12">
        <v>0</v>
      </c>
      <c r="H210" s="12">
        <f>F210+G210</f>
        <v>0</v>
      </c>
      <c r="I210" s="3">
        <f>E210-H210</f>
        <v>108000</v>
      </c>
      <c r="J210" s="4">
        <f>IFERROR(H210/E210,0)</f>
        <v>0</v>
      </c>
      <c r="K210" s="2" t="str">
        <f>IF(E210=0,"Sin Plan",IF(J210&gt;=1,"Completado",IF(J210&gt;0.001,"En Progreso","Pendiente de ejecutar")))</f>
        <v>Pendiente de ejecutar</v>
      </c>
    </row>
    <row r="211" spans="1:11" x14ac:dyDescent="0.35">
      <c r="A211" s="2" t="s">
        <v>93</v>
      </c>
      <c r="B211" s="2" t="s">
        <v>44</v>
      </c>
      <c r="C211" s="2" t="s">
        <v>208</v>
      </c>
      <c r="D211" s="2" t="s">
        <v>209</v>
      </c>
      <c r="E211" s="12">
        <v>33000</v>
      </c>
      <c r="F211" s="12">
        <v>0</v>
      </c>
      <c r="H211" s="12">
        <f>F211+G211</f>
        <v>0</v>
      </c>
      <c r="I211" s="3">
        <f>E211-H211</f>
        <v>33000</v>
      </c>
      <c r="J211" s="4">
        <f>IFERROR(H211/E211,0)</f>
        <v>0</v>
      </c>
      <c r="K211" s="2" t="str">
        <f>IF(E211=0,"Sin Plan",IF(J211&gt;=1,"Completado",IF(J211&gt;0.001,"En Progreso","Pendiente de ejecutar")))</f>
        <v>Pendiente de ejecutar</v>
      </c>
    </row>
    <row r="212" spans="1:11" x14ac:dyDescent="0.35">
      <c r="A212" s="5" t="s">
        <v>184</v>
      </c>
      <c r="B212" s="5" t="s">
        <v>74</v>
      </c>
      <c r="C212" s="5" t="s">
        <v>185</v>
      </c>
      <c r="D212" s="5" t="s">
        <v>186</v>
      </c>
      <c r="E212" s="12">
        <v>390000</v>
      </c>
      <c r="F212" s="12">
        <v>0</v>
      </c>
      <c r="G212" s="12">
        <v>0</v>
      </c>
      <c r="H212" s="12">
        <f>F212+G212</f>
        <v>0</v>
      </c>
      <c r="I212" s="6">
        <f>E212-H212</f>
        <v>390000</v>
      </c>
      <c r="J212" s="7">
        <f>IFERROR(H212/E212,0)</f>
        <v>0</v>
      </c>
      <c r="K212" s="5" t="str">
        <f>IF(E212=0,"Sin Plan",IF(J212&gt;=1,"Completado",IF(J212&gt;0.001,"En Progreso","Pendiente de ejecutar")))</f>
        <v>Pendiente de ejecutar</v>
      </c>
    </row>
    <row r="213" spans="1:11" x14ac:dyDescent="0.35">
      <c r="A213" s="2" t="s">
        <v>66</v>
      </c>
      <c r="B213" s="2" t="s">
        <v>46</v>
      </c>
      <c r="C213" s="2" t="s">
        <v>223</v>
      </c>
      <c r="D213" s="2" t="s">
        <v>224</v>
      </c>
      <c r="E213" s="12">
        <v>104400</v>
      </c>
      <c r="F213" s="12">
        <v>0</v>
      </c>
      <c r="G213" s="12">
        <v>56732.4</v>
      </c>
      <c r="H213" s="12">
        <f>F213+G213</f>
        <v>56732.4</v>
      </c>
      <c r="I213" s="3">
        <f>E213-H213</f>
        <v>47667.6</v>
      </c>
      <c r="J213" s="4">
        <f>IFERROR(H213/E213,0)</f>
        <v>0.54341379310344828</v>
      </c>
      <c r="K213" s="2" t="str">
        <f>IF(E213=0,"Sin Plan",IF(J213&gt;=1,"Completado",IF(J213&gt;0.001,"En Progreso","Pendiente de ejecutar")))</f>
        <v>En Progreso</v>
      </c>
    </row>
    <row r="214" spans="1:11" x14ac:dyDescent="0.35">
      <c r="A214" s="5" t="s">
        <v>82</v>
      </c>
      <c r="B214" s="5" t="s">
        <v>83</v>
      </c>
      <c r="C214" s="5" t="s">
        <v>142</v>
      </c>
      <c r="D214" s="5" t="s">
        <v>143</v>
      </c>
      <c r="E214" s="12">
        <v>375000</v>
      </c>
      <c r="F214" s="12">
        <v>0</v>
      </c>
      <c r="G214" s="12">
        <v>0</v>
      </c>
      <c r="H214" s="12">
        <f>F214+G214</f>
        <v>0</v>
      </c>
      <c r="I214" s="6">
        <f>E214-H214</f>
        <v>375000</v>
      </c>
      <c r="J214" s="7">
        <f>IFERROR(H214/E214,0)</f>
        <v>0</v>
      </c>
      <c r="K214" s="5" t="str">
        <f>IF(E214=0,"Sin Plan",IF(J214&gt;=1,"Completado",IF(J214&gt;0.001,"En Progreso","Pendiente de ejecutar")))</f>
        <v>Pendiente de ejecutar</v>
      </c>
    </row>
    <row r="215" spans="1:11" x14ac:dyDescent="0.35">
      <c r="A215" s="2" t="s">
        <v>187</v>
      </c>
      <c r="B215" s="2" t="s">
        <v>83</v>
      </c>
      <c r="C215" s="2" t="s">
        <v>142</v>
      </c>
      <c r="D215" s="2" t="s">
        <v>143</v>
      </c>
      <c r="E215" s="12">
        <v>375000</v>
      </c>
      <c r="F215" s="12">
        <v>0</v>
      </c>
      <c r="G215" s="12">
        <v>0</v>
      </c>
      <c r="H215" s="12">
        <f>F215+G215</f>
        <v>0</v>
      </c>
      <c r="I215" s="3">
        <f>E215-H215</f>
        <v>375000</v>
      </c>
      <c r="J215" s="4">
        <f>IFERROR(H215/E215,0)</f>
        <v>0</v>
      </c>
      <c r="K215" s="2" t="str">
        <f>IF(E215=0,"Sin Plan",IF(J215&gt;=1,"Completado",IF(J215&gt;0.001,"En Progreso","Pendiente de ejecutar")))</f>
        <v>Pendiente de ejecutar</v>
      </c>
    </row>
    <row r="216" spans="1:11" x14ac:dyDescent="0.35">
      <c r="A216" s="5" t="s">
        <v>188</v>
      </c>
      <c r="B216" s="5" t="s">
        <v>83</v>
      </c>
      <c r="C216" s="5" t="s">
        <v>142</v>
      </c>
      <c r="D216" s="5" t="s">
        <v>143</v>
      </c>
      <c r="E216" s="12">
        <v>375000</v>
      </c>
      <c r="F216" s="12">
        <v>0</v>
      </c>
      <c r="G216" s="12">
        <v>0</v>
      </c>
      <c r="H216" s="12">
        <f>F216+G216</f>
        <v>0</v>
      </c>
      <c r="I216" s="6">
        <f>E216-H216</f>
        <v>375000</v>
      </c>
      <c r="J216" s="7">
        <f>IFERROR(H216/E216,0)</f>
        <v>0</v>
      </c>
      <c r="K216" s="5" t="str">
        <f>IF(E216=0,"Sin Plan",IF(J216&gt;=1,"Completado",IF(J216&gt;0.001,"En Progreso","Pendiente de ejecutar")))</f>
        <v>Pendiente de ejecutar</v>
      </c>
    </row>
    <row r="217" spans="1:11" x14ac:dyDescent="0.35">
      <c r="A217" s="2" t="s">
        <v>66</v>
      </c>
      <c r="B217" s="2" t="s">
        <v>46</v>
      </c>
      <c r="C217" s="5"/>
      <c r="D217" s="5" t="s">
        <v>373</v>
      </c>
      <c r="F217" s="26">
        <v>81650</v>
      </c>
      <c r="I217" s="6"/>
      <c r="J217" s="7"/>
      <c r="K217" s="5"/>
    </row>
    <row r="218" spans="1:11" s="16" customFormat="1" x14ac:dyDescent="0.35">
      <c r="A218" s="13" t="s">
        <v>66</v>
      </c>
      <c r="B218" s="13" t="s">
        <v>46</v>
      </c>
      <c r="C218" s="13" t="s">
        <v>195</v>
      </c>
      <c r="D218" s="13" t="s">
        <v>196</v>
      </c>
      <c r="E218" s="12">
        <v>0</v>
      </c>
      <c r="F218" s="26">
        <v>74700</v>
      </c>
      <c r="G218" s="12"/>
      <c r="H218" s="12" t="e">
        <f>#REF!+F218</f>
        <v>#REF!</v>
      </c>
      <c r="I218" s="3" t="e">
        <f>E218-H218</f>
        <v>#REF!</v>
      </c>
      <c r="J218" s="15">
        <f>IFERROR(H218/E218,0)</f>
        <v>0</v>
      </c>
      <c r="K218" s="13" t="str">
        <f>IF(E218=0,"Sin Plan",IF(J218&gt;=1,"Completado",IF(J218&gt;0.001,"En Progreso","Pendiente de ejecutar")))</f>
        <v>Sin Plan</v>
      </c>
    </row>
    <row r="219" spans="1:11" x14ac:dyDescent="0.35">
      <c r="A219" s="5" t="s">
        <v>165</v>
      </c>
      <c r="B219" s="5" t="s">
        <v>51</v>
      </c>
      <c r="C219" s="5" t="s">
        <v>13</v>
      </c>
      <c r="D219" s="5" t="s">
        <v>14</v>
      </c>
      <c r="E219" s="12">
        <v>570000</v>
      </c>
      <c r="F219" s="12">
        <v>0</v>
      </c>
      <c r="G219" s="12">
        <v>337280.65</v>
      </c>
      <c r="H219" s="12">
        <f>F219+G219</f>
        <v>337280.65</v>
      </c>
      <c r="I219" s="6">
        <f>E219-H219</f>
        <v>232719.34999999998</v>
      </c>
      <c r="J219" s="7">
        <f>IFERROR(H219/E219,0)</f>
        <v>0.59172043859649126</v>
      </c>
      <c r="K219" s="5" t="str">
        <f>IF(E219=0,"Sin Plan",IF(J219&gt;=1,"Completado",IF(J219&gt;0.001,"En Progreso","Pendiente de ejecutar")))</f>
        <v>En Progreso</v>
      </c>
    </row>
    <row r="220" spans="1:11" x14ac:dyDescent="0.35">
      <c r="A220" s="5" t="s">
        <v>165</v>
      </c>
      <c r="B220" s="5" t="s">
        <v>51</v>
      </c>
      <c r="C220" s="5" t="s">
        <v>22</v>
      </c>
      <c r="D220" s="5" t="s">
        <v>23</v>
      </c>
      <c r="E220" s="12">
        <v>126000</v>
      </c>
      <c r="F220" s="12">
        <v>0</v>
      </c>
      <c r="G220" s="12">
        <v>246624.75</v>
      </c>
      <c r="H220" s="12">
        <f>F220+G220</f>
        <v>246624.75</v>
      </c>
      <c r="I220" s="6">
        <f>E220-H220</f>
        <v>-120624.75</v>
      </c>
      <c r="J220" s="7">
        <f>IFERROR(H220/E220,0)</f>
        <v>1.9573392857142857</v>
      </c>
      <c r="K220" s="5" t="str">
        <f>IF(E220=0,"Sin Plan",IF(J220&gt;=1,"Completado",IF(J220&gt;0.001,"En Progreso","Pendiente de ejecutar")))</f>
        <v>Completado</v>
      </c>
    </row>
    <row r="221" spans="1:11" x14ac:dyDescent="0.35">
      <c r="A221" s="2" t="s">
        <v>165</v>
      </c>
      <c r="B221" s="2" t="s">
        <v>51</v>
      </c>
      <c r="C221" s="2" t="s">
        <v>2</v>
      </c>
      <c r="D221" s="2" t="s">
        <v>299</v>
      </c>
      <c r="E221" s="12">
        <v>63000</v>
      </c>
      <c r="F221" s="12">
        <v>23075.47</v>
      </c>
      <c r="G221" s="12">
        <v>0</v>
      </c>
      <c r="H221" s="12">
        <f>F221+G221</f>
        <v>23075.47</v>
      </c>
      <c r="I221" s="3">
        <f>E221-H221</f>
        <v>39924.53</v>
      </c>
      <c r="J221" s="4">
        <f>IFERROR(H221/E221,0)</f>
        <v>0.3662773015873016</v>
      </c>
      <c r="K221" s="2" t="str">
        <f>IF(E221=0,"Sin Plan",IF(J221&gt;=1,"Completado",IF(J221&gt;0.001,"En Progreso","Pendiente de ejecutar")))</f>
        <v>En Progreso</v>
      </c>
    </row>
    <row r="222" spans="1:11" x14ac:dyDescent="0.35">
      <c r="A222" s="5" t="s">
        <v>165</v>
      </c>
      <c r="B222" s="5" t="s">
        <v>51</v>
      </c>
      <c r="C222" s="5" t="s">
        <v>185</v>
      </c>
      <c r="D222" s="5" t="s">
        <v>186</v>
      </c>
      <c r="E222" s="12">
        <v>0</v>
      </c>
      <c r="F222" s="12">
        <v>160264.1</v>
      </c>
      <c r="G222" s="12">
        <v>0</v>
      </c>
      <c r="H222" s="12">
        <f>F222+G222</f>
        <v>160264.1</v>
      </c>
      <c r="I222" s="6">
        <f>E222-H222</f>
        <v>-160264.1</v>
      </c>
      <c r="J222" s="7">
        <f>IFERROR(H222/E222,0)</f>
        <v>0</v>
      </c>
      <c r="K222" s="5" t="str">
        <f>IF(E222=0,"Sin Plan",IF(J222&gt;=1,"Completado",IF(J222&gt;0.001,"En Progreso","Pendiente de ejecutar")))</f>
        <v>Sin Plan</v>
      </c>
    </row>
    <row r="223" spans="1:11" x14ac:dyDescent="0.35">
      <c r="A223" s="5" t="s">
        <v>87</v>
      </c>
      <c r="B223" s="5" t="s">
        <v>53</v>
      </c>
      <c r="C223" s="5" t="s">
        <v>16</v>
      </c>
      <c r="D223" s="5" t="s">
        <v>17</v>
      </c>
      <c r="E223" s="12">
        <v>3650000</v>
      </c>
      <c r="F223" s="12">
        <v>0</v>
      </c>
      <c r="G223" s="12">
        <v>0</v>
      </c>
      <c r="H223" s="12">
        <f>F223+G223</f>
        <v>0</v>
      </c>
      <c r="I223" s="6">
        <f>E223-H223</f>
        <v>3650000</v>
      </c>
      <c r="J223" s="7">
        <f>IFERROR(H223/E223,0)</f>
        <v>0</v>
      </c>
      <c r="K223" s="5" t="str">
        <f>IF(E223=0,"Sin Plan",IF(J223&gt;=1,"Completado",IF(J223&gt;0.001,"En Progreso","Pendiente de ejecutar")))</f>
        <v>Pendiente de ejecutar</v>
      </c>
    </row>
    <row r="224" spans="1:11" x14ac:dyDescent="0.35">
      <c r="A224" s="2" t="s">
        <v>54</v>
      </c>
      <c r="B224" s="2" t="s">
        <v>55</v>
      </c>
      <c r="C224" s="2" t="s">
        <v>208</v>
      </c>
      <c r="D224" s="2" t="s">
        <v>209</v>
      </c>
      <c r="E224" s="12">
        <v>12000</v>
      </c>
      <c r="F224" s="12">
        <v>0</v>
      </c>
      <c r="G224" s="12">
        <v>0</v>
      </c>
      <c r="H224" s="12">
        <f>F224+G224</f>
        <v>0</v>
      </c>
      <c r="I224" s="3">
        <f>E224-H224</f>
        <v>12000</v>
      </c>
      <c r="J224" s="4">
        <f>IFERROR(H224/E224,0)</f>
        <v>0</v>
      </c>
      <c r="K224" s="2" t="str">
        <f>IF(E224=0,"Sin Plan",IF(J224&gt;=1,"Completado",IF(J224&gt;0.001,"En Progreso","Pendiente de ejecutar")))</f>
        <v>Pendiente de ejecutar</v>
      </c>
    </row>
    <row r="225" spans="1:11" x14ac:dyDescent="0.35">
      <c r="A225" s="2" t="s">
        <v>54</v>
      </c>
      <c r="B225" s="2" t="s">
        <v>55</v>
      </c>
      <c r="C225" s="2"/>
      <c r="D225" s="2" t="s">
        <v>303</v>
      </c>
      <c r="F225" s="12">
        <v>60474.47</v>
      </c>
      <c r="I225" s="3">
        <f>E225-H225</f>
        <v>0</v>
      </c>
      <c r="J225" s="4"/>
      <c r="K225" s="2"/>
    </row>
    <row r="226" spans="1:11" s="16" customFormat="1" x14ac:dyDescent="0.35">
      <c r="A226" s="17" t="s">
        <v>86</v>
      </c>
      <c r="B226" s="17" t="s">
        <v>55</v>
      </c>
      <c r="C226" s="17" t="s">
        <v>26</v>
      </c>
      <c r="D226" s="17" t="s">
        <v>27</v>
      </c>
      <c r="E226" s="12">
        <v>4356000</v>
      </c>
      <c r="F226" s="12">
        <v>2861682.71</v>
      </c>
      <c r="G226" s="12">
        <v>0</v>
      </c>
      <c r="H226" s="12">
        <f>F226+G226</f>
        <v>2861682.71</v>
      </c>
      <c r="I226" s="3">
        <f>E226-H226</f>
        <v>1494317.29</v>
      </c>
      <c r="J226" s="19">
        <f>IFERROR(H226/E226,0)</f>
        <v>0.65695195362718084</v>
      </c>
      <c r="K226" s="17" t="str">
        <f>IF(E226=0,"Sin Plan",IF(J226&gt;=1,"Completado",IF(J226&gt;0.001,"En Progreso","Pendiente de ejecutar")))</f>
        <v>En Progreso</v>
      </c>
    </row>
    <row r="227" spans="1:11" x14ac:dyDescent="0.35">
      <c r="A227" s="5" t="s">
        <v>86</v>
      </c>
      <c r="B227" s="5" t="s">
        <v>55</v>
      </c>
      <c r="C227" s="5" t="s">
        <v>3</v>
      </c>
      <c r="D227" s="5" t="s">
        <v>4</v>
      </c>
      <c r="E227" s="12">
        <v>1527720</v>
      </c>
      <c r="F227" s="12">
        <v>959867.4</v>
      </c>
      <c r="G227" s="12">
        <v>686340.98</v>
      </c>
      <c r="H227" s="12">
        <f>F227+G227</f>
        <v>1646208.38</v>
      </c>
      <c r="I227" s="3">
        <f>E227-H227</f>
        <v>-118488.37999999989</v>
      </c>
      <c r="J227" s="7">
        <f>IFERROR(H227/E227,0)</f>
        <v>1.0775589636844447</v>
      </c>
      <c r="K227" s="5" t="str">
        <f>IF(E227=0,"Sin Plan",IF(J227&gt;=1,"Completado",IF(J227&gt;0.001,"En Progreso","Pendiente de ejecutar")))</f>
        <v>Completado</v>
      </c>
    </row>
    <row r="228" spans="1:11" x14ac:dyDescent="0.35">
      <c r="A228" s="5" t="s">
        <v>141</v>
      </c>
      <c r="B228" s="5" t="s">
        <v>83</v>
      </c>
      <c r="C228" s="5" t="s">
        <v>2</v>
      </c>
      <c r="D228" s="2" t="s">
        <v>299</v>
      </c>
      <c r="E228" s="12">
        <v>350000</v>
      </c>
      <c r="F228" s="12">
        <v>0</v>
      </c>
      <c r="G228" s="12">
        <v>0</v>
      </c>
      <c r="H228" s="12">
        <f>F228+G228</f>
        <v>0</v>
      </c>
      <c r="I228" s="6">
        <f>E228-H228</f>
        <v>350000</v>
      </c>
      <c r="J228" s="7">
        <f>IFERROR(H228/E228,0)</f>
        <v>0</v>
      </c>
      <c r="K228" s="5" t="str">
        <f>IF(E228=0,"Sin Plan",IF(J228&gt;=1,"Completado",IF(J228&gt;0.001,"En Progreso","Pendiente de ejecutar")))</f>
        <v>Pendiente de ejecutar</v>
      </c>
    </row>
    <row r="229" spans="1:11" x14ac:dyDescent="0.35">
      <c r="A229" s="2" t="s">
        <v>197</v>
      </c>
      <c r="B229" s="2" t="s">
        <v>83</v>
      </c>
      <c r="C229" s="2" t="s">
        <v>2</v>
      </c>
      <c r="D229" s="2" t="s">
        <v>299</v>
      </c>
      <c r="E229" s="12">
        <v>350000</v>
      </c>
      <c r="F229" s="12">
        <v>0</v>
      </c>
      <c r="G229" s="12">
        <v>0</v>
      </c>
      <c r="H229" s="12">
        <f>F229+G229</f>
        <v>0</v>
      </c>
      <c r="I229" s="3">
        <f>E229-H229</f>
        <v>350000</v>
      </c>
      <c r="J229" s="4">
        <f>IFERROR(H229/E229,0)</f>
        <v>0</v>
      </c>
      <c r="K229" s="2" t="str">
        <f>IF(E229=0,"Sin Plan",IF(J229&gt;=1,"Completado",IF(J229&gt;0.001,"En Progreso","Pendiente de ejecutar")))</f>
        <v>Pendiente de ejecutar</v>
      </c>
    </row>
    <row r="230" spans="1:11" x14ac:dyDescent="0.35">
      <c r="A230" s="5" t="s">
        <v>87</v>
      </c>
      <c r="B230" s="5" t="s">
        <v>53</v>
      </c>
      <c r="C230" s="5" t="s">
        <v>118</v>
      </c>
      <c r="D230" s="5" t="s">
        <v>119</v>
      </c>
      <c r="E230" s="12">
        <v>1685000</v>
      </c>
      <c r="F230" s="12">
        <v>45000</v>
      </c>
      <c r="G230" s="12">
        <v>0</v>
      </c>
      <c r="H230" s="12">
        <f>F230+G230</f>
        <v>45000</v>
      </c>
      <c r="I230" s="6">
        <f>E230-H230</f>
        <v>1640000</v>
      </c>
      <c r="J230" s="7">
        <f>IFERROR(H230/E230,0)</f>
        <v>2.6706231454005934E-2</v>
      </c>
      <c r="K230" s="5" t="str">
        <f>IF(E230=0,"Sin Plan",IF(J230&gt;=1,"Completado",IF(J230&gt;0.001,"En Progreso","Pendiente de ejecutar")))</f>
        <v>En Progreso</v>
      </c>
    </row>
    <row r="231" spans="1:11" x14ac:dyDescent="0.35">
      <c r="A231" s="24" t="s">
        <v>173</v>
      </c>
      <c r="B231" s="5" t="s">
        <v>46</v>
      </c>
      <c r="C231" s="5" t="s">
        <v>120</v>
      </c>
      <c r="D231" s="5" t="s">
        <v>121</v>
      </c>
      <c r="E231" s="12">
        <v>488500</v>
      </c>
      <c r="F231" s="26">
        <v>321400</v>
      </c>
      <c r="H231" s="12" t="e">
        <f>#REF!+F231</f>
        <v>#REF!</v>
      </c>
      <c r="I231" s="3" t="e">
        <f>E231-H231</f>
        <v>#REF!</v>
      </c>
      <c r="J231" s="7">
        <f>IFERROR(H231/E231,0)</f>
        <v>0</v>
      </c>
      <c r="K231" s="5" t="str">
        <f>IF(E231=0,"Sin Plan",IF(J231&gt;=1,"Completado",IF(J231&gt;0.001,"En Progreso","Pendiente de ejecutar")))</f>
        <v>Pendiente de ejecutar</v>
      </c>
    </row>
    <row r="232" spans="1:11" x14ac:dyDescent="0.35">
      <c r="A232" s="24" t="s">
        <v>173</v>
      </c>
      <c r="B232" s="5" t="s">
        <v>46</v>
      </c>
      <c r="C232" s="5" t="s">
        <v>2</v>
      </c>
      <c r="D232" s="2" t="s">
        <v>299</v>
      </c>
      <c r="E232" s="12">
        <v>420000</v>
      </c>
      <c r="F232" s="26">
        <f>625355.59+17067.28</f>
        <v>642422.87</v>
      </c>
      <c r="G232" s="12">
        <v>0</v>
      </c>
      <c r="H232" s="12">
        <f>F232+G232</f>
        <v>642422.87</v>
      </c>
      <c r="I232" s="3">
        <f>E232-H232</f>
        <v>-222422.87</v>
      </c>
      <c r="J232" s="7">
        <f>IFERROR(H232/E232,0)</f>
        <v>1.529578261904762</v>
      </c>
      <c r="K232" s="5" t="str">
        <f>IF(E232=0,"Sin Plan",IF(J232&gt;=1,"Completado",IF(J232&gt;0.001,"En Progreso","Pendiente de ejecutar")))</f>
        <v>Completado</v>
      </c>
    </row>
    <row r="233" spans="1:11" x14ac:dyDescent="0.35">
      <c r="A233" s="5" t="s">
        <v>87</v>
      </c>
      <c r="B233" s="5" t="s">
        <v>53</v>
      </c>
      <c r="C233" s="5" t="s">
        <v>24</v>
      </c>
      <c r="D233" s="5" t="s">
        <v>25</v>
      </c>
      <c r="E233" s="12">
        <v>450000</v>
      </c>
      <c r="F233" s="12">
        <v>0</v>
      </c>
      <c r="G233" s="12">
        <v>0</v>
      </c>
      <c r="H233" s="12">
        <f>F233+G233</f>
        <v>0</v>
      </c>
      <c r="I233" s="6">
        <f>E233-H233</f>
        <v>450000</v>
      </c>
      <c r="J233" s="7">
        <f>IFERROR(H233/E233,0)</f>
        <v>0</v>
      </c>
      <c r="K233" s="5" t="str">
        <f>IF(E233=0,"Sin Plan",IF(J233&gt;=1,"Completado",IF(J233&gt;0.001,"En Progreso","Pendiente de ejecutar")))</f>
        <v>Pendiente de ejecutar</v>
      </c>
    </row>
    <row r="234" spans="1:11" x14ac:dyDescent="0.35">
      <c r="A234" s="5" t="s">
        <v>86</v>
      </c>
      <c r="B234" s="5" t="s">
        <v>55</v>
      </c>
      <c r="C234" s="5" t="s">
        <v>13</v>
      </c>
      <c r="D234" s="5" t="s">
        <v>14</v>
      </c>
      <c r="E234" s="12">
        <v>685000</v>
      </c>
      <c r="F234" s="12">
        <v>0</v>
      </c>
      <c r="G234" s="12">
        <v>698498.5</v>
      </c>
      <c r="H234" s="12">
        <f>F234+G234</f>
        <v>698498.5</v>
      </c>
      <c r="I234" s="3">
        <f>E234-H234</f>
        <v>-13498.5</v>
      </c>
      <c r="J234" s="7">
        <f>IFERROR(H234/E234,0)</f>
        <v>1.0197058394160583</v>
      </c>
      <c r="K234" s="5" t="str">
        <f>IF(E234=0,"Sin Plan",IF(J234&gt;=1,"Completado",IF(J234&gt;0.001,"En Progreso","Pendiente de ejecutar")))</f>
        <v>Completado</v>
      </c>
    </row>
    <row r="235" spans="1:11" x14ac:dyDescent="0.35">
      <c r="A235" s="25" t="s">
        <v>173</v>
      </c>
      <c r="B235" s="2" t="s">
        <v>46</v>
      </c>
      <c r="C235" s="2" t="s">
        <v>158</v>
      </c>
      <c r="D235" s="2" t="s">
        <v>159</v>
      </c>
      <c r="E235" s="12">
        <v>390000</v>
      </c>
      <c r="F235" s="12">
        <f>98659.84*3</f>
        <v>295979.52000000002</v>
      </c>
      <c r="G235" s="12">
        <v>0</v>
      </c>
      <c r="H235" s="12">
        <f>F235+G235</f>
        <v>295979.52000000002</v>
      </c>
      <c r="I235" s="3">
        <f>E235-H235</f>
        <v>94020.479999999981</v>
      </c>
      <c r="J235" s="4">
        <f>IFERROR(H235/E235,0)</f>
        <v>0.75892184615384617</v>
      </c>
      <c r="K235" s="2" t="str">
        <f>IF(E235=0,"Sin Plan",IF(J235&gt;=1,"Completado",IF(J235&gt;0.001,"En Progreso","Pendiente de ejecutar")))</f>
        <v>En Progreso</v>
      </c>
    </row>
    <row r="236" spans="1:11" x14ac:dyDescent="0.35">
      <c r="A236" s="2" t="s">
        <v>93</v>
      </c>
      <c r="B236" s="2" t="s">
        <v>44</v>
      </c>
      <c r="C236" s="2" t="s">
        <v>205</v>
      </c>
      <c r="D236" s="2" t="s">
        <v>206</v>
      </c>
      <c r="E236" s="12">
        <v>26000</v>
      </c>
      <c r="F236" s="12">
        <v>25662.27</v>
      </c>
      <c r="G236" s="12">
        <v>0</v>
      </c>
      <c r="H236" s="12">
        <f>F236+G236</f>
        <v>25662.27</v>
      </c>
      <c r="I236" s="3">
        <f>E236-H236</f>
        <v>337.72999999999956</v>
      </c>
      <c r="J236" s="4">
        <f>IFERROR(H236/E236,0)</f>
        <v>0.9870103846153846</v>
      </c>
      <c r="K236" s="2" t="str">
        <f>IF(E236=0,"Sin Plan",IF(J236&gt;=1,"Completado",IF(J236&gt;0.001,"En Progreso","Pendiente de ejecutar")))</f>
        <v>En Progreso</v>
      </c>
    </row>
    <row r="237" spans="1:11" x14ac:dyDescent="0.35">
      <c r="A237" s="5" t="s">
        <v>86</v>
      </c>
      <c r="B237" s="5" t="s">
        <v>55</v>
      </c>
      <c r="C237" s="5" t="s">
        <v>138</v>
      </c>
      <c r="D237" s="5" t="s">
        <v>139</v>
      </c>
      <c r="E237" s="12">
        <v>450000</v>
      </c>
      <c r="F237" s="12">
        <v>0</v>
      </c>
      <c r="G237" s="12">
        <v>0</v>
      </c>
      <c r="H237" s="12">
        <f>F237+G237</f>
        <v>0</v>
      </c>
      <c r="I237" s="3">
        <f>E237-H237</f>
        <v>450000</v>
      </c>
      <c r="J237" s="7">
        <f>IFERROR(H237/E237,0)</f>
        <v>0</v>
      </c>
      <c r="K237" s="5" t="str">
        <f>IF(E237=0,"Sin Plan",IF(J237&gt;=1,"Completado",IF(J237&gt;0.001,"En Progreso","Pendiente de ejecutar")))</f>
        <v>Pendiente de ejecutar</v>
      </c>
    </row>
    <row r="238" spans="1:11" x14ac:dyDescent="0.35">
      <c r="A238" s="24" t="s">
        <v>173</v>
      </c>
      <c r="B238" s="5" t="s">
        <v>46</v>
      </c>
      <c r="C238" s="5" t="s">
        <v>200</v>
      </c>
      <c r="D238" s="5" t="s">
        <v>201</v>
      </c>
      <c r="E238" s="12">
        <v>310000</v>
      </c>
      <c r="F238" s="12">
        <v>0</v>
      </c>
      <c r="G238" s="12">
        <v>0</v>
      </c>
      <c r="H238" s="12">
        <f>F238+G238</f>
        <v>0</v>
      </c>
      <c r="I238" s="3">
        <f>E238-H238</f>
        <v>310000</v>
      </c>
      <c r="J238" s="7">
        <f>IFERROR(H238/E238,0)</f>
        <v>0</v>
      </c>
      <c r="K238" s="5" t="str">
        <f>IF(E238=0,"Sin Plan",IF(J238&gt;=1,"Completado",IF(J238&gt;0.001,"En Progreso","Pendiente de ejecutar")))</f>
        <v>Pendiente de ejecutar</v>
      </c>
    </row>
    <row r="239" spans="1:11" x14ac:dyDescent="0.35">
      <c r="A239" s="2" t="s">
        <v>93</v>
      </c>
      <c r="B239" s="2" t="s">
        <v>44</v>
      </c>
      <c r="C239" s="2" t="s">
        <v>240</v>
      </c>
      <c r="D239" s="2" t="s">
        <v>241</v>
      </c>
      <c r="E239" s="12">
        <v>0</v>
      </c>
      <c r="F239" s="12">
        <v>292429.48</v>
      </c>
      <c r="G239" s="12">
        <v>0</v>
      </c>
      <c r="H239" s="12">
        <f>F239+G239</f>
        <v>292429.48</v>
      </c>
      <c r="I239" s="3">
        <f>E239-H239</f>
        <v>-292429.48</v>
      </c>
      <c r="J239" s="4">
        <f>IFERROR(H239/E239,0)</f>
        <v>0</v>
      </c>
      <c r="K239" s="2" t="str">
        <f>IF(E239=0,"Sin Plan",IF(J239&gt;=1,"Completado",IF(J239&gt;0.001,"En Progreso","Pendiente de ejecutar")))</f>
        <v>Sin Plan</v>
      </c>
    </row>
    <row r="240" spans="1:11" x14ac:dyDescent="0.35">
      <c r="A240" s="5" t="s">
        <v>188</v>
      </c>
      <c r="B240" s="5" t="s">
        <v>83</v>
      </c>
      <c r="C240" s="5" t="s">
        <v>109</v>
      </c>
      <c r="D240" s="5" t="s">
        <v>110</v>
      </c>
      <c r="E240" s="12">
        <v>310000</v>
      </c>
      <c r="F240" s="12">
        <v>0</v>
      </c>
      <c r="G240" s="12">
        <v>0</v>
      </c>
      <c r="H240" s="12">
        <f>F240+G240</f>
        <v>0</v>
      </c>
      <c r="I240" s="6">
        <f>E240-H240</f>
        <v>310000</v>
      </c>
      <c r="J240" s="7">
        <f>IFERROR(H240/E240,0)</f>
        <v>0</v>
      </c>
      <c r="K240" s="5" t="str">
        <f>IF(E240=0,"Sin Plan",IF(J240&gt;=1,"Completado",IF(J240&gt;0.001,"En Progreso","Pendiente de ejecutar")))</f>
        <v>Pendiente de ejecutar</v>
      </c>
    </row>
    <row r="241" spans="1:11" x14ac:dyDescent="0.35">
      <c r="A241" s="5" t="s">
        <v>87</v>
      </c>
      <c r="B241" s="5" t="s">
        <v>53</v>
      </c>
      <c r="C241" s="5" t="s">
        <v>198</v>
      </c>
      <c r="D241" s="5" t="s">
        <v>199</v>
      </c>
      <c r="E241" s="12">
        <v>350000</v>
      </c>
      <c r="F241" s="12">
        <v>163900</v>
      </c>
      <c r="G241" s="12">
        <v>0</v>
      </c>
      <c r="H241" s="12">
        <f>F241+G241</f>
        <v>163900</v>
      </c>
      <c r="I241" s="6">
        <f>E241-H241</f>
        <v>186100</v>
      </c>
      <c r="J241" s="7">
        <f>IFERROR(H241/E241,0)</f>
        <v>0.46828571428571431</v>
      </c>
      <c r="K241" s="5" t="str">
        <f>IF(E241=0,"Sin Plan",IF(J241&gt;=1,"Completado",IF(J241&gt;0.001,"En Progreso","Pendiente de ejecutar")))</f>
        <v>En Progreso</v>
      </c>
    </row>
    <row r="242" spans="1:11" x14ac:dyDescent="0.35">
      <c r="A242" s="5" t="s">
        <v>87</v>
      </c>
      <c r="B242" s="5" t="s">
        <v>53</v>
      </c>
      <c r="C242" s="5" t="s">
        <v>162</v>
      </c>
      <c r="D242" s="5" t="s">
        <v>163</v>
      </c>
      <c r="E242" s="12">
        <v>173500</v>
      </c>
      <c r="F242" s="12">
        <v>0</v>
      </c>
      <c r="G242" s="12">
        <v>0</v>
      </c>
      <c r="H242" s="12">
        <f>F242+G242</f>
        <v>0</v>
      </c>
      <c r="I242" s="6">
        <f>E242-H242</f>
        <v>173500</v>
      </c>
      <c r="J242" s="7">
        <f>IFERROR(H242/E242,0)</f>
        <v>0</v>
      </c>
      <c r="K242" s="5" t="str">
        <f>IF(E242=0,"Sin Plan",IF(J242&gt;=1,"Completado",IF(J242&gt;0.001,"En Progreso","Pendiente de ejecutar")))</f>
        <v>Pendiente de ejecutar</v>
      </c>
    </row>
    <row r="243" spans="1:11" x14ac:dyDescent="0.35">
      <c r="A243" s="2" t="s">
        <v>67</v>
      </c>
      <c r="B243" s="2" t="s">
        <v>68</v>
      </c>
      <c r="C243" s="2" t="s">
        <v>198</v>
      </c>
      <c r="D243" s="2" t="s">
        <v>199</v>
      </c>
      <c r="E243" s="12">
        <v>300000</v>
      </c>
      <c r="F243" s="12">
        <v>0</v>
      </c>
      <c r="G243" s="12">
        <v>0</v>
      </c>
      <c r="H243" s="12">
        <f>F243+G243</f>
        <v>0</v>
      </c>
      <c r="I243" s="3">
        <f>E243-H243</f>
        <v>300000</v>
      </c>
      <c r="J243" s="4">
        <f>IFERROR(H243/E243,0)</f>
        <v>0</v>
      </c>
      <c r="K243" s="2" t="str">
        <f>IF(E243=0,"Sin Plan",IF(J243&gt;=1,"Completado",IF(J243&gt;0.001,"En Progreso","Pendiente de ejecutar")))</f>
        <v>Pendiente de ejecutar</v>
      </c>
    </row>
    <row r="244" spans="1:11" x14ac:dyDescent="0.35">
      <c r="A244" s="2" t="s">
        <v>147</v>
      </c>
      <c r="B244" s="2" t="s">
        <v>65</v>
      </c>
      <c r="C244" s="2" t="s">
        <v>18</v>
      </c>
      <c r="D244" s="2" t="s">
        <v>19</v>
      </c>
      <c r="E244" s="12">
        <v>685000</v>
      </c>
      <c r="F244" s="12">
        <v>0</v>
      </c>
      <c r="G244" s="12">
        <v>716100</v>
      </c>
      <c r="H244" s="12">
        <f>F244+G244</f>
        <v>716100</v>
      </c>
      <c r="I244" s="3">
        <f>E244-H244</f>
        <v>-31100</v>
      </c>
      <c r="J244" s="4">
        <f>IFERROR(H244/E244,0)</f>
        <v>1.0454014598540147</v>
      </c>
      <c r="K244" s="2" t="str">
        <f>IF(E244=0,"Sin Plan",IF(J244&gt;=1,"Completado",IF(J244&gt;0.001,"En Progreso","Pendiente de ejecutar")))</f>
        <v>Completado</v>
      </c>
    </row>
    <row r="245" spans="1:11" x14ac:dyDescent="0.35">
      <c r="A245" s="24" t="s">
        <v>173</v>
      </c>
      <c r="B245" s="5" t="s">
        <v>46</v>
      </c>
      <c r="C245" s="5" t="s">
        <v>162</v>
      </c>
      <c r="D245" s="5" t="s">
        <v>163</v>
      </c>
      <c r="E245" s="12">
        <v>160000</v>
      </c>
      <c r="F245" s="12">
        <v>0</v>
      </c>
      <c r="G245" s="12">
        <v>161434.6</v>
      </c>
      <c r="H245" s="12">
        <f>F245+G245</f>
        <v>161434.6</v>
      </c>
      <c r="I245" s="3">
        <f>E245-H245</f>
        <v>-1434.6000000000058</v>
      </c>
      <c r="J245" s="7">
        <f>IFERROR(H245/E245,0)</f>
        <v>1.0089662500000001</v>
      </c>
      <c r="K245" s="5" t="str">
        <f>IF(E245=0,"Sin Plan",IF(J245&gt;=1,"Completado",IF(J245&gt;0.001,"En Progreso","Pendiente de ejecutar")))</f>
        <v>Completado</v>
      </c>
    </row>
    <row r="246" spans="1:11" x14ac:dyDescent="0.35">
      <c r="A246" s="25" t="s">
        <v>173</v>
      </c>
      <c r="B246" s="2" t="s">
        <v>46</v>
      </c>
      <c r="C246" s="2" t="s">
        <v>256</v>
      </c>
      <c r="D246" s="2" t="s">
        <v>257</v>
      </c>
      <c r="E246" s="12">
        <v>0</v>
      </c>
      <c r="F246" s="26">
        <v>133571.41</v>
      </c>
      <c r="G246" s="12">
        <v>0</v>
      </c>
      <c r="H246" s="12">
        <f>F246+G246</f>
        <v>133571.41</v>
      </c>
      <c r="I246" s="3">
        <f>E246-H246</f>
        <v>-133571.41</v>
      </c>
      <c r="J246" s="4">
        <f>IFERROR(H246/E246,0)</f>
        <v>0</v>
      </c>
      <c r="K246" s="2" t="str">
        <f>IF(E246=0,"Sin Plan",IF(J246&gt;=1,"Completado",IF(J246&gt;0.001,"En Progreso","Pendiente de ejecutar")))</f>
        <v>Sin Plan</v>
      </c>
    </row>
    <row r="247" spans="1:11" x14ac:dyDescent="0.35">
      <c r="A247" s="2" t="s">
        <v>86</v>
      </c>
      <c r="B247" s="2" t="s">
        <v>55</v>
      </c>
      <c r="C247" s="2" t="s">
        <v>116</v>
      </c>
      <c r="D247" s="2" t="s">
        <v>117</v>
      </c>
      <c r="E247" s="12">
        <v>255000</v>
      </c>
      <c r="F247" s="12">
        <v>0</v>
      </c>
      <c r="G247" s="12">
        <v>0</v>
      </c>
      <c r="H247" s="12">
        <f>F247+G247</f>
        <v>0</v>
      </c>
      <c r="I247" s="3">
        <f>E247-H247</f>
        <v>255000</v>
      </c>
      <c r="J247" s="4">
        <f>IFERROR(H247/E247,0)</f>
        <v>0</v>
      </c>
      <c r="K247" s="2" t="str">
        <f>IF(E247=0,"Sin Plan",IF(J247&gt;=1,"Completado",IF(J247&gt;0.001,"En Progreso","Pendiente de ejecutar")))</f>
        <v>Pendiente de ejecutar</v>
      </c>
    </row>
    <row r="248" spans="1:11" x14ac:dyDescent="0.35">
      <c r="A248" s="5" t="s">
        <v>41</v>
      </c>
      <c r="B248" s="5" t="s">
        <v>42</v>
      </c>
      <c r="C248" s="5" t="s">
        <v>162</v>
      </c>
      <c r="D248" s="5" t="s">
        <v>163</v>
      </c>
      <c r="E248" s="12">
        <v>256500</v>
      </c>
      <c r="F248" s="12">
        <v>255337.83</v>
      </c>
      <c r="G248" s="12">
        <v>0</v>
      </c>
      <c r="H248" s="12">
        <f>F248+G248</f>
        <v>255337.83</v>
      </c>
      <c r="I248" s="6">
        <f>E248-H248</f>
        <v>1162.1700000000128</v>
      </c>
      <c r="J248" s="7">
        <f>IFERROR(H248/E248,0)</f>
        <v>0.99546912280701749</v>
      </c>
      <c r="K248" s="5" t="str">
        <f>IF(E248=0,"Sin Plan",IF(J248&gt;=1,"Completado",IF(J248&gt;0.001,"En Progreso","Pendiente de ejecutar")))</f>
        <v>En Progreso</v>
      </c>
    </row>
    <row r="249" spans="1:11" x14ac:dyDescent="0.35">
      <c r="A249" s="5" t="s">
        <v>86</v>
      </c>
      <c r="B249" s="5" t="s">
        <v>55</v>
      </c>
      <c r="C249" s="5" t="s">
        <v>7</v>
      </c>
      <c r="D249" s="5" t="s">
        <v>8</v>
      </c>
      <c r="E249" s="12">
        <v>128000</v>
      </c>
      <c r="F249" s="12">
        <v>0</v>
      </c>
      <c r="G249" s="12">
        <v>0</v>
      </c>
      <c r="H249" s="12">
        <f>F249+G249</f>
        <v>0</v>
      </c>
      <c r="I249" s="3">
        <f>E249-H249</f>
        <v>128000</v>
      </c>
      <c r="J249" s="7">
        <f>IFERROR(H249/E249,0)</f>
        <v>0</v>
      </c>
      <c r="K249" s="5" t="str">
        <f>IF(E249=0,"Sin Plan",IF(J249&gt;=1,"Completado",IF(J249&gt;0.001,"En Progreso","Pendiente de ejecutar")))</f>
        <v>Pendiente de ejecutar</v>
      </c>
    </row>
    <row r="250" spans="1:11" x14ac:dyDescent="0.35">
      <c r="A250" s="5" t="s">
        <v>184</v>
      </c>
      <c r="B250" s="5" t="s">
        <v>74</v>
      </c>
      <c r="C250" s="5" t="s">
        <v>22</v>
      </c>
      <c r="D250" s="5" t="s">
        <v>23</v>
      </c>
      <c r="E250" s="12">
        <v>252000</v>
      </c>
      <c r="F250" s="12">
        <v>0</v>
      </c>
      <c r="G250" s="12">
        <f>636439.74*2</f>
        <v>1272879.48</v>
      </c>
      <c r="H250" s="12">
        <f>F250+G250</f>
        <v>1272879.48</v>
      </c>
      <c r="I250" s="6">
        <f>E250-H250</f>
        <v>-1020879.48</v>
      </c>
      <c r="J250" s="7">
        <f>IFERROR(H250/E250,0)</f>
        <v>5.0511090476190477</v>
      </c>
      <c r="K250" s="5" t="str">
        <f>IF(E250=0,"Sin Plan",IF(J250&gt;=1,"Completado",IF(J250&gt;0.001,"En Progreso","Pendiente de ejecutar")))</f>
        <v>Completado</v>
      </c>
    </row>
    <row r="251" spans="1:11" x14ac:dyDescent="0.35">
      <c r="A251" s="5" t="s">
        <v>93</v>
      </c>
      <c r="B251" s="5" t="s">
        <v>44</v>
      </c>
      <c r="C251" s="5" t="s">
        <v>211</v>
      </c>
      <c r="D251" s="5" t="s">
        <v>212</v>
      </c>
      <c r="E251" s="12">
        <v>0</v>
      </c>
      <c r="F251" s="12">
        <v>82827.64</v>
      </c>
      <c r="G251" s="12">
        <v>0</v>
      </c>
      <c r="H251" s="12">
        <f>F251+G251</f>
        <v>82827.64</v>
      </c>
      <c r="I251" s="3">
        <f>E251-H251</f>
        <v>-82827.64</v>
      </c>
      <c r="J251" s="7">
        <f>IFERROR(H251/E251,0)</f>
        <v>0</v>
      </c>
      <c r="K251" s="5" t="str">
        <f>IF(E251=0,"Sin Plan",IF(J251&gt;=1,"Completado",IF(J251&gt;0.001,"En Progreso","Pendiente de ejecutar")))</f>
        <v>Sin Plan</v>
      </c>
    </row>
    <row r="252" spans="1:11" x14ac:dyDescent="0.35">
      <c r="A252" s="25" t="s">
        <v>173</v>
      </c>
      <c r="B252" s="2" t="s">
        <v>46</v>
      </c>
      <c r="C252" s="2" t="s">
        <v>18</v>
      </c>
      <c r="D252" s="2" t="s">
        <v>19</v>
      </c>
      <c r="E252" s="12">
        <v>0</v>
      </c>
      <c r="F252" s="12">
        <v>0</v>
      </c>
      <c r="G252" s="12">
        <v>124000</v>
      </c>
      <c r="H252" s="12">
        <f>F252+G252</f>
        <v>124000</v>
      </c>
      <c r="I252" s="3">
        <f>E252-H252</f>
        <v>-124000</v>
      </c>
      <c r="J252" s="4">
        <f>IFERROR(H252/E252,0)</f>
        <v>0</v>
      </c>
      <c r="K252" s="2" t="str">
        <f>IF(E252=0,"Sin Plan",IF(J252&gt;=1,"Completado",IF(J252&gt;0.001,"En Progreso","Pendiente de ejecutar")))</f>
        <v>Sin Plan</v>
      </c>
    </row>
    <row r="253" spans="1:11" x14ac:dyDescent="0.35">
      <c r="A253" s="2" t="s">
        <v>147</v>
      </c>
      <c r="B253" s="2" t="s">
        <v>65</v>
      </c>
      <c r="C253" s="2" t="s">
        <v>167</v>
      </c>
      <c r="D253" s="2" t="s">
        <v>168</v>
      </c>
      <c r="E253" s="12">
        <v>220000</v>
      </c>
      <c r="F253" s="12">
        <v>58580.86</v>
      </c>
      <c r="G253" s="12">
        <v>0</v>
      </c>
      <c r="H253" s="12">
        <f>F253+G253</f>
        <v>58580.86</v>
      </c>
      <c r="I253" s="3">
        <f>E253-H253</f>
        <v>161419.14000000001</v>
      </c>
      <c r="J253" s="4">
        <f>IFERROR(H253/E253,0)</f>
        <v>0.26627663636363635</v>
      </c>
      <c r="K253" s="2" t="str">
        <f>IF(E253=0,"Sin Plan",IF(J253&gt;=1,"Completado",IF(J253&gt;0.001,"En Progreso","Pendiente de ejecutar")))</f>
        <v>En Progreso</v>
      </c>
    </row>
    <row r="254" spans="1:11" x14ac:dyDescent="0.35">
      <c r="A254" s="2" t="s">
        <v>86</v>
      </c>
      <c r="B254" s="2" t="s">
        <v>55</v>
      </c>
      <c r="C254" s="2" t="s">
        <v>162</v>
      </c>
      <c r="D254" s="2" t="s">
        <v>163</v>
      </c>
      <c r="E254" s="12">
        <v>41000</v>
      </c>
      <c r="F254" s="12">
        <v>32286.92</v>
      </c>
      <c r="G254" s="12">
        <v>0</v>
      </c>
      <c r="H254" s="12">
        <f>F254+G254</f>
        <v>32286.92</v>
      </c>
      <c r="I254" s="3">
        <f>E254-H254</f>
        <v>8713.0800000000017</v>
      </c>
      <c r="J254" s="4">
        <f>IFERROR(H254/E254,0)</f>
        <v>0.78748585365853652</v>
      </c>
      <c r="K254" s="2" t="str">
        <f>IF(E254=0,"Sin Plan",IF(J254&gt;=1,"Completado",IF(J254&gt;0.001,"En Progreso","Pendiente de ejecutar")))</f>
        <v>En Progreso</v>
      </c>
    </row>
    <row r="255" spans="1:11" s="16" customFormat="1" x14ac:dyDescent="0.35">
      <c r="A255" s="17" t="s">
        <v>173</v>
      </c>
      <c r="B255" s="17" t="s">
        <v>46</v>
      </c>
      <c r="C255" s="17" t="s">
        <v>3</v>
      </c>
      <c r="D255" s="17" t="s">
        <v>4</v>
      </c>
      <c r="E255" s="12">
        <v>0</v>
      </c>
      <c r="F255" s="12">
        <v>0</v>
      </c>
      <c r="G255" s="12">
        <v>3310396.8</v>
      </c>
      <c r="H255" s="12">
        <f>F255+G255</f>
        <v>3310396.8</v>
      </c>
      <c r="I255" s="3">
        <f>E255-H255</f>
        <v>-3310396.8</v>
      </c>
      <c r="J255" s="19">
        <f>IFERROR(H255/E255,0)</f>
        <v>0</v>
      </c>
      <c r="K255" s="17" t="str">
        <f>IF(E255=0,"Sin Plan",IF(J255&gt;=1,"Completado",IF(J255&gt;0.001,"En Progreso","Pendiente de ejecutar")))</f>
        <v>Sin Plan</v>
      </c>
    </row>
    <row r="256" spans="1:11" x14ac:dyDescent="0.35">
      <c r="A256" s="2" t="s">
        <v>93</v>
      </c>
      <c r="B256" s="2" t="s">
        <v>44</v>
      </c>
      <c r="C256" s="2" t="s">
        <v>200</v>
      </c>
      <c r="D256" s="2" t="s">
        <v>201</v>
      </c>
      <c r="E256" s="12">
        <v>0</v>
      </c>
      <c r="F256" s="12">
        <v>237390.12</v>
      </c>
      <c r="G256" s="12">
        <v>0</v>
      </c>
      <c r="H256" s="12">
        <f>F256+G256</f>
        <v>237390.12</v>
      </c>
      <c r="I256" s="3">
        <f>E256-H256</f>
        <v>-237390.12</v>
      </c>
      <c r="J256" s="4">
        <f>IFERROR(H256/E256,0)</f>
        <v>0</v>
      </c>
      <c r="K256" s="2" t="str">
        <f>IF(E256=0,"Sin Plan",IF(J256&gt;=1,"Completado",IF(J256&gt;0.001,"En Progreso","Pendiente de ejecutar")))</f>
        <v>Sin Plan</v>
      </c>
    </row>
    <row r="257" spans="1:11" x14ac:dyDescent="0.35">
      <c r="A257" s="5" t="s">
        <v>93</v>
      </c>
      <c r="B257" s="5" t="s">
        <v>44</v>
      </c>
      <c r="C257" s="5" t="s">
        <v>252</v>
      </c>
      <c r="D257" s="5" t="s">
        <v>253</v>
      </c>
      <c r="E257" s="12">
        <v>0</v>
      </c>
      <c r="F257" s="12">
        <v>137581.29999999999</v>
      </c>
      <c r="H257" s="12">
        <f>F257+G257</f>
        <v>137581.29999999999</v>
      </c>
      <c r="I257" s="3">
        <f>E257-H257</f>
        <v>-137581.29999999999</v>
      </c>
      <c r="J257" s="7">
        <f>IFERROR(H257/E257,0)</f>
        <v>0</v>
      </c>
      <c r="K257" s="5" t="str">
        <f>IF(E257=0,"Sin Plan",IF(J257&gt;=1,"Completado",IF(J257&gt;0.001,"En Progreso","Pendiente de ejecutar")))</f>
        <v>Sin Plan</v>
      </c>
    </row>
    <row r="258" spans="1:11" x14ac:dyDescent="0.35">
      <c r="A258" s="5" t="s">
        <v>98</v>
      </c>
      <c r="B258" s="5" t="s">
        <v>74</v>
      </c>
      <c r="C258" s="5" t="s">
        <v>189</v>
      </c>
      <c r="D258" s="5" t="s">
        <v>190</v>
      </c>
      <c r="E258" s="12">
        <v>235000</v>
      </c>
      <c r="F258" s="12">
        <v>0</v>
      </c>
      <c r="G258" s="12">
        <v>0</v>
      </c>
      <c r="H258" s="12">
        <f>F258+G258</f>
        <v>0</v>
      </c>
      <c r="I258" s="6">
        <f>E258-H258</f>
        <v>235000</v>
      </c>
      <c r="J258" s="7">
        <f>IFERROR(H258/E258,0)</f>
        <v>0</v>
      </c>
      <c r="K258" s="5" t="str">
        <f>IF(E258=0,"Sin Plan",IF(J258&gt;=1,"Completado",IF(J258&gt;0.001,"En Progreso","Pendiente de ejecutar")))</f>
        <v>Pendiente de ejecutar</v>
      </c>
    </row>
    <row r="259" spans="1:11" x14ac:dyDescent="0.35">
      <c r="A259" s="5" t="s">
        <v>147</v>
      </c>
      <c r="B259" s="5" t="s">
        <v>65</v>
      </c>
      <c r="C259" s="5" t="s">
        <v>2</v>
      </c>
      <c r="D259" s="2" t="s">
        <v>299</v>
      </c>
      <c r="E259" s="12">
        <v>63000</v>
      </c>
      <c r="F259" s="12">
        <v>98245</v>
      </c>
      <c r="G259" s="12">
        <v>0</v>
      </c>
      <c r="H259" s="12">
        <f>F259+G259</f>
        <v>98245</v>
      </c>
      <c r="I259" s="6">
        <f>E259-H259</f>
        <v>-35245</v>
      </c>
      <c r="J259" s="7">
        <f>IFERROR(H259/E259,0)</f>
        <v>1.5594444444444444</v>
      </c>
      <c r="K259" s="5" t="str">
        <f>IF(E259=0,"Sin Plan",IF(J259&gt;=1,"Completado",IF(J259&gt;0.001,"En Progreso","Pendiente de ejecutar")))</f>
        <v>Completado</v>
      </c>
    </row>
    <row r="260" spans="1:11" x14ac:dyDescent="0.35">
      <c r="A260" s="2" t="s">
        <v>147</v>
      </c>
      <c r="B260" s="2" t="s">
        <v>65</v>
      </c>
      <c r="C260" s="2" t="s">
        <v>185</v>
      </c>
      <c r="D260" s="2" t="s">
        <v>186</v>
      </c>
      <c r="E260" s="12">
        <v>0</v>
      </c>
      <c r="F260" s="12">
        <v>164705.79999999999</v>
      </c>
      <c r="G260" s="12">
        <v>0</v>
      </c>
      <c r="H260" s="12">
        <f>F260+G260</f>
        <v>164705.79999999999</v>
      </c>
      <c r="I260" s="3">
        <f>E260-H260</f>
        <v>-164705.79999999999</v>
      </c>
      <c r="J260" s="4">
        <f>IFERROR(H260/E260,0)</f>
        <v>0</v>
      </c>
      <c r="K260" s="2" t="str">
        <f>IF(E260=0,"Sin Plan",IF(J260&gt;=1,"Completado",IF(J260&gt;0.001,"En Progreso","Pendiente de ejecutar")))</f>
        <v>Sin Plan</v>
      </c>
    </row>
    <row r="261" spans="1:11" x14ac:dyDescent="0.35">
      <c r="A261" s="5" t="s">
        <v>147</v>
      </c>
      <c r="B261" s="5" t="s">
        <v>65</v>
      </c>
      <c r="C261" s="5" t="s">
        <v>7</v>
      </c>
      <c r="D261" s="5" t="s">
        <v>8</v>
      </c>
      <c r="E261" s="12">
        <v>0</v>
      </c>
      <c r="F261" s="12">
        <v>25254.240000000002</v>
      </c>
      <c r="G261" s="12">
        <v>0</v>
      </c>
      <c r="H261" s="12">
        <f>F261+G261</f>
        <v>25254.240000000002</v>
      </c>
      <c r="I261" s="6">
        <f>E261-H261</f>
        <v>-25254.240000000002</v>
      </c>
      <c r="J261" s="7">
        <f>IFERROR(H261/E261,0)</f>
        <v>0</v>
      </c>
      <c r="K261" s="5" t="str">
        <f>IF(E261=0,"Sin Plan",IF(J261&gt;=1,"Completado",IF(J261&gt;0.001,"En Progreso","Pendiente de ejecutar")))</f>
        <v>Sin Plan</v>
      </c>
    </row>
    <row r="262" spans="1:11" x14ac:dyDescent="0.35">
      <c r="A262" s="5" t="s">
        <v>147</v>
      </c>
      <c r="B262" s="5" t="s">
        <v>65</v>
      </c>
      <c r="C262" s="5" t="s">
        <v>2</v>
      </c>
      <c r="D262" s="2" t="s">
        <v>299</v>
      </c>
      <c r="F262" s="12">
        <v>23075.48</v>
      </c>
    </row>
    <row r="263" spans="1:11" x14ac:dyDescent="0.35">
      <c r="A263" s="2" t="s">
        <v>115</v>
      </c>
      <c r="B263" s="2" t="s">
        <v>65</v>
      </c>
      <c r="C263" s="2" t="s">
        <v>3</v>
      </c>
      <c r="D263" s="2" t="s">
        <v>4</v>
      </c>
      <c r="E263" s="12">
        <v>1872500</v>
      </c>
      <c r="F263" s="12">
        <v>0</v>
      </c>
      <c r="G263" s="26">
        <v>2093961.33</v>
      </c>
      <c r="H263" s="12">
        <f>F263+G263</f>
        <v>2093961.33</v>
      </c>
      <c r="I263" s="3">
        <f>E263-H263</f>
        <v>-221461.33000000007</v>
      </c>
      <c r="J263" s="4">
        <f>IFERROR(H263/E263,0)</f>
        <v>1.1182704032042725</v>
      </c>
      <c r="K263" s="2" t="str">
        <f>IF(E263=0,"Sin Plan",IF(J263&gt;=1,"Completado",IF(J263&gt;0.001,"En Progreso","Pendiente de ejecutar")))</f>
        <v>Completado</v>
      </c>
    </row>
    <row r="264" spans="1:11" x14ac:dyDescent="0.35">
      <c r="A264" s="2" t="s">
        <v>89</v>
      </c>
      <c r="B264" s="2" t="s">
        <v>46</v>
      </c>
      <c r="C264" s="2" t="s">
        <v>3</v>
      </c>
      <c r="D264" s="2" t="s">
        <v>4</v>
      </c>
      <c r="E264" s="12">
        <v>4000000</v>
      </c>
      <c r="F264" s="12">
        <v>0</v>
      </c>
      <c r="G264" s="12">
        <v>0</v>
      </c>
      <c r="H264" s="12">
        <f>F264+G264</f>
        <v>0</v>
      </c>
      <c r="I264" s="3">
        <f>E264-H264</f>
        <v>4000000</v>
      </c>
      <c r="J264" s="4">
        <f>IFERROR(H264/E264,0)</f>
        <v>0</v>
      </c>
      <c r="K264" s="2" t="str">
        <f>IF(E264=0,"Sin Plan",IF(J264&gt;=1,"Completado",IF(J264&gt;0.001,"En Progreso","Pendiente de ejecutar")))</f>
        <v>Pendiente de ejecutar</v>
      </c>
    </row>
    <row r="265" spans="1:11" x14ac:dyDescent="0.35">
      <c r="A265" s="5" t="s">
        <v>115</v>
      </c>
      <c r="B265" s="5" t="s">
        <v>65</v>
      </c>
      <c r="C265" s="5" t="s">
        <v>2</v>
      </c>
      <c r="D265" s="2" t="s">
        <v>299</v>
      </c>
      <c r="E265" s="12">
        <v>1400000</v>
      </c>
      <c r="F265" s="12">
        <v>410160</v>
      </c>
      <c r="G265" s="12">
        <v>326559.32</v>
      </c>
      <c r="H265" s="12">
        <f>F265+G265</f>
        <v>736719.32000000007</v>
      </c>
      <c r="I265" s="6">
        <f>E265-H265</f>
        <v>663280.67999999993</v>
      </c>
      <c r="J265" s="7">
        <f>IFERROR(H265/E265,0)</f>
        <v>0.52622808571428581</v>
      </c>
      <c r="K265" s="5" t="str">
        <f>IF(E265=0,"Sin Plan",IF(J265&gt;=1,"Completado",IF(J265&gt;0.001,"En Progreso","Pendiente de ejecutar")))</f>
        <v>En Progreso</v>
      </c>
    </row>
    <row r="266" spans="1:11" x14ac:dyDescent="0.35">
      <c r="A266" s="5" t="s">
        <v>115</v>
      </c>
      <c r="B266" s="5" t="s">
        <v>65</v>
      </c>
      <c r="C266" s="5" t="s">
        <v>18</v>
      </c>
      <c r="D266" s="5" t="s">
        <v>19</v>
      </c>
      <c r="E266" s="12">
        <v>685000</v>
      </c>
      <c r="F266" s="12">
        <v>0</v>
      </c>
      <c r="G266" s="12">
        <v>754100</v>
      </c>
      <c r="H266" s="12">
        <f>F266+G266</f>
        <v>754100</v>
      </c>
      <c r="I266" s="6">
        <f>E266-H266</f>
        <v>-69100</v>
      </c>
      <c r="J266" s="7">
        <f>IFERROR(H266/E266,0)</f>
        <v>1.100875912408759</v>
      </c>
      <c r="K266" s="5" t="str">
        <f>IF(E266=0,"Sin Plan",IF(J266&gt;=1,"Completado",IF(J266&gt;0.001,"En Progreso","Pendiente de ejecutar")))</f>
        <v>Completado</v>
      </c>
    </row>
    <row r="267" spans="1:11" x14ac:dyDescent="0.35">
      <c r="A267" s="5" t="s">
        <v>115</v>
      </c>
      <c r="B267" s="5" t="s">
        <v>65</v>
      </c>
      <c r="C267" s="5" t="s">
        <v>9</v>
      </c>
      <c r="D267" s="5" t="s">
        <v>10</v>
      </c>
      <c r="E267" s="12">
        <v>462000</v>
      </c>
      <c r="F267" s="12">
        <v>12655.08</v>
      </c>
      <c r="G267" s="12">
        <v>0</v>
      </c>
      <c r="H267" s="12">
        <f>F267+G267</f>
        <v>12655.08</v>
      </c>
      <c r="I267" s="6">
        <f>E267-H267</f>
        <v>449344.92</v>
      </c>
      <c r="J267" s="7">
        <f>IFERROR(H267/E267,0)</f>
        <v>2.7391948051948053E-2</v>
      </c>
      <c r="K267" s="5" t="str">
        <f>IF(E267=0,"Sin Plan",IF(J267&gt;=1,"Completado",IF(J267&gt;0.001,"En Progreso","Pendiente de ejecutar")))</f>
        <v>En Progreso</v>
      </c>
    </row>
    <row r="268" spans="1:11" x14ac:dyDescent="0.35">
      <c r="A268" s="2" t="s">
        <v>86</v>
      </c>
      <c r="B268" s="2" t="s">
        <v>55</v>
      </c>
      <c r="C268" s="2" t="s">
        <v>2</v>
      </c>
      <c r="D268" s="2" t="s">
        <v>299</v>
      </c>
      <c r="E268" s="12">
        <v>0</v>
      </c>
      <c r="F268" s="12">
        <f>72500+3162744.59</f>
        <v>3235244.59</v>
      </c>
      <c r="G268" s="12">
        <v>0</v>
      </c>
      <c r="H268" s="12">
        <f>F268+G268</f>
        <v>3235244.59</v>
      </c>
      <c r="I268" s="3">
        <f>E268-H268</f>
        <v>-3235244.59</v>
      </c>
      <c r="J268" s="4">
        <f>IFERROR(H268/E268,0)</f>
        <v>0</v>
      </c>
      <c r="K268" s="2" t="str">
        <f>IF(E268=0,"Sin Plan",IF(J268&gt;=1,"Completado",IF(J268&gt;0.001,"En Progreso","Pendiente de ejecutar")))</f>
        <v>Sin Plan</v>
      </c>
    </row>
    <row r="269" spans="1:11" s="16" customFormat="1" x14ac:dyDescent="0.35">
      <c r="A269" s="13" t="s">
        <v>91</v>
      </c>
      <c r="B269" s="13" t="s">
        <v>44</v>
      </c>
      <c r="C269" s="13" t="s">
        <v>13</v>
      </c>
      <c r="D269" s="13" t="s">
        <v>14</v>
      </c>
      <c r="E269" s="12">
        <v>3940500</v>
      </c>
      <c r="F269" s="12">
        <v>50601.04</v>
      </c>
      <c r="G269" s="12">
        <v>2986691.51</v>
      </c>
      <c r="H269" s="12">
        <f>F269+G269</f>
        <v>3037292.55</v>
      </c>
      <c r="I269" s="3">
        <f>E269-H269</f>
        <v>903207.45000000019</v>
      </c>
      <c r="J269" s="15">
        <f>IFERROR(H269/E269,0)</f>
        <v>0.77078861819566036</v>
      </c>
      <c r="K269" s="13" t="str">
        <f>IF(E269=0,"Sin Plan",IF(J269&gt;=1,"Completado",IF(J269&gt;0.001,"En Progreso","Pendiente de ejecutar")))</f>
        <v>En Progreso</v>
      </c>
    </row>
    <row r="270" spans="1:11" x14ac:dyDescent="0.35">
      <c r="A270" s="5" t="s">
        <v>89</v>
      </c>
      <c r="B270" s="5" t="s">
        <v>46</v>
      </c>
      <c r="C270" s="5" t="s">
        <v>13</v>
      </c>
      <c r="D270" s="5" t="s">
        <v>14</v>
      </c>
      <c r="E270" s="12">
        <v>1050000</v>
      </c>
      <c r="F270" s="26">
        <v>94876.94</v>
      </c>
      <c r="G270" s="12">
        <v>0</v>
      </c>
      <c r="H270" s="12">
        <f>F270+G270</f>
        <v>94876.94</v>
      </c>
      <c r="I270" s="3">
        <f>E270-H270</f>
        <v>955123.06</v>
      </c>
      <c r="J270" s="7">
        <f>IFERROR(H270/E270,0)</f>
        <v>9.0358990476190476E-2</v>
      </c>
      <c r="K270" s="5" t="str">
        <f>IF(E270=0,"Sin Plan",IF(J270&gt;=1,"Completado",IF(J270&gt;0.001,"En Progreso","Pendiente de ejecutar")))</f>
        <v>En Progreso</v>
      </c>
    </row>
    <row r="271" spans="1:11" x14ac:dyDescent="0.35">
      <c r="A271" s="5" t="s">
        <v>91</v>
      </c>
      <c r="B271" s="5" t="s">
        <v>44</v>
      </c>
      <c r="C271" s="5" t="s">
        <v>3</v>
      </c>
      <c r="D271" s="5" t="s">
        <v>4</v>
      </c>
      <c r="E271" s="12">
        <v>1600000</v>
      </c>
      <c r="F271" s="12">
        <v>0</v>
      </c>
      <c r="G271" s="12">
        <v>757776.6</v>
      </c>
      <c r="H271" s="12">
        <f>F271+G271</f>
        <v>757776.6</v>
      </c>
      <c r="I271" s="3">
        <f>E271-H271</f>
        <v>842223.4</v>
      </c>
      <c r="J271" s="7">
        <f>IFERROR(H271/E271,0)</f>
        <v>0.47361037499999997</v>
      </c>
      <c r="K271" s="5" t="str">
        <f>IF(E271=0,"Sin Plan",IF(J271&gt;=1,"Completado",IF(J271&gt;0.001,"En Progreso","Pendiente de ejecutar")))</f>
        <v>En Progreso</v>
      </c>
    </row>
    <row r="272" spans="1:11" x14ac:dyDescent="0.35">
      <c r="A272" s="5" t="s">
        <v>89</v>
      </c>
      <c r="B272" s="5" t="s">
        <v>46</v>
      </c>
      <c r="C272" s="5" t="s">
        <v>24</v>
      </c>
      <c r="D272" s="5" t="s">
        <v>25</v>
      </c>
      <c r="E272" s="12">
        <v>450000</v>
      </c>
      <c r="F272" s="12">
        <v>0</v>
      </c>
      <c r="G272" s="12">
        <v>0</v>
      </c>
      <c r="H272" s="12">
        <f>F272+G272</f>
        <v>0</v>
      </c>
      <c r="I272" s="3">
        <f>E272-H272</f>
        <v>450000</v>
      </c>
      <c r="J272" s="7">
        <f>IFERROR(H272/E272,0)</f>
        <v>0</v>
      </c>
      <c r="K272" s="5" t="str">
        <f>IF(E272=0,"Sin Plan",IF(J272&gt;=1,"Completado",IF(J272&gt;0.001,"En Progreso","Pendiente de ejecutar")))</f>
        <v>Pendiente de ejecutar</v>
      </c>
    </row>
    <row r="273" spans="1:11" x14ac:dyDescent="0.35">
      <c r="A273" s="2" t="s">
        <v>91</v>
      </c>
      <c r="B273" s="2" t="s">
        <v>44</v>
      </c>
      <c r="C273" s="2" t="s">
        <v>16</v>
      </c>
      <c r="D273" s="2" t="s">
        <v>17</v>
      </c>
      <c r="E273" s="12">
        <v>1100000</v>
      </c>
      <c r="F273" s="12">
        <v>0</v>
      </c>
      <c r="G273" s="12">
        <v>0</v>
      </c>
      <c r="H273" s="12">
        <f>F273+G273</f>
        <v>0</v>
      </c>
      <c r="I273" s="3">
        <f>E273-H273</f>
        <v>1100000</v>
      </c>
      <c r="J273" s="4">
        <f>IFERROR(H273/E273,0)</f>
        <v>0</v>
      </c>
      <c r="K273" s="2" t="str">
        <f>IF(E273=0,"Sin Plan",IF(J273&gt;=1,"Completado",IF(J273&gt;0.001,"En Progreso","Pendiente de ejecutar")))</f>
        <v>Pendiente de ejecutar</v>
      </c>
    </row>
    <row r="274" spans="1:11" x14ac:dyDescent="0.35">
      <c r="A274" s="2" t="s">
        <v>87</v>
      </c>
      <c r="B274" s="2" t="s">
        <v>53</v>
      </c>
      <c r="C274" s="2" t="s">
        <v>185</v>
      </c>
      <c r="D274" s="2" t="s">
        <v>186</v>
      </c>
      <c r="E274" s="12">
        <v>144000</v>
      </c>
      <c r="F274" s="12">
        <v>0</v>
      </c>
      <c r="G274" s="12">
        <v>0</v>
      </c>
      <c r="H274" s="12">
        <f>F274+G274</f>
        <v>0</v>
      </c>
      <c r="I274" s="3">
        <f>E274-H274</f>
        <v>144000</v>
      </c>
      <c r="J274" s="4">
        <f>IFERROR(H274/E274,0)</f>
        <v>0</v>
      </c>
      <c r="K274" s="2" t="str">
        <f>IF(E274=0,"Sin Plan",IF(J274&gt;=1,"Completado",IF(J274&gt;0.001,"En Progreso","Pendiente de ejecutar")))</f>
        <v>Pendiente de ejecutar</v>
      </c>
    </row>
    <row r="275" spans="1:11" x14ac:dyDescent="0.35">
      <c r="A275" s="2" t="s">
        <v>108</v>
      </c>
      <c r="B275" s="2" t="s">
        <v>83</v>
      </c>
      <c r="C275" s="2" t="s">
        <v>208</v>
      </c>
      <c r="D275" s="2" t="s">
        <v>209</v>
      </c>
      <c r="E275" s="12">
        <v>198000</v>
      </c>
      <c r="F275" s="12">
        <v>0</v>
      </c>
      <c r="G275" s="12">
        <v>0</v>
      </c>
      <c r="H275" s="12">
        <f>F275+G275</f>
        <v>0</v>
      </c>
      <c r="I275" s="3">
        <f>E275-H275</f>
        <v>198000</v>
      </c>
      <c r="J275" s="4">
        <f>IFERROR(H275/E275,0)</f>
        <v>0</v>
      </c>
      <c r="K275" s="2" t="str">
        <f>IF(E275=0,"Sin Plan",IF(J275&gt;=1,"Completado",IF(J275&gt;0.001,"En Progreso","Pendiente de ejecutar")))</f>
        <v>Pendiente de ejecutar</v>
      </c>
    </row>
    <row r="276" spans="1:11" x14ac:dyDescent="0.35">
      <c r="A276" s="2" t="s">
        <v>115</v>
      </c>
      <c r="B276" s="2" t="s">
        <v>65</v>
      </c>
      <c r="C276" s="2" t="s">
        <v>226</v>
      </c>
      <c r="D276" s="2" t="s">
        <v>227</v>
      </c>
      <c r="E276" s="12">
        <v>39000</v>
      </c>
      <c r="F276" s="26">
        <v>29850</v>
      </c>
      <c r="G276" s="12">
        <v>0</v>
      </c>
      <c r="H276" s="12">
        <f>F276+G276</f>
        <v>29850</v>
      </c>
      <c r="I276" s="3">
        <f>E276-H276</f>
        <v>9150</v>
      </c>
      <c r="J276" s="4">
        <f>IFERROR(H276/E276,0)</f>
        <v>0.76538461538461533</v>
      </c>
      <c r="K276" s="2" t="str">
        <f>IF(E276=0,"Sin Plan",IF(J276&gt;=1,"Completado",IF(J276&gt;0.001,"En Progreso","Pendiente de ejecutar")))</f>
        <v>En Progreso</v>
      </c>
    </row>
    <row r="277" spans="1:11" x14ac:dyDescent="0.35">
      <c r="A277" s="5" t="s">
        <v>115</v>
      </c>
      <c r="B277" s="5" t="s">
        <v>65</v>
      </c>
      <c r="C277" s="5" t="s">
        <v>120</v>
      </c>
      <c r="D277" s="5" t="s">
        <v>121</v>
      </c>
      <c r="E277" s="12">
        <v>0</v>
      </c>
      <c r="F277" s="12">
        <v>0</v>
      </c>
      <c r="H277" s="12">
        <f>F277+G277</f>
        <v>0</v>
      </c>
      <c r="I277" s="6">
        <f>E277-H277</f>
        <v>0</v>
      </c>
      <c r="J277" s="7">
        <f>IFERROR(H277/E277,0)</f>
        <v>0</v>
      </c>
      <c r="K277" s="5" t="str">
        <f>IF(E277=0,"Sin Plan",IF(J277&gt;=1,"Completado",IF(J277&gt;0.001,"En Progreso","Pendiente de ejecutar")))</f>
        <v>Sin Plan</v>
      </c>
    </row>
    <row r="278" spans="1:11" x14ac:dyDescent="0.35">
      <c r="A278" s="5" t="s">
        <v>215</v>
      </c>
      <c r="B278" s="5" t="s">
        <v>60</v>
      </c>
      <c r="C278" s="5" t="s">
        <v>3</v>
      </c>
      <c r="D278" s="5" t="s">
        <v>4</v>
      </c>
      <c r="E278" s="12">
        <v>147392</v>
      </c>
      <c r="F278" s="12">
        <v>0</v>
      </c>
      <c r="G278" s="12">
        <v>0</v>
      </c>
      <c r="H278" s="12">
        <f>F278+G278</f>
        <v>0</v>
      </c>
      <c r="I278" s="6">
        <f>E278-H278</f>
        <v>147392</v>
      </c>
      <c r="J278" s="7">
        <f>IFERROR(H278/E278,0)</f>
        <v>0</v>
      </c>
      <c r="K278" s="5" t="str">
        <f>IF(E278=0,"Sin Plan",IF(J278&gt;=1,"Completado",IF(J278&gt;0.001,"En Progreso","Pendiente de ejecutar")))</f>
        <v>Pendiente de ejecutar</v>
      </c>
    </row>
    <row r="279" spans="1:11" x14ac:dyDescent="0.35">
      <c r="A279" s="2" t="s">
        <v>215</v>
      </c>
      <c r="B279" s="2" t="s">
        <v>60</v>
      </c>
      <c r="C279" s="2" t="s">
        <v>22</v>
      </c>
      <c r="D279" s="2" t="s">
        <v>23</v>
      </c>
      <c r="E279" s="12">
        <v>132300</v>
      </c>
      <c r="F279" s="12">
        <v>0</v>
      </c>
      <c r="G279" s="12">
        <v>137843.10999999999</v>
      </c>
      <c r="H279" s="12">
        <f>F279+G279</f>
        <v>137843.10999999999</v>
      </c>
      <c r="I279" s="3">
        <f>E279-H279</f>
        <v>-5543.109999999986</v>
      </c>
      <c r="J279" s="4">
        <f>IFERROR(H279/E279,0)</f>
        <v>1.0418980347694633</v>
      </c>
      <c r="K279" s="2" t="str">
        <f>IF(E279=0,"Sin Plan",IF(J279&gt;=1,"Completado",IF(J279&gt;0.001,"En Progreso","Pendiente de ejecutar")))</f>
        <v>Completado</v>
      </c>
    </row>
    <row r="280" spans="1:11" x14ac:dyDescent="0.35">
      <c r="A280" s="5" t="s">
        <v>215</v>
      </c>
      <c r="B280" s="5" t="s">
        <v>60</v>
      </c>
      <c r="C280" s="5" t="s">
        <v>26</v>
      </c>
      <c r="D280" s="5" t="s">
        <v>27</v>
      </c>
      <c r="E280" s="12">
        <v>112000</v>
      </c>
      <c r="F280" s="12">
        <v>59096.85</v>
      </c>
      <c r="G280" s="12">
        <v>0</v>
      </c>
      <c r="H280" s="12">
        <f>F280+G280</f>
        <v>59096.85</v>
      </c>
      <c r="I280" s="6">
        <f>E280-H280</f>
        <v>52903.15</v>
      </c>
      <c r="J280" s="7">
        <f>IFERROR(H280/E280,0)</f>
        <v>0.5276504464285714</v>
      </c>
      <c r="K280" s="5" t="str">
        <f>IF(E280=0,"Sin Plan",IF(J280&gt;=1,"Completado",IF(J280&gt;0.001,"En Progreso","Pendiente de ejecutar")))</f>
        <v>En Progreso</v>
      </c>
    </row>
    <row r="281" spans="1:11" x14ac:dyDescent="0.35">
      <c r="A281" s="2" t="s">
        <v>89</v>
      </c>
      <c r="B281" s="2" t="s">
        <v>46</v>
      </c>
      <c r="C281" s="2" t="s">
        <v>120</v>
      </c>
      <c r="D281" s="2" t="s">
        <v>121</v>
      </c>
      <c r="E281" s="12">
        <v>318200</v>
      </c>
      <c r="F281" s="26">
        <v>135000</v>
      </c>
      <c r="G281" s="12">
        <v>0</v>
      </c>
      <c r="H281" s="12">
        <f>F281+G281</f>
        <v>135000</v>
      </c>
      <c r="I281" s="3">
        <f>E281-H281</f>
        <v>183200</v>
      </c>
      <c r="J281" s="4">
        <f>IFERROR(H281/E281,0)</f>
        <v>0.42426147077309867</v>
      </c>
      <c r="K281" s="2" t="str">
        <f>IF(E281=0,"Sin Plan",IF(J281&gt;=1,"Completado",IF(J281&gt;0.001,"En Progreso","Pendiente de ejecutar")))</f>
        <v>En Progreso</v>
      </c>
    </row>
    <row r="282" spans="1:11" x14ac:dyDescent="0.35">
      <c r="A282" s="2" t="s">
        <v>89</v>
      </c>
      <c r="B282" s="2" t="s">
        <v>46</v>
      </c>
      <c r="C282" s="2" t="s">
        <v>189</v>
      </c>
      <c r="D282" s="2" t="s">
        <v>190</v>
      </c>
      <c r="E282" s="12">
        <v>278000</v>
      </c>
      <c r="F282" s="26">
        <v>155000</v>
      </c>
      <c r="G282" s="12">
        <v>0</v>
      </c>
      <c r="H282" s="12">
        <f>F282+G282</f>
        <v>155000</v>
      </c>
      <c r="I282" s="3">
        <f>E282-H282</f>
        <v>123000</v>
      </c>
      <c r="J282" s="4">
        <f>IFERROR(H282/E282,0)</f>
        <v>0.55755395683453235</v>
      </c>
      <c r="K282" s="2" t="str">
        <f>IF(E282=0,"Sin Plan",IF(J282&gt;=1,"Completado",IF(J282&gt;0.001,"En Progreso","Pendiente de ejecutar")))</f>
        <v>En Progreso</v>
      </c>
    </row>
    <row r="283" spans="1:11" x14ac:dyDescent="0.35">
      <c r="A283" s="5" t="s">
        <v>89</v>
      </c>
      <c r="B283" s="5" t="s">
        <v>46</v>
      </c>
      <c r="C283" s="5" t="s">
        <v>5</v>
      </c>
      <c r="D283" s="5" t="s">
        <v>6</v>
      </c>
      <c r="E283" s="12">
        <v>261750</v>
      </c>
      <c r="G283" s="12">
        <v>0</v>
      </c>
      <c r="H283" s="12">
        <f>F283+G283</f>
        <v>0</v>
      </c>
      <c r="I283" s="3">
        <f>E283-H283</f>
        <v>261750</v>
      </c>
      <c r="J283" s="7">
        <f>IFERROR(H283/E283,0)</f>
        <v>0</v>
      </c>
      <c r="K283" s="5" t="str">
        <f>IF(E283=0,"Sin Plan",IF(J283&gt;=1,"Completado",IF(J283&gt;0.001,"En Progreso","Pendiente de ejecutar")))</f>
        <v>Pendiente de ejecutar</v>
      </c>
    </row>
    <row r="284" spans="1:11" x14ac:dyDescent="0.35">
      <c r="A284" s="5" t="s">
        <v>91</v>
      </c>
      <c r="B284" s="5" t="s">
        <v>44</v>
      </c>
      <c r="C284" s="5" t="s">
        <v>26</v>
      </c>
      <c r="D284" s="5" t="s">
        <v>27</v>
      </c>
      <c r="E284" s="12">
        <v>588000</v>
      </c>
      <c r="F284" s="12">
        <v>0</v>
      </c>
      <c r="G284" s="12">
        <v>0</v>
      </c>
      <c r="H284" s="12">
        <f>F284+G284</f>
        <v>0</v>
      </c>
      <c r="I284" s="3">
        <f>E284-H284</f>
        <v>588000</v>
      </c>
      <c r="J284" s="7">
        <f>IFERROR(H284/E284,0)</f>
        <v>0</v>
      </c>
      <c r="K284" s="5" t="str">
        <f>IF(E284=0,"Sin Plan",IF(J284&gt;=1,"Completado",IF(J284&gt;0.001,"En Progreso","Pendiente de ejecutar")))</f>
        <v>Pendiente de ejecutar</v>
      </c>
    </row>
    <row r="285" spans="1:11" x14ac:dyDescent="0.35">
      <c r="A285" s="5" t="s">
        <v>91</v>
      </c>
      <c r="B285" s="5" t="s">
        <v>44</v>
      </c>
      <c r="C285" s="5" t="s">
        <v>178</v>
      </c>
      <c r="D285" s="5" t="s">
        <v>179</v>
      </c>
      <c r="E285" s="12">
        <v>180000</v>
      </c>
      <c r="F285" s="12">
        <v>157344</v>
      </c>
      <c r="G285" s="12">
        <v>0</v>
      </c>
      <c r="H285" s="12">
        <f>F285+G285</f>
        <v>157344</v>
      </c>
      <c r="I285" s="3">
        <f>E285-H285</f>
        <v>22656</v>
      </c>
      <c r="J285" s="7">
        <f>IFERROR(H285/E285,0)</f>
        <v>0.87413333333333332</v>
      </c>
      <c r="K285" s="5" t="str">
        <f>IF(E285=0,"Sin Plan",IF(J285&gt;=1,"Completado",IF(J285&gt;0.001,"En Progreso","Pendiente de ejecutar")))</f>
        <v>En Progreso</v>
      </c>
    </row>
    <row r="286" spans="1:11" x14ac:dyDescent="0.35">
      <c r="A286" s="2" t="s">
        <v>91</v>
      </c>
      <c r="B286" s="2" t="s">
        <v>44</v>
      </c>
      <c r="C286" s="2" t="s">
        <v>198</v>
      </c>
      <c r="D286" s="2" t="s">
        <v>199</v>
      </c>
      <c r="E286" s="12">
        <v>126000</v>
      </c>
      <c r="F286" s="12">
        <v>0</v>
      </c>
      <c r="G286" s="12">
        <v>0</v>
      </c>
      <c r="H286" s="12">
        <f>F286+G286</f>
        <v>0</v>
      </c>
      <c r="I286" s="3">
        <f>E286-H286</f>
        <v>126000</v>
      </c>
      <c r="J286" s="4">
        <f>IFERROR(H286/E286,0)</f>
        <v>0</v>
      </c>
      <c r="K286" s="2" t="str">
        <f>IF(E286=0,"Sin Plan",IF(J286&gt;=1,"Completado",IF(J286&gt;0.001,"En Progreso","Pendiente de ejecutar")))</f>
        <v>Pendiente de ejecutar</v>
      </c>
    </row>
    <row r="287" spans="1:11" x14ac:dyDescent="0.35">
      <c r="A287" s="5" t="s">
        <v>87</v>
      </c>
      <c r="B287" s="5" t="s">
        <v>53</v>
      </c>
      <c r="C287" s="5" t="s">
        <v>22</v>
      </c>
      <c r="D287" s="5" t="s">
        <v>23</v>
      </c>
      <c r="E287" s="12">
        <v>120000</v>
      </c>
      <c r="F287" s="12">
        <v>0</v>
      </c>
      <c r="G287" s="12">
        <v>246624.75</v>
      </c>
      <c r="H287" s="12">
        <f>F287+G287</f>
        <v>246624.75</v>
      </c>
      <c r="I287" s="6">
        <f>E287-H287</f>
        <v>-126624.75</v>
      </c>
      <c r="J287" s="7">
        <f>IFERROR(H287/E287,0)</f>
        <v>2.0552062499999999</v>
      </c>
      <c r="K287" s="5" t="str">
        <f>IF(E287=0,"Sin Plan",IF(J287&gt;=1,"Completado",IF(J287&gt;0.001,"En Progreso","Pendiente de ejecutar")))</f>
        <v>Completado</v>
      </c>
    </row>
    <row r="288" spans="1:11" x14ac:dyDescent="0.35">
      <c r="A288" s="2" t="s">
        <v>169</v>
      </c>
      <c r="B288" s="2" t="s">
        <v>51</v>
      </c>
      <c r="C288" s="2" t="s">
        <v>3</v>
      </c>
      <c r="D288" s="2" t="s">
        <v>4</v>
      </c>
      <c r="E288" s="12">
        <v>530000</v>
      </c>
      <c r="F288" s="12">
        <v>380758.84</v>
      </c>
      <c r="H288" s="12" t="e">
        <f>#REF!+F288</f>
        <v>#REF!</v>
      </c>
      <c r="I288" s="3" t="e">
        <f>E288-H288</f>
        <v>#REF!</v>
      </c>
      <c r="J288" s="4">
        <f>IFERROR(H288/E288,0)</f>
        <v>0</v>
      </c>
      <c r="K288" s="2" t="str">
        <f>IF(E288=0,"Sin Plan",IF(J288&gt;=1,"Completado",IF(J288&gt;0.001,"En Progreso","Pendiente de ejecutar")))</f>
        <v>Pendiente de ejecutar</v>
      </c>
    </row>
    <row r="289" spans="1:11" x14ac:dyDescent="0.35">
      <c r="A289" s="2" t="s">
        <v>86</v>
      </c>
      <c r="B289" s="2" t="s">
        <v>55</v>
      </c>
      <c r="C289" s="2" t="s">
        <v>120</v>
      </c>
      <c r="D289" s="2" t="s">
        <v>121</v>
      </c>
      <c r="E289" s="12">
        <v>0</v>
      </c>
      <c r="F289" s="12">
        <v>152140</v>
      </c>
      <c r="G289" s="12">
        <v>0</v>
      </c>
      <c r="H289" s="12">
        <f>F289+G289</f>
        <v>152140</v>
      </c>
      <c r="I289" s="3">
        <f>E289-H289</f>
        <v>-152140</v>
      </c>
      <c r="J289" s="4">
        <f>IFERROR(H289/E289,0)</f>
        <v>0</v>
      </c>
      <c r="K289" s="2" t="str">
        <f>IF(E289=0,"Sin Plan",IF(J289&gt;=1,"Completado",IF(J289&gt;0.001,"En Progreso","Pendiente de ejecutar")))</f>
        <v>Sin Plan</v>
      </c>
    </row>
    <row r="290" spans="1:11" x14ac:dyDescent="0.35">
      <c r="A290" s="2" t="s">
        <v>87</v>
      </c>
      <c r="B290" s="2" t="s">
        <v>53</v>
      </c>
      <c r="C290" s="2" t="s">
        <v>213</v>
      </c>
      <c r="D290" s="2" t="s">
        <v>214</v>
      </c>
      <c r="E290" s="12">
        <v>0</v>
      </c>
      <c r="F290" s="12">
        <v>80480.929999999993</v>
      </c>
      <c r="G290" s="12">
        <v>0</v>
      </c>
      <c r="H290" s="12">
        <f>F290+G290</f>
        <v>80480.929999999993</v>
      </c>
      <c r="I290" s="3">
        <f>E290-H290</f>
        <v>-80480.929999999993</v>
      </c>
      <c r="J290" s="4">
        <f>IFERROR(H290/E290,0)</f>
        <v>0</v>
      </c>
      <c r="K290" s="2" t="str">
        <f>IF(E290=0,"Sin Plan",IF(J290&gt;=1,"Completado",IF(J290&gt;0.001,"En Progreso","Pendiente de ejecutar")))</f>
        <v>Sin Plan</v>
      </c>
    </row>
    <row r="291" spans="1:11" x14ac:dyDescent="0.35">
      <c r="A291" s="5" t="s">
        <v>89</v>
      </c>
      <c r="B291" s="5" t="s">
        <v>46</v>
      </c>
      <c r="C291" s="5" t="s">
        <v>138</v>
      </c>
      <c r="D291" s="5" t="s">
        <v>139</v>
      </c>
      <c r="E291" s="12">
        <v>221038</v>
      </c>
      <c r="F291" s="26">
        <v>220662</v>
      </c>
      <c r="G291" s="12">
        <v>0</v>
      </c>
      <c r="H291" s="12">
        <f>F291+G291</f>
        <v>220662</v>
      </c>
      <c r="I291" s="3">
        <f>E291-H291</f>
        <v>376</v>
      </c>
      <c r="J291" s="7">
        <f>IFERROR(H291/E291,0)</f>
        <v>0.99829893502474687</v>
      </c>
      <c r="K291" s="5" t="str">
        <f>IF(E291=0,"Sin Plan",IF(J291&gt;=1,"Completado",IF(J291&gt;0.001,"En Progreso","Pendiente de ejecutar")))</f>
        <v>En Progreso</v>
      </c>
    </row>
    <row r="292" spans="1:11" x14ac:dyDescent="0.35">
      <c r="A292" s="5" t="s">
        <v>87</v>
      </c>
      <c r="B292" s="5" t="s">
        <v>53</v>
      </c>
      <c r="C292" s="5" t="s">
        <v>268</v>
      </c>
      <c r="D292" s="5" t="s">
        <v>269</v>
      </c>
      <c r="E292" s="12">
        <v>0</v>
      </c>
      <c r="F292" s="12">
        <v>90022.79</v>
      </c>
      <c r="G292" s="12">
        <v>0</v>
      </c>
      <c r="H292" s="12">
        <f>F292+G292</f>
        <v>90022.79</v>
      </c>
      <c r="I292" s="6">
        <f>E292-H292</f>
        <v>-90022.79</v>
      </c>
      <c r="J292" s="7">
        <f>IFERROR(H292/E292,0)</f>
        <v>0</v>
      </c>
      <c r="K292" s="5" t="str">
        <f>IF(E292=0,"Sin Plan",IF(J292&gt;=1,"Completado",IF(J292&gt;0.001,"En Progreso","Pendiente de ejecutar")))</f>
        <v>Sin Plan</v>
      </c>
    </row>
    <row r="293" spans="1:11" x14ac:dyDescent="0.35">
      <c r="A293" s="5" t="s">
        <v>87</v>
      </c>
      <c r="B293" s="5" t="s">
        <v>53</v>
      </c>
      <c r="C293" s="5"/>
      <c r="D293" s="5" t="s">
        <v>299</v>
      </c>
      <c r="F293" s="12">
        <f>17067.29*2</f>
        <v>34134.58</v>
      </c>
      <c r="I293" s="6"/>
      <c r="J293" s="7"/>
      <c r="K293" s="5"/>
    </row>
    <row r="294" spans="1:11" s="16" customFormat="1" x14ac:dyDescent="0.35">
      <c r="A294" s="13" t="s">
        <v>87</v>
      </c>
      <c r="B294" s="13" t="s">
        <v>53</v>
      </c>
      <c r="C294" s="13" t="s">
        <v>7</v>
      </c>
      <c r="D294" s="13" t="s">
        <v>8</v>
      </c>
      <c r="E294" s="12">
        <v>0</v>
      </c>
      <c r="F294" s="12">
        <v>0</v>
      </c>
      <c r="G294" s="12">
        <v>114962.53</v>
      </c>
      <c r="H294" s="12">
        <f>F294+G294</f>
        <v>114962.53</v>
      </c>
      <c r="I294" s="14">
        <f>E294-H294</f>
        <v>-114962.53</v>
      </c>
      <c r="J294" s="15">
        <f>IFERROR(H294/E294,0)</f>
        <v>0</v>
      </c>
      <c r="K294" s="13" t="str">
        <f>IF(E294=0,"Sin Plan",IF(J294&gt;=1,"Completado",IF(J294&gt;0.001,"En Progreso","Pendiente de ejecutar")))</f>
        <v>Sin Plan</v>
      </c>
    </row>
    <row r="295" spans="1:11" x14ac:dyDescent="0.35">
      <c r="A295" s="5" t="s">
        <v>89</v>
      </c>
      <c r="B295" s="5" t="s">
        <v>46</v>
      </c>
      <c r="C295" s="5" t="s">
        <v>162</v>
      </c>
      <c r="D295" s="5" t="s">
        <v>163</v>
      </c>
      <c r="E295" s="12">
        <v>17500</v>
      </c>
      <c r="F295" s="12">
        <v>0</v>
      </c>
      <c r="G295" s="12">
        <v>0</v>
      </c>
      <c r="H295" s="12">
        <f>F295+G295</f>
        <v>0</v>
      </c>
      <c r="I295" s="3">
        <f>E295-H295</f>
        <v>17500</v>
      </c>
      <c r="J295" s="7">
        <f>IFERROR(H295/E295,0)</f>
        <v>0</v>
      </c>
      <c r="K295" s="5" t="str">
        <f>IF(E295=0,"Sin Plan",IF(J295&gt;=1,"Completado",IF(J295&gt;0.001,"En Progreso","Pendiente de ejecutar")))</f>
        <v>Pendiente de ejecutar</v>
      </c>
    </row>
    <row r="296" spans="1:11" x14ac:dyDescent="0.35">
      <c r="A296" s="5" t="s">
        <v>52</v>
      </c>
      <c r="B296" s="5" t="s">
        <v>53</v>
      </c>
      <c r="C296" s="5" t="s">
        <v>2</v>
      </c>
      <c r="D296" s="2" t="s">
        <v>299</v>
      </c>
      <c r="E296" s="12">
        <v>12480000</v>
      </c>
      <c r="F296" s="12">
        <v>637638</v>
      </c>
      <c r="G296" s="12">
        <v>0</v>
      </c>
      <c r="H296" s="12">
        <f>F296+G296</f>
        <v>637638</v>
      </c>
      <c r="I296" s="6">
        <f>E296-H296</f>
        <v>11842362</v>
      </c>
      <c r="J296" s="7">
        <f>IFERROR(H296/E296,0)</f>
        <v>5.109278846153846E-2</v>
      </c>
      <c r="K296" s="5" t="str">
        <f>IF(E296=0,"Sin Plan",IF(J296&gt;=1,"Completado",IF(J296&gt;0.001,"En Progreso","Pendiente de ejecutar")))</f>
        <v>En Progreso</v>
      </c>
    </row>
    <row r="297" spans="1:11" x14ac:dyDescent="0.35">
      <c r="A297" s="5" t="s">
        <v>91</v>
      </c>
      <c r="B297" s="5" t="s">
        <v>44</v>
      </c>
      <c r="C297" s="5" t="s">
        <v>219</v>
      </c>
      <c r="D297" s="5" t="s">
        <v>220</v>
      </c>
      <c r="E297" s="12">
        <v>114000</v>
      </c>
      <c r="F297" s="12">
        <v>0</v>
      </c>
      <c r="G297" s="12">
        <v>0</v>
      </c>
      <c r="H297" s="12">
        <f>F297+G297</f>
        <v>0</v>
      </c>
      <c r="I297" s="3">
        <f>E297-H297</f>
        <v>114000</v>
      </c>
      <c r="J297" s="7">
        <f>IFERROR(H297/E297,0)</f>
        <v>0</v>
      </c>
      <c r="K297" s="5" t="str">
        <f>IF(E297=0,"Sin Plan",IF(J297&gt;=1,"Completado",IF(J297&gt;0.001,"En Progreso","Pendiente de ejecutar")))</f>
        <v>Pendiente de ejecutar</v>
      </c>
    </row>
    <row r="298" spans="1:11" x14ac:dyDescent="0.35">
      <c r="A298" s="2" t="s">
        <v>169</v>
      </c>
      <c r="B298" s="2" t="s">
        <v>51</v>
      </c>
      <c r="C298" s="2" t="s">
        <v>9</v>
      </c>
      <c r="D298" s="2" t="s">
        <v>10</v>
      </c>
      <c r="E298" s="12">
        <v>462000</v>
      </c>
      <c r="F298" s="26">
        <v>275967.8</v>
      </c>
      <c r="G298" s="12">
        <v>0</v>
      </c>
      <c r="H298" s="12">
        <f>F298+G298</f>
        <v>275967.8</v>
      </c>
      <c r="I298" s="3">
        <f>E298-H298</f>
        <v>186032.2</v>
      </c>
      <c r="J298" s="4">
        <f>IFERROR(H298/E298,0)</f>
        <v>0.59733290043290044</v>
      </c>
      <c r="K298" s="2" t="str">
        <f>IF(E298=0,"Sin Plan",IF(J298&gt;=1,"Completado",IF(J298&gt;0.001,"En Progreso","Pendiente de ejecutar")))</f>
        <v>En Progreso</v>
      </c>
    </row>
    <row r="299" spans="1:11" x14ac:dyDescent="0.35">
      <c r="A299" s="2" t="s">
        <v>89</v>
      </c>
      <c r="B299" s="2" t="s">
        <v>46</v>
      </c>
      <c r="C299" s="2" t="s">
        <v>244</v>
      </c>
      <c r="D299" s="2" t="s">
        <v>245</v>
      </c>
      <c r="E299" s="12">
        <v>0</v>
      </c>
      <c r="F299" s="26">
        <v>2666816.84</v>
      </c>
      <c r="G299" s="12">
        <v>0</v>
      </c>
      <c r="H299" s="12">
        <f>F299+G299</f>
        <v>2666816.84</v>
      </c>
      <c r="I299" s="3">
        <f>E299-H299</f>
        <v>-2666816.84</v>
      </c>
      <c r="J299" s="4">
        <f>IFERROR(H299/E299,0)</f>
        <v>0</v>
      </c>
      <c r="K299" s="2" t="str">
        <f>IF(E299=0,"Sin Plan",IF(J299&gt;=1,"Completado",IF(J299&gt;0.001,"En Progreso","Pendiente de ejecutar")))</f>
        <v>Sin Plan</v>
      </c>
    </row>
    <row r="300" spans="1:11" x14ac:dyDescent="0.35">
      <c r="A300" s="2" t="s">
        <v>114</v>
      </c>
      <c r="B300" s="2" t="s">
        <v>53</v>
      </c>
      <c r="C300" s="2" t="s">
        <v>3</v>
      </c>
      <c r="D300" s="2" t="s">
        <v>4</v>
      </c>
      <c r="E300" s="12">
        <v>2000000</v>
      </c>
      <c r="F300" s="12">
        <v>0</v>
      </c>
      <c r="G300" s="12">
        <v>0</v>
      </c>
      <c r="H300" s="12">
        <f>F300+G300</f>
        <v>0</v>
      </c>
      <c r="I300" s="3">
        <f>E300-H300</f>
        <v>2000000</v>
      </c>
      <c r="J300" s="4">
        <f>IFERROR(H300/E300,0)</f>
        <v>0</v>
      </c>
      <c r="K300" s="2" t="str">
        <f>IF(E300=0,"Sin Plan",IF(J300&gt;=1,"Completado",IF(J300&gt;0.001,"En Progreso","Pendiente de ejecutar")))</f>
        <v>Pendiente de ejecutar</v>
      </c>
    </row>
    <row r="301" spans="1:11" x14ac:dyDescent="0.35">
      <c r="A301" s="5" t="s">
        <v>52</v>
      </c>
      <c r="B301" s="5" t="s">
        <v>53</v>
      </c>
      <c r="C301" s="5" t="s">
        <v>106</v>
      </c>
      <c r="D301" s="5" t="s">
        <v>107</v>
      </c>
      <c r="E301" s="12">
        <v>1100000</v>
      </c>
      <c r="F301" s="12">
        <v>73446.33</v>
      </c>
      <c r="G301" s="12">
        <v>0</v>
      </c>
      <c r="H301" s="12">
        <f>F301+G301</f>
        <v>73446.33</v>
      </c>
      <c r="I301" s="6">
        <f>E301-H301</f>
        <v>1026553.67</v>
      </c>
      <c r="J301" s="7">
        <f>IFERROR(H301/E301,0)</f>
        <v>6.6769390909090912E-2</v>
      </c>
      <c r="K301" s="5" t="str">
        <f>IF(E301=0,"Sin Plan",IF(J301&gt;=1,"Completado",IF(J301&gt;0.001,"En Progreso","Pendiente de ejecutar")))</f>
        <v>En Progreso</v>
      </c>
    </row>
    <row r="302" spans="1:11" s="16" customFormat="1" x14ac:dyDescent="0.35">
      <c r="A302" s="13" t="s">
        <v>86</v>
      </c>
      <c r="B302" s="13" t="s">
        <v>55</v>
      </c>
      <c r="C302" s="13" t="s">
        <v>287</v>
      </c>
      <c r="D302" s="13" t="s">
        <v>288</v>
      </c>
      <c r="E302" s="12">
        <v>0</v>
      </c>
      <c r="F302" s="12">
        <v>0</v>
      </c>
      <c r="G302" s="12">
        <v>520823.23</v>
      </c>
      <c r="H302" s="12">
        <f>F302+G302</f>
        <v>520823.23</v>
      </c>
      <c r="I302" s="3">
        <f>E302-H302</f>
        <v>-520823.23</v>
      </c>
      <c r="J302" s="15">
        <f>IFERROR(H302/E302,0)</f>
        <v>0</v>
      </c>
      <c r="K302" s="13" t="str">
        <f>IF(E302=0,"Sin Plan",IF(J302&gt;=1,"Completado",IF(J302&gt;0.001,"En Progreso","Pendiente de ejecutar")))</f>
        <v>Sin Plan</v>
      </c>
    </row>
    <row r="303" spans="1:11" x14ac:dyDescent="0.35">
      <c r="A303" s="5" t="s">
        <v>169</v>
      </c>
      <c r="B303" s="5" t="s">
        <v>51</v>
      </c>
      <c r="C303" s="5" t="s">
        <v>22</v>
      </c>
      <c r="D303" s="5" t="s">
        <v>23</v>
      </c>
      <c r="E303" s="12">
        <v>132300</v>
      </c>
      <c r="F303" s="12">
        <v>137843.10999999999</v>
      </c>
      <c r="G303" s="12">
        <v>0</v>
      </c>
      <c r="H303" s="12">
        <f>F303+G303</f>
        <v>137843.10999999999</v>
      </c>
      <c r="I303" s="6">
        <f>E303-H303</f>
        <v>-5543.109999999986</v>
      </c>
      <c r="J303" s="7">
        <f>IFERROR(H303/E303,0)</f>
        <v>1.0418980347694633</v>
      </c>
      <c r="K303" s="5" t="str">
        <f>IF(E303=0,"Sin Plan",IF(J303&gt;=1,"Completado",IF(J303&gt;0.001,"En Progreso","Pendiente de ejecutar")))</f>
        <v>Completado</v>
      </c>
    </row>
    <row r="304" spans="1:11" x14ac:dyDescent="0.35">
      <c r="A304" s="2" t="s">
        <v>89</v>
      </c>
      <c r="B304" s="2" t="s">
        <v>46</v>
      </c>
      <c r="C304" s="2" t="s">
        <v>16</v>
      </c>
      <c r="D304" s="2" t="s">
        <v>17</v>
      </c>
      <c r="E304" s="12">
        <v>0</v>
      </c>
      <c r="F304" s="26">
        <v>1024246.69</v>
      </c>
      <c r="G304" s="12">
        <v>0</v>
      </c>
      <c r="H304" s="12">
        <f>F304+G304</f>
        <v>1024246.69</v>
      </c>
      <c r="I304" s="3">
        <f>E304-H304</f>
        <v>-1024246.69</v>
      </c>
      <c r="J304" s="4">
        <f>IFERROR(H304/E304,0)</f>
        <v>0</v>
      </c>
      <c r="K304" s="2" t="str">
        <f>IF(E304=0,"Sin Plan",IF(J304&gt;=1,"Completado",IF(J304&gt;0.001,"En Progreso","Pendiente de ejecutar")))</f>
        <v>Sin Plan</v>
      </c>
    </row>
    <row r="305" spans="1:11" x14ac:dyDescent="0.35">
      <c r="A305" s="2" t="s">
        <v>169</v>
      </c>
      <c r="B305" s="2" t="s">
        <v>51</v>
      </c>
      <c r="C305" s="2" t="s">
        <v>26</v>
      </c>
      <c r="D305" s="2" t="s">
        <v>27</v>
      </c>
      <c r="E305" s="12">
        <v>112000</v>
      </c>
      <c r="F305" s="26">
        <v>39353.85</v>
      </c>
      <c r="G305" s="12">
        <v>0</v>
      </c>
      <c r="H305" s="12">
        <f>F305+G305</f>
        <v>39353.85</v>
      </c>
      <c r="I305" s="3">
        <f>E305-H305</f>
        <v>72646.149999999994</v>
      </c>
      <c r="J305" s="4">
        <f>IFERROR(H305/E305,0)</f>
        <v>0.35137366071428572</v>
      </c>
      <c r="K305" s="2" t="str">
        <f>IF(E305=0,"Sin Plan",IF(J305&gt;=1,"Completado",IF(J305&gt;0.001,"En Progreso","Pendiente de ejecutar")))</f>
        <v>En Progreso</v>
      </c>
    </row>
    <row r="306" spans="1:11" x14ac:dyDescent="0.35">
      <c r="A306" s="5" t="s">
        <v>52</v>
      </c>
      <c r="B306" s="5" t="s">
        <v>53</v>
      </c>
      <c r="C306" s="5" t="s">
        <v>16</v>
      </c>
      <c r="D306" s="5" t="s">
        <v>17</v>
      </c>
      <c r="E306" s="12">
        <v>480000</v>
      </c>
      <c r="F306" s="12">
        <v>0</v>
      </c>
      <c r="G306" s="12">
        <v>0</v>
      </c>
      <c r="H306" s="12">
        <f>F306+G306</f>
        <v>0</v>
      </c>
      <c r="I306" s="6">
        <f>E306-H306</f>
        <v>480000</v>
      </c>
      <c r="J306" s="7">
        <f>IFERROR(H306/E306,0)</f>
        <v>0</v>
      </c>
      <c r="K306" s="5" t="str">
        <f>IF(E306=0,"Sin Plan",IF(J306&gt;=1,"Completado",IF(J306&gt;0.001,"En Progreso","Pendiente de ejecutar")))</f>
        <v>Pendiente de ejecutar</v>
      </c>
    </row>
    <row r="307" spans="1:11" x14ac:dyDescent="0.35">
      <c r="A307" s="5" t="s">
        <v>169</v>
      </c>
      <c r="B307" s="5" t="s">
        <v>51</v>
      </c>
      <c r="C307" s="5" t="s">
        <v>167</v>
      </c>
      <c r="D307" s="5" t="s">
        <v>168</v>
      </c>
      <c r="E307" s="12">
        <v>0</v>
      </c>
      <c r="F307" s="12">
        <v>0</v>
      </c>
      <c r="G307" s="12">
        <v>24648.25</v>
      </c>
      <c r="H307" s="12">
        <f>F307+G307</f>
        <v>24648.25</v>
      </c>
      <c r="I307" s="6">
        <f>E307-H307</f>
        <v>-24648.25</v>
      </c>
      <c r="J307" s="7">
        <f>IFERROR(H307/E307,0)</f>
        <v>0</v>
      </c>
      <c r="K307" s="5" t="str">
        <f>IF(E307=0,"Sin Plan",IF(J307&gt;=1,"Completado",IF(J307&gt;0.001,"En Progreso","Pendiente de ejecutar")))</f>
        <v>Sin Plan</v>
      </c>
    </row>
    <row r="308" spans="1:11" x14ac:dyDescent="0.35">
      <c r="A308" s="5" t="s">
        <v>52</v>
      </c>
      <c r="B308" s="5" t="s">
        <v>53</v>
      </c>
      <c r="C308" s="5" t="s">
        <v>185</v>
      </c>
      <c r="D308" s="5" t="s">
        <v>186</v>
      </c>
      <c r="E308" s="12">
        <v>108000</v>
      </c>
      <c r="F308" s="12">
        <v>37145</v>
      </c>
      <c r="G308" s="12">
        <v>0</v>
      </c>
      <c r="H308" s="12">
        <f>F308+G308</f>
        <v>37145</v>
      </c>
      <c r="I308" s="6">
        <f>E308-H308</f>
        <v>70855</v>
      </c>
      <c r="J308" s="7">
        <f>IFERROR(H308/E308,0)</f>
        <v>0.34393518518518518</v>
      </c>
      <c r="K308" s="5" t="str">
        <f>IF(E308=0,"Sin Plan",IF(J308&gt;=1,"Completado",IF(J308&gt;0.001,"En Progreso","Pendiente de ejecutar")))</f>
        <v>En Progreso</v>
      </c>
    </row>
    <row r="309" spans="1:11" x14ac:dyDescent="0.35">
      <c r="A309" s="2" t="s">
        <v>96</v>
      </c>
      <c r="B309" s="2" t="s">
        <v>55</v>
      </c>
      <c r="C309" s="2" t="s">
        <v>13</v>
      </c>
      <c r="D309" s="2" t="s">
        <v>14</v>
      </c>
      <c r="E309" s="12">
        <v>3750000</v>
      </c>
      <c r="F309" s="12">
        <v>0</v>
      </c>
      <c r="G309" s="12">
        <v>3613918.33</v>
      </c>
      <c r="H309" s="12">
        <f>F309+G309</f>
        <v>3613918.33</v>
      </c>
      <c r="I309" s="3">
        <f>E309-H309</f>
        <v>136081.66999999993</v>
      </c>
      <c r="J309" s="4">
        <f>IFERROR(H309/E309,0)</f>
        <v>0.96371155466666669</v>
      </c>
      <c r="K309" s="2" t="str">
        <f>IF(E309=0,"Sin Plan",IF(J309&gt;=1,"Completado",IF(J309&gt;0.001,"En Progreso","Pendiente de ejecutar")))</f>
        <v>En Progreso</v>
      </c>
    </row>
    <row r="310" spans="1:11" x14ac:dyDescent="0.35">
      <c r="A310" s="2" t="s">
        <v>73</v>
      </c>
      <c r="B310" s="2" t="s">
        <v>74</v>
      </c>
      <c r="C310" s="2" t="s">
        <v>162</v>
      </c>
      <c r="D310" s="2" t="s">
        <v>163</v>
      </c>
      <c r="E310" s="12">
        <v>142500</v>
      </c>
      <c r="F310" s="12">
        <v>141854.35</v>
      </c>
      <c r="G310" s="12">
        <v>0</v>
      </c>
      <c r="H310" s="12">
        <f>F310+G310</f>
        <v>141854.35</v>
      </c>
      <c r="I310" s="3">
        <f>E310-H310</f>
        <v>645.64999999999418</v>
      </c>
      <c r="J310" s="4">
        <f>IFERROR(H310/E310,0)</f>
        <v>0.9954691228070176</v>
      </c>
      <c r="K310" s="2" t="str">
        <f>IF(E310=0,"Sin Plan",IF(J310&gt;=1,"Completado",IF(J310&gt;0.001,"En Progreso","Pendiente de ejecutar")))</f>
        <v>En Progreso</v>
      </c>
    </row>
    <row r="311" spans="1:11" x14ac:dyDescent="0.35">
      <c r="A311" s="5" t="s">
        <v>105</v>
      </c>
      <c r="B311" s="5" t="s">
        <v>74</v>
      </c>
      <c r="C311" s="5" t="s">
        <v>162</v>
      </c>
      <c r="D311" s="5" t="s">
        <v>163</v>
      </c>
      <c r="E311" s="12">
        <v>142500</v>
      </c>
      <c r="F311" s="12">
        <v>0</v>
      </c>
      <c r="G311" s="12">
        <v>113483.48</v>
      </c>
      <c r="H311" s="12">
        <f>F311+G311</f>
        <v>113483.48</v>
      </c>
      <c r="I311" s="6">
        <f>E311-H311</f>
        <v>29016.520000000004</v>
      </c>
      <c r="J311" s="7">
        <f>IFERROR(H311/E311,0)</f>
        <v>0.79637529824561404</v>
      </c>
      <c r="K311" s="5" t="str">
        <f>IF(E311=0,"Sin Plan",IF(J311&gt;=1,"Completado",IF(J311&gt;0.001,"En Progreso","Pendiente de ejecutar")))</f>
        <v>En Progreso</v>
      </c>
    </row>
    <row r="312" spans="1:11" x14ac:dyDescent="0.35">
      <c r="A312" s="2" t="s">
        <v>148</v>
      </c>
      <c r="B312" s="2" t="s">
        <v>65</v>
      </c>
      <c r="C312" s="2" t="s">
        <v>18</v>
      </c>
      <c r="D312" s="2" t="s">
        <v>19</v>
      </c>
      <c r="E312" s="12">
        <v>685000</v>
      </c>
      <c r="F312" s="12">
        <v>0</v>
      </c>
      <c r="G312" s="12">
        <v>872400</v>
      </c>
      <c r="H312" s="12">
        <f>F312+G312</f>
        <v>872400</v>
      </c>
      <c r="I312" s="3">
        <f>E312-H312</f>
        <v>-187400</v>
      </c>
      <c r="J312" s="4">
        <f>IFERROR(H312/E312,0)</f>
        <v>1.2735766423357664</v>
      </c>
      <c r="K312" s="2" t="str">
        <f>IF(E312=0,"Sin Plan",IF(J312&gt;=1,"Completado",IF(J312&gt;0.001,"En Progreso","Pendiente de ejecutar")))</f>
        <v>Completado</v>
      </c>
    </row>
    <row r="313" spans="1:11" x14ac:dyDescent="0.35">
      <c r="A313" s="5" t="s">
        <v>89</v>
      </c>
      <c r="B313" s="5" t="s">
        <v>46</v>
      </c>
      <c r="C313" s="5" t="s">
        <v>200</v>
      </c>
      <c r="D313" s="5" t="s">
        <v>201</v>
      </c>
      <c r="E313" s="12">
        <v>0</v>
      </c>
      <c r="F313" s="12">
        <v>0</v>
      </c>
      <c r="G313" s="12">
        <f>697460+730935</f>
        <v>1428395</v>
      </c>
      <c r="H313" s="12">
        <f>F313+G313</f>
        <v>1428395</v>
      </c>
      <c r="I313" s="3">
        <f>E313-H313</f>
        <v>-1428395</v>
      </c>
      <c r="J313" s="7">
        <f>IFERROR(H313/E313,0)</f>
        <v>0</v>
      </c>
      <c r="K313" s="5" t="str">
        <f>IF(E313=0,"Sin Plan",IF(J313&gt;=1,"Completado",IF(J313&gt;0.001,"En Progreso","Pendiente de ejecutar")))</f>
        <v>Sin Plan</v>
      </c>
    </row>
    <row r="314" spans="1:11" x14ac:dyDescent="0.35">
      <c r="A314" s="5" t="s">
        <v>89</v>
      </c>
      <c r="B314" s="5" t="s">
        <v>46</v>
      </c>
      <c r="C314" s="5" t="s">
        <v>2</v>
      </c>
      <c r="D314" s="2" t="s">
        <v>299</v>
      </c>
      <c r="F314" s="12">
        <v>136568.04</v>
      </c>
      <c r="I314" s="3">
        <f>E314-H314</f>
        <v>0</v>
      </c>
      <c r="J314" s="7"/>
      <c r="K314" s="5"/>
    </row>
    <row r="315" spans="1:11" s="16" customFormat="1" x14ac:dyDescent="0.35">
      <c r="A315" s="13" t="s">
        <v>89</v>
      </c>
      <c r="B315" s="13" t="s">
        <v>46</v>
      </c>
      <c r="C315" s="13" t="s">
        <v>22</v>
      </c>
      <c r="D315" s="13" t="s">
        <v>23</v>
      </c>
      <c r="E315" s="12">
        <v>0</v>
      </c>
      <c r="F315" s="12">
        <v>0</v>
      </c>
      <c r="G315" s="12">
        <v>246624.75</v>
      </c>
      <c r="H315" s="12">
        <f>F315+G315</f>
        <v>246624.75</v>
      </c>
      <c r="I315" s="3">
        <f>E315-H315</f>
        <v>-246624.75</v>
      </c>
      <c r="J315" s="15">
        <f>IFERROR(H315/E315,0)</f>
        <v>0</v>
      </c>
      <c r="K315" s="13" t="str">
        <f>IF(E315=0,"Sin Plan",IF(J315&gt;=1,"Completado",IF(J315&gt;0.001,"En Progreso","Pendiente de ejecutar")))</f>
        <v>Sin Plan</v>
      </c>
    </row>
    <row r="316" spans="1:11" x14ac:dyDescent="0.35">
      <c r="A316" s="5" t="s">
        <v>133</v>
      </c>
      <c r="B316" s="5" t="s">
        <v>46</v>
      </c>
      <c r="C316" s="5" t="s">
        <v>2</v>
      </c>
      <c r="D316" s="2" t="s">
        <v>299</v>
      </c>
      <c r="E316" s="12">
        <v>1134000</v>
      </c>
      <c r="F316" s="12">
        <v>0</v>
      </c>
      <c r="G316" s="12">
        <v>0</v>
      </c>
      <c r="H316" s="12">
        <f>F316+G316</f>
        <v>0</v>
      </c>
      <c r="I316" s="3">
        <f>E316-H316</f>
        <v>1134000</v>
      </c>
      <c r="J316" s="7">
        <f>IFERROR(H316/E316,0)</f>
        <v>0</v>
      </c>
      <c r="K316" s="5" t="str">
        <f>IF(E316=0,"Sin Plan",IF(J316&gt;=1,"Completado",IF(J316&gt;0.001,"En Progreso","Pendiente de ejecutar")))</f>
        <v>Pendiente de ejecutar</v>
      </c>
    </row>
    <row r="317" spans="1:11" x14ac:dyDescent="0.35">
      <c r="A317" s="2" t="s">
        <v>148</v>
      </c>
      <c r="B317" s="2" t="s">
        <v>65</v>
      </c>
      <c r="C317" s="2" t="s">
        <v>3</v>
      </c>
      <c r="D317" s="2" t="s">
        <v>4</v>
      </c>
      <c r="E317" s="12">
        <v>450000</v>
      </c>
      <c r="F317" s="12">
        <v>369844.9</v>
      </c>
      <c r="H317" s="12" t="e">
        <f>#REF!+F317</f>
        <v>#REF!</v>
      </c>
      <c r="I317" s="3" t="e">
        <f>E317-H317</f>
        <v>#REF!</v>
      </c>
      <c r="J317" s="4">
        <f>IFERROR(H317/E317,0)</f>
        <v>0</v>
      </c>
      <c r="K317" s="2" t="str">
        <f>IF(E317=0,"Sin Plan",IF(J317&gt;=1,"Completado",IF(J317&gt;0.001,"En Progreso","Pendiente de ejecutar")))</f>
        <v>Pendiente de ejecutar</v>
      </c>
    </row>
    <row r="318" spans="1:11" x14ac:dyDescent="0.35">
      <c r="A318" s="5" t="s">
        <v>148</v>
      </c>
      <c r="B318" s="5" t="s">
        <v>65</v>
      </c>
      <c r="C318" s="5" t="s">
        <v>7</v>
      </c>
      <c r="D318" s="5" t="s">
        <v>8</v>
      </c>
      <c r="E318" s="12">
        <v>428000</v>
      </c>
      <c r="F318" s="12">
        <v>0</v>
      </c>
      <c r="G318" s="12">
        <v>116499.8</v>
      </c>
      <c r="H318" s="12">
        <f>F318+G318</f>
        <v>116499.8</v>
      </c>
      <c r="I318" s="6">
        <f>E318-H318</f>
        <v>311500.2</v>
      </c>
      <c r="J318" s="7">
        <f>IFERROR(H318/E318,0)</f>
        <v>0.27219579439252339</v>
      </c>
      <c r="K318" s="5" t="str">
        <f>IF(E318=0,"Sin Plan",IF(J318&gt;=1,"Completado",IF(J318&gt;0.001,"En Progreso","Pendiente de ejecutar")))</f>
        <v>En Progreso</v>
      </c>
    </row>
    <row r="319" spans="1:11" x14ac:dyDescent="0.35">
      <c r="A319" s="5" t="s">
        <v>148</v>
      </c>
      <c r="B319" s="5" t="s">
        <v>65</v>
      </c>
      <c r="C319" s="5" t="s">
        <v>185</v>
      </c>
      <c r="D319" s="5" t="s">
        <v>186</v>
      </c>
      <c r="E319" s="12">
        <v>0</v>
      </c>
      <c r="F319" s="12">
        <v>164705.79999999999</v>
      </c>
      <c r="G319" s="12">
        <v>0</v>
      </c>
      <c r="H319" s="12">
        <f>F319+G319</f>
        <v>164705.79999999999</v>
      </c>
      <c r="I319" s="6">
        <f>E319-H319</f>
        <v>-164705.79999999999</v>
      </c>
      <c r="J319" s="7">
        <f>IFERROR(H319/E319,0)</f>
        <v>0</v>
      </c>
      <c r="K319" s="5" t="str">
        <f>IF(E319=0,"Sin Plan",IF(J319&gt;=1,"Completado",IF(J319&gt;0.001,"En Progreso","Pendiente de ejecutar")))</f>
        <v>Sin Plan</v>
      </c>
    </row>
    <row r="320" spans="1:11" x14ac:dyDescent="0.35">
      <c r="A320" s="2" t="s">
        <v>127</v>
      </c>
      <c r="B320" s="2" t="s">
        <v>60</v>
      </c>
      <c r="C320" s="2" t="s">
        <v>3</v>
      </c>
      <c r="D320" s="2" t="s">
        <v>4</v>
      </c>
      <c r="E320" s="12">
        <v>1367212</v>
      </c>
      <c r="F320" s="12">
        <v>274353.5</v>
      </c>
      <c r="G320" s="12">
        <v>0</v>
      </c>
      <c r="H320" s="12">
        <f>F320+G320</f>
        <v>274353.5</v>
      </c>
      <c r="I320" s="3">
        <f>E320-H320</f>
        <v>1092858.5</v>
      </c>
      <c r="J320" s="4">
        <f>IFERROR(H320/E320,0)</f>
        <v>0.20066639262967265</v>
      </c>
      <c r="K320" s="2" t="str">
        <f>IF(E320=0,"Sin Plan",IF(J320&gt;=1,"Completado",IF(J320&gt;0.001,"En Progreso","Pendiente de ejecutar")))</f>
        <v>En Progreso</v>
      </c>
    </row>
    <row r="321" spans="1:11" x14ac:dyDescent="0.35">
      <c r="A321" s="5" t="s">
        <v>127</v>
      </c>
      <c r="B321" s="5" t="s">
        <v>60</v>
      </c>
      <c r="C321" s="5" t="s">
        <v>18</v>
      </c>
      <c r="D321" s="5" t="s">
        <v>19</v>
      </c>
      <c r="E321" s="12">
        <v>685000</v>
      </c>
      <c r="F321" s="12">
        <v>0</v>
      </c>
      <c r="G321" s="12">
        <v>871130</v>
      </c>
      <c r="H321" s="12">
        <f>F321+G321</f>
        <v>871130</v>
      </c>
      <c r="I321" s="6">
        <f>E321-H321</f>
        <v>-186130</v>
      </c>
      <c r="J321" s="7">
        <f>IFERROR(H321/E321,0)</f>
        <v>1.2717226277372262</v>
      </c>
      <c r="K321" s="5" t="str">
        <f>IF(E321=0,"Sin Plan",IF(J321&gt;=1,"Completado",IF(J321&gt;0.001,"En Progreso","Pendiente de ejecutar")))</f>
        <v>Completado</v>
      </c>
    </row>
    <row r="322" spans="1:11" x14ac:dyDescent="0.35">
      <c r="A322" s="5" t="s">
        <v>127</v>
      </c>
      <c r="B322" s="5" t="s">
        <v>60</v>
      </c>
      <c r="C322" s="5" t="s">
        <v>9</v>
      </c>
      <c r="D322" s="5" t="s">
        <v>10</v>
      </c>
      <c r="E322" s="12">
        <v>462000</v>
      </c>
      <c r="F322" s="12">
        <v>0</v>
      </c>
      <c r="G322" s="12">
        <v>0</v>
      </c>
      <c r="H322" s="12">
        <f>F322+G322</f>
        <v>0</v>
      </c>
      <c r="I322" s="6">
        <f>E322-H322</f>
        <v>462000</v>
      </c>
      <c r="J322" s="7">
        <f>IFERROR(H322/E322,0)</f>
        <v>0</v>
      </c>
      <c r="K322" s="5" t="str">
        <f>IF(E322=0,"Sin Plan",IF(J322&gt;=1,"Completado",IF(J322&gt;0.001,"En Progreso","Pendiente de ejecutar")))</f>
        <v>Pendiente de ejecutar</v>
      </c>
    </row>
    <row r="323" spans="1:11" x14ac:dyDescent="0.35">
      <c r="A323" s="2" t="s">
        <v>127</v>
      </c>
      <c r="B323" s="2" t="s">
        <v>60</v>
      </c>
      <c r="C323" s="2" t="s">
        <v>26</v>
      </c>
      <c r="D323" s="2" t="s">
        <v>27</v>
      </c>
      <c r="E323" s="12">
        <v>192000</v>
      </c>
      <c r="F323" s="12">
        <v>91094.75</v>
      </c>
      <c r="G323" s="12">
        <v>0</v>
      </c>
      <c r="H323" s="12">
        <f>F323+G323</f>
        <v>91094.75</v>
      </c>
      <c r="I323" s="3">
        <f>E323-H323</f>
        <v>100905.25</v>
      </c>
      <c r="J323" s="4">
        <f>IFERROR(H323/E323,0)</f>
        <v>0.47445182291666665</v>
      </c>
      <c r="K323" s="2" t="str">
        <f>IF(E323=0,"Sin Plan",IF(J323&gt;=1,"Completado",IF(J323&gt;0.001,"En Progreso","Pendiente de ejecutar")))</f>
        <v>En Progreso</v>
      </c>
    </row>
    <row r="324" spans="1:11" x14ac:dyDescent="0.35">
      <c r="A324" s="5" t="s">
        <v>127</v>
      </c>
      <c r="B324" s="5" t="s">
        <v>60</v>
      </c>
      <c r="C324" s="5" t="s">
        <v>28</v>
      </c>
      <c r="D324" s="5" t="s">
        <v>29</v>
      </c>
      <c r="E324" s="12">
        <v>155000</v>
      </c>
      <c r="F324" s="12">
        <v>0</v>
      </c>
      <c r="G324" s="12">
        <v>42919.1</v>
      </c>
      <c r="H324" s="12">
        <f>F324+G324</f>
        <v>42919.1</v>
      </c>
      <c r="I324" s="6">
        <f>E324-H324</f>
        <v>112080.9</v>
      </c>
      <c r="J324" s="7">
        <f>IFERROR(H324/E324,0)</f>
        <v>0.27689741935483869</v>
      </c>
      <c r="K324" s="5" t="str">
        <f>IF(E324=0,"Sin Plan",IF(J324&gt;=1,"Completado",IF(J324&gt;0.001,"En Progreso","Pendiente de ejecutar")))</f>
        <v>En Progreso</v>
      </c>
    </row>
    <row r="325" spans="1:11" x14ac:dyDescent="0.35">
      <c r="A325" s="2" t="s">
        <v>127</v>
      </c>
      <c r="B325" s="2" t="s">
        <v>60</v>
      </c>
      <c r="C325" s="2" t="s">
        <v>22</v>
      </c>
      <c r="D325" s="2" t="s">
        <v>23</v>
      </c>
      <c r="E325" s="12">
        <v>132300</v>
      </c>
      <c r="F325" s="12">
        <v>0</v>
      </c>
      <c r="G325" s="12">
        <v>137843.10999999999</v>
      </c>
      <c r="H325" s="12">
        <f>F325+G325</f>
        <v>137843.10999999999</v>
      </c>
      <c r="I325" s="3">
        <f>E325-H325</f>
        <v>-5543.109999999986</v>
      </c>
      <c r="J325" s="4">
        <f>IFERROR(H325/E325,0)</f>
        <v>1.0418980347694633</v>
      </c>
      <c r="K325" s="2" t="str">
        <f>IF(E325=0,"Sin Plan",IF(J325&gt;=1,"Completado",IF(J325&gt;0.001,"En Progreso","Pendiente de ejecutar")))</f>
        <v>Completado</v>
      </c>
    </row>
    <row r="326" spans="1:11" x14ac:dyDescent="0.35">
      <c r="A326" s="2" t="s">
        <v>127</v>
      </c>
      <c r="B326" s="2" t="s">
        <v>60</v>
      </c>
      <c r="C326" s="2" t="s">
        <v>250</v>
      </c>
      <c r="D326" s="2" t="s">
        <v>251</v>
      </c>
      <c r="E326" s="12">
        <v>0</v>
      </c>
      <c r="F326" s="12">
        <v>0</v>
      </c>
      <c r="G326" s="12">
        <v>0</v>
      </c>
      <c r="H326" s="12">
        <f>F326+G326</f>
        <v>0</v>
      </c>
      <c r="I326" s="3">
        <f>E326-H326</f>
        <v>0</v>
      </c>
      <c r="J326" s="4">
        <f>IFERROR(H326/E326,0)</f>
        <v>0</v>
      </c>
      <c r="K326" s="2" t="str">
        <f>IF(E326=0,"Sin Plan",IF(J326&gt;=1,"Completado",IF(J326&gt;0.001,"En Progreso","Pendiente de ejecutar")))</f>
        <v>Sin Plan</v>
      </c>
    </row>
    <row r="327" spans="1:11" x14ac:dyDescent="0.35">
      <c r="A327" s="2" t="s">
        <v>127</v>
      </c>
      <c r="B327" s="2" t="s">
        <v>60</v>
      </c>
      <c r="C327" s="2" t="s">
        <v>264</v>
      </c>
      <c r="D327" s="2" t="s">
        <v>265</v>
      </c>
      <c r="E327" s="12">
        <v>0</v>
      </c>
      <c r="F327" s="12">
        <v>0</v>
      </c>
      <c r="G327" s="12">
        <v>82425.95</v>
      </c>
      <c r="H327" s="12">
        <f>F327+G327</f>
        <v>82425.95</v>
      </c>
      <c r="I327" s="3">
        <f>E327-H327</f>
        <v>-82425.95</v>
      </c>
      <c r="J327" s="4">
        <f>IFERROR(H327/E327,0)</f>
        <v>0</v>
      </c>
      <c r="K327" s="2" t="str">
        <f>IF(E327=0,"Sin Plan",IF(J327&gt;=1,"Completado",IF(J327&gt;0.001,"En Progreso","Pendiente de ejecutar")))</f>
        <v>Sin Plan</v>
      </c>
    </row>
    <row r="328" spans="1:11" x14ac:dyDescent="0.35">
      <c r="A328" s="2" t="s">
        <v>126</v>
      </c>
      <c r="B328" s="2" t="s">
        <v>65</v>
      </c>
      <c r="C328" s="2" t="s">
        <v>2</v>
      </c>
      <c r="D328" s="2" t="s">
        <v>299</v>
      </c>
      <c r="E328" s="12">
        <v>1400000</v>
      </c>
      <c r="F328" s="26">
        <f>369000+48568.8</f>
        <v>417568.8</v>
      </c>
      <c r="G328" s="12">
        <v>721542.36</v>
      </c>
      <c r="H328" s="12">
        <f>F328+G328</f>
        <v>1139111.1599999999</v>
      </c>
      <c r="I328" s="3">
        <f>E328-H328</f>
        <v>260888.84000000008</v>
      </c>
      <c r="J328" s="4">
        <f>IFERROR(H328/E328,0)</f>
        <v>0.81365082857142856</v>
      </c>
      <c r="K328" s="2" t="str">
        <f>IF(E328=0,"Sin Plan",IF(J328&gt;=1,"Completado",IF(J328&gt;0.001,"En Progreso","Pendiente de ejecutar")))</f>
        <v>En Progreso</v>
      </c>
    </row>
    <row r="329" spans="1:11" x14ac:dyDescent="0.35">
      <c r="A329" s="2" t="s">
        <v>126</v>
      </c>
      <c r="B329" s="2" t="s">
        <v>65</v>
      </c>
      <c r="C329" s="2" t="s">
        <v>18</v>
      </c>
      <c r="D329" s="2" t="s">
        <v>19</v>
      </c>
      <c r="E329" s="12">
        <v>685000</v>
      </c>
      <c r="F329" s="12">
        <v>0</v>
      </c>
      <c r="G329" s="12">
        <v>865300</v>
      </c>
      <c r="H329" s="12">
        <f>F329+G329</f>
        <v>865300</v>
      </c>
      <c r="I329" s="3">
        <f>E329-H329</f>
        <v>-180300</v>
      </c>
      <c r="J329" s="4">
        <f>IFERROR(H329/E329,0)</f>
        <v>1.2632116788321168</v>
      </c>
      <c r="K329" s="2" t="str">
        <f>IF(E329=0,"Sin Plan",IF(J329&gt;=1,"Completado",IF(J329&gt;0.001,"En Progreso","Pendiente de ejecutar")))</f>
        <v>Completado</v>
      </c>
    </row>
    <row r="330" spans="1:11" x14ac:dyDescent="0.35">
      <c r="A330" s="2" t="s">
        <v>126</v>
      </c>
      <c r="B330" s="2" t="s">
        <v>65</v>
      </c>
      <c r="C330" s="2" t="s">
        <v>9</v>
      </c>
      <c r="D330" s="2" t="s">
        <v>10</v>
      </c>
      <c r="E330" s="12">
        <v>462000</v>
      </c>
      <c r="F330" s="12">
        <v>0</v>
      </c>
      <c r="G330" s="12">
        <v>0</v>
      </c>
      <c r="H330" s="12">
        <f>F330+G330</f>
        <v>0</v>
      </c>
      <c r="I330" s="3">
        <f>E330-H330</f>
        <v>462000</v>
      </c>
      <c r="J330" s="4">
        <f>IFERROR(H330/E330,0)</f>
        <v>0</v>
      </c>
      <c r="K330" s="2" t="str">
        <f>IF(E330=0,"Sin Plan",IF(J330&gt;=1,"Completado",IF(J330&gt;0.001,"En Progreso","Pendiente de ejecutar")))</f>
        <v>Pendiente de ejecutar</v>
      </c>
    </row>
    <row r="331" spans="1:11" x14ac:dyDescent="0.35">
      <c r="A331" s="5" t="s">
        <v>126</v>
      </c>
      <c r="B331" s="5" t="s">
        <v>65</v>
      </c>
      <c r="C331" s="5" t="s">
        <v>7</v>
      </c>
      <c r="D331" s="5" t="s">
        <v>8</v>
      </c>
      <c r="E331" s="12">
        <v>356000</v>
      </c>
      <c r="F331" s="12">
        <v>0</v>
      </c>
      <c r="G331" s="12">
        <v>116499.8</v>
      </c>
      <c r="H331" s="12">
        <f>F331+G331</f>
        <v>116499.8</v>
      </c>
      <c r="I331" s="6">
        <f>E331-H331</f>
        <v>239500.2</v>
      </c>
      <c r="J331" s="7">
        <f>IFERROR(H331/E331,0)</f>
        <v>0.32724662921348313</v>
      </c>
      <c r="K331" s="5" t="str">
        <f>IF(E331=0,"Sin Plan",IF(J331&gt;=1,"Completado",IF(J331&gt;0.001,"En Progreso","Pendiente de ejecutar")))</f>
        <v>En Progreso</v>
      </c>
    </row>
    <row r="332" spans="1:11" x14ac:dyDescent="0.35">
      <c r="A332" s="5" t="s">
        <v>133</v>
      </c>
      <c r="B332" s="5" t="s">
        <v>46</v>
      </c>
      <c r="C332" s="5" t="s">
        <v>28</v>
      </c>
      <c r="D332" s="5" t="s">
        <v>29</v>
      </c>
      <c r="E332" s="12">
        <v>680000</v>
      </c>
      <c r="F332" s="12">
        <v>0</v>
      </c>
      <c r="G332" s="12">
        <v>691339.04</v>
      </c>
      <c r="H332" s="12">
        <f>F332+G332</f>
        <v>691339.04</v>
      </c>
      <c r="I332" s="3">
        <f>E332-H332</f>
        <v>-11339.040000000037</v>
      </c>
      <c r="J332" s="7">
        <f>IFERROR(H332/E332,0)</f>
        <v>1.0166750588235294</v>
      </c>
      <c r="K332" s="5" t="str">
        <f>IF(E332=0,"Sin Plan",IF(J332&gt;=1,"Completado",IF(J332&gt;0.001,"En Progreso","Pendiente de ejecutar")))</f>
        <v>Completado</v>
      </c>
    </row>
    <row r="333" spans="1:11" x14ac:dyDescent="0.35">
      <c r="A333" s="2" t="s">
        <v>126</v>
      </c>
      <c r="B333" s="2" t="s">
        <v>65</v>
      </c>
      <c r="C333" s="2" t="s">
        <v>22</v>
      </c>
      <c r="D333" s="2" t="s">
        <v>23</v>
      </c>
      <c r="E333" s="12">
        <v>126000</v>
      </c>
      <c r="F333" s="12">
        <v>0</v>
      </c>
      <c r="G333" s="12">
        <v>246624.75</v>
      </c>
      <c r="H333" s="12">
        <f>F333+G333</f>
        <v>246624.75</v>
      </c>
      <c r="I333" s="3">
        <f>E333-H333</f>
        <v>-120624.75</v>
      </c>
      <c r="J333" s="4">
        <f>IFERROR(H333/E333,0)</f>
        <v>1.9573392857142857</v>
      </c>
      <c r="K333" s="2" t="str">
        <f>IF(E333=0,"Sin Plan",IF(J333&gt;=1,"Completado",IF(J333&gt;0.001,"En Progreso","Pendiente de ejecutar")))</f>
        <v>Completado</v>
      </c>
    </row>
    <row r="334" spans="1:11" x14ac:dyDescent="0.35">
      <c r="A334" s="5" t="s">
        <v>91</v>
      </c>
      <c r="B334" s="5" t="s">
        <v>44</v>
      </c>
      <c r="C334" s="5" t="s">
        <v>2</v>
      </c>
      <c r="D334" s="2" t="s">
        <v>299</v>
      </c>
      <c r="E334" s="12">
        <v>105000</v>
      </c>
      <c r="F334" s="12">
        <v>17067.28</v>
      </c>
      <c r="G334" s="12">
        <v>0</v>
      </c>
      <c r="H334" s="12">
        <f>F334+G334</f>
        <v>17067.28</v>
      </c>
      <c r="I334" s="3">
        <f>E334-H334</f>
        <v>87932.72</v>
      </c>
      <c r="J334" s="7">
        <f>IFERROR(H334/E334,0)</f>
        <v>0.16254552380952381</v>
      </c>
      <c r="K334" s="5" t="str">
        <f>IF(E334=0,"Sin Plan",IF(J334&gt;=1,"Completado",IF(J334&gt;0.001,"En Progreso","Pendiente de ejecutar")))</f>
        <v>En Progreso</v>
      </c>
    </row>
    <row r="335" spans="1:11" x14ac:dyDescent="0.35">
      <c r="A335" s="2" t="s">
        <v>91</v>
      </c>
      <c r="B335" s="2" t="s">
        <v>44</v>
      </c>
      <c r="C335" s="2" t="s">
        <v>162</v>
      </c>
      <c r="D335" s="2" t="s">
        <v>163</v>
      </c>
      <c r="E335" s="12">
        <v>48500</v>
      </c>
      <c r="F335" s="12">
        <v>0</v>
      </c>
      <c r="G335" s="12">
        <v>32286.92</v>
      </c>
      <c r="H335" s="12">
        <f>F335+G335</f>
        <v>32286.92</v>
      </c>
      <c r="I335" s="3">
        <f>E335-H335</f>
        <v>16213.080000000002</v>
      </c>
      <c r="J335" s="4">
        <f>IFERROR(H335/E335,0)</f>
        <v>0.66570969072164943</v>
      </c>
      <c r="K335" s="2" t="str">
        <f>IF(E335=0,"Sin Plan",IF(J335&gt;=1,"Completado",IF(J335&gt;0.001,"En Progreso","Pendiente de ejecutar")))</f>
        <v>En Progreso</v>
      </c>
    </row>
    <row r="336" spans="1:11" x14ac:dyDescent="0.35">
      <c r="A336" s="5" t="s">
        <v>96</v>
      </c>
      <c r="B336" s="5" t="s">
        <v>55</v>
      </c>
      <c r="C336" s="5" t="s">
        <v>106</v>
      </c>
      <c r="D336" s="5" t="s">
        <v>107</v>
      </c>
      <c r="E336" s="12">
        <v>2200000</v>
      </c>
      <c r="F336" s="12">
        <v>0</v>
      </c>
      <c r="G336" s="12">
        <v>0</v>
      </c>
      <c r="H336" s="12">
        <f>F336+G336</f>
        <v>0</v>
      </c>
      <c r="I336" s="3">
        <f>E336-H336</f>
        <v>2200000</v>
      </c>
      <c r="J336" s="7">
        <f>IFERROR(H336/E336,0)</f>
        <v>0</v>
      </c>
      <c r="K336" s="5" t="str">
        <f>IF(E336=0,"Sin Plan",IF(J336&gt;=1,"Completado",IF(J336&gt;0.001,"En Progreso","Pendiente de ejecutar")))</f>
        <v>Pendiente de ejecutar</v>
      </c>
    </row>
    <row r="337" spans="1:11" x14ac:dyDescent="0.35">
      <c r="A337" s="5" t="s">
        <v>52</v>
      </c>
      <c r="B337" s="5" t="s">
        <v>53</v>
      </c>
      <c r="C337" s="5" t="s">
        <v>162</v>
      </c>
      <c r="D337" s="5" t="s">
        <v>163</v>
      </c>
      <c r="E337" s="12">
        <v>103000</v>
      </c>
      <c r="F337" s="12">
        <v>96860.76</v>
      </c>
      <c r="G337" s="12">
        <v>141854.35</v>
      </c>
      <c r="H337" s="12">
        <f>F337+G337</f>
        <v>238715.11</v>
      </c>
      <c r="I337" s="6">
        <f>E337-H337</f>
        <v>-135715.10999999999</v>
      </c>
      <c r="J337" s="7">
        <f>IFERROR(H337/E337,0)</f>
        <v>2.3176224271844661</v>
      </c>
      <c r="K337" s="5" t="str">
        <f>IF(E337=0,"Sin Plan",IF(J337&gt;=1,"Completado",IF(J337&gt;0.001,"En Progreso","Pendiente de ejecutar")))</f>
        <v>Completado</v>
      </c>
    </row>
    <row r="338" spans="1:11" x14ac:dyDescent="0.35">
      <c r="A338" s="2" t="s">
        <v>52</v>
      </c>
      <c r="B338" s="2" t="s">
        <v>53</v>
      </c>
      <c r="C338" s="2" t="s">
        <v>171</v>
      </c>
      <c r="D338" s="2" t="s">
        <v>172</v>
      </c>
      <c r="E338" s="12">
        <v>0</v>
      </c>
      <c r="F338" s="12">
        <v>618639.1</v>
      </c>
      <c r="G338" s="12">
        <v>0</v>
      </c>
      <c r="H338" s="12">
        <f>F338+G338</f>
        <v>618639.1</v>
      </c>
      <c r="I338" s="3">
        <f>E338-H338</f>
        <v>-618639.1</v>
      </c>
      <c r="J338" s="4">
        <f>IFERROR(H338/E338,0)</f>
        <v>0</v>
      </c>
      <c r="K338" s="2" t="str">
        <f>IF(E338=0,"Sin Plan",IF(J338&gt;=1,"Completado",IF(J338&gt;0.001,"En Progreso","Pendiente de ejecutar")))</f>
        <v>Sin Plan</v>
      </c>
    </row>
    <row r="339" spans="1:11" x14ac:dyDescent="0.35">
      <c r="A339" s="2" t="s">
        <v>126</v>
      </c>
      <c r="B339" s="2" t="s">
        <v>65</v>
      </c>
      <c r="C339" s="2" t="s">
        <v>116</v>
      </c>
      <c r="D339" s="2" t="s">
        <v>117</v>
      </c>
      <c r="E339" s="12">
        <v>46800</v>
      </c>
      <c r="F339" s="26">
        <v>48099.51</v>
      </c>
      <c r="G339" s="12">
        <v>0</v>
      </c>
      <c r="H339" s="12">
        <f>F339+G339</f>
        <v>48099.51</v>
      </c>
      <c r="I339" s="3">
        <f>E339-H339</f>
        <v>-1299.510000000002</v>
      </c>
      <c r="J339" s="4">
        <f>IFERROR(H339/E339,0)</f>
        <v>1.0277673076923077</v>
      </c>
      <c r="K339" s="2" t="str">
        <f>IF(E339=0,"Sin Plan",IF(J339&gt;=1,"Completado",IF(J339&gt;0.001,"En Progreso","Pendiente de ejecutar")))</f>
        <v>Completado</v>
      </c>
    </row>
    <row r="340" spans="1:11" x14ac:dyDescent="0.35">
      <c r="A340" s="2" t="s">
        <v>96</v>
      </c>
      <c r="B340" s="2" t="s">
        <v>55</v>
      </c>
      <c r="C340" s="2" t="s">
        <v>118</v>
      </c>
      <c r="D340" s="2" t="s">
        <v>119</v>
      </c>
      <c r="E340" s="12">
        <v>1685000</v>
      </c>
      <c r="F340" s="12">
        <v>40000</v>
      </c>
      <c r="G340" s="12">
        <v>0</v>
      </c>
      <c r="H340" s="12">
        <f>F340+G340</f>
        <v>40000</v>
      </c>
      <c r="I340" s="3">
        <f>E340-H340</f>
        <v>1645000</v>
      </c>
      <c r="J340" s="4">
        <f>IFERROR(H340/E340,0)</f>
        <v>2.3738872403560832E-2</v>
      </c>
      <c r="K340" s="2" t="str">
        <f>IF(E340=0,"Sin Plan",IF(J340&gt;=1,"Completado",IF(J340&gt;0.001,"En Progreso","Pendiente de ejecutar")))</f>
        <v>En Progreso</v>
      </c>
    </row>
    <row r="341" spans="1:11" x14ac:dyDescent="0.35">
      <c r="A341" s="5" t="s">
        <v>91</v>
      </c>
      <c r="B341" s="5" t="s">
        <v>44</v>
      </c>
      <c r="C341" s="5" t="s">
        <v>223</v>
      </c>
      <c r="D341" s="5" t="s">
        <v>224</v>
      </c>
      <c r="E341" s="12">
        <v>10000</v>
      </c>
      <c r="F341" s="12">
        <v>39878.6</v>
      </c>
      <c r="G341" s="12">
        <v>0</v>
      </c>
      <c r="H341" s="12">
        <f>F341+G341</f>
        <v>39878.6</v>
      </c>
      <c r="I341" s="3">
        <f>E341-H341</f>
        <v>-29878.6</v>
      </c>
      <c r="J341" s="7">
        <f>IFERROR(H341/E341,0)</f>
        <v>3.98786</v>
      </c>
      <c r="K341" s="5" t="str">
        <f>IF(E341=0,"Sin Plan",IF(J341&gt;=1,"Completado",IF(J341&gt;0.001,"En Progreso","Pendiente de ejecutar")))</f>
        <v>Completado</v>
      </c>
    </row>
    <row r="342" spans="1:11" x14ac:dyDescent="0.35">
      <c r="A342" s="5" t="s">
        <v>126</v>
      </c>
      <c r="B342" s="5" t="s">
        <v>65</v>
      </c>
      <c r="C342" s="5" t="s">
        <v>226</v>
      </c>
      <c r="D342" s="5" t="s">
        <v>227</v>
      </c>
      <c r="E342" s="12">
        <v>39000</v>
      </c>
      <c r="F342" s="26">
        <v>29850</v>
      </c>
      <c r="G342" s="12">
        <v>0</v>
      </c>
      <c r="H342" s="12">
        <f>F342+G342</f>
        <v>29850</v>
      </c>
      <c r="I342" s="6">
        <f>E342-H342</f>
        <v>9150</v>
      </c>
      <c r="J342" s="7">
        <f>IFERROR(H342/E342,0)</f>
        <v>0.76538461538461533</v>
      </c>
      <c r="K342" s="5" t="str">
        <f>IF(E342=0,"Sin Plan",IF(J342&gt;=1,"Completado",IF(J342&gt;0.001,"En Progreso","Pendiente de ejecutar")))</f>
        <v>En Progreso</v>
      </c>
    </row>
    <row r="343" spans="1:11" x14ac:dyDescent="0.35">
      <c r="A343" s="2" t="s">
        <v>126</v>
      </c>
      <c r="B343" s="2" t="s">
        <v>65</v>
      </c>
      <c r="C343" s="2" t="s">
        <v>205</v>
      </c>
      <c r="D343" s="2" t="s">
        <v>206</v>
      </c>
      <c r="E343" s="12">
        <v>26000</v>
      </c>
      <c r="F343" s="26">
        <v>25662.27</v>
      </c>
      <c r="G343" s="12">
        <v>0</v>
      </c>
      <c r="H343" s="12">
        <f>F343+G343</f>
        <v>25662.27</v>
      </c>
      <c r="I343" s="3">
        <f>E343-H343</f>
        <v>337.72999999999956</v>
      </c>
      <c r="J343" s="4">
        <f>IFERROR(H343/E343,0)</f>
        <v>0.9870103846153846</v>
      </c>
      <c r="K343" s="2" t="str">
        <f>IF(E343=0,"Sin Plan",IF(J343&gt;=1,"Completado",IF(J343&gt;0.001,"En Progreso","Pendiente de ejecutar")))</f>
        <v>En Progreso</v>
      </c>
    </row>
    <row r="344" spans="1:11" x14ac:dyDescent="0.35">
      <c r="A344" s="5" t="s">
        <v>126</v>
      </c>
      <c r="B344" s="5" t="s">
        <v>65</v>
      </c>
      <c r="C344" s="5" t="s">
        <v>208</v>
      </c>
      <c r="D344" s="5" t="s">
        <v>209</v>
      </c>
      <c r="E344" s="12">
        <v>0</v>
      </c>
      <c r="F344" s="26">
        <v>302580</v>
      </c>
      <c r="G344" s="12">
        <v>0</v>
      </c>
      <c r="H344" s="12">
        <f>F344+G344</f>
        <v>302580</v>
      </c>
      <c r="I344" s="6">
        <f>E344-H344</f>
        <v>-302580</v>
      </c>
      <c r="J344" s="7">
        <f>IFERROR(H344/E344,0)</f>
        <v>0</v>
      </c>
      <c r="K344" s="5" t="str">
        <f>IF(E344=0,"Sin Plan",IF(J344&gt;=1,"Completado",IF(J344&gt;0.001,"En Progreso","Pendiente de ejecutar")))</f>
        <v>Sin Plan</v>
      </c>
    </row>
    <row r="345" spans="1:11" x14ac:dyDescent="0.35">
      <c r="A345" s="5" t="s">
        <v>149</v>
      </c>
      <c r="B345" s="5" t="s">
        <v>60</v>
      </c>
      <c r="C345" s="5" t="s">
        <v>18</v>
      </c>
      <c r="D345" s="5" t="s">
        <v>19</v>
      </c>
      <c r="E345" s="12">
        <v>685000</v>
      </c>
      <c r="F345" s="12">
        <v>0</v>
      </c>
      <c r="G345" s="26">
        <v>841947.67</v>
      </c>
      <c r="H345" s="12">
        <f>F345+G345</f>
        <v>841947.67</v>
      </c>
      <c r="I345" s="6">
        <f>E345-H345</f>
        <v>-156947.67000000004</v>
      </c>
      <c r="J345" s="7">
        <f>IFERROR(H345/E345,0)</f>
        <v>1.229120686131387</v>
      </c>
      <c r="K345" s="5" t="str">
        <f>IF(E345=0,"Sin Plan",IF(J345&gt;=1,"Completado",IF(J345&gt;0.001,"En Progreso","Pendiente de ejecutar")))</f>
        <v>Completado</v>
      </c>
    </row>
    <row r="346" spans="1:11" x14ac:dyDescent="0.35">
      <c r="A346" s="5" t="s">
        <v>149</v>
      </c>
      <c r="B346" s="5" t="s">
        <v>60</v>
      </c>
      <c r="C346" s="5" t="s">
        <v>22</v>
      </c>
      <c r="D346" s="5" t="s">
        <v>23</v>
      </c>
      <c r="E346" s="12">
        <v>132300</v>
      </c>
      <c r="F346" s="12">
        <v>0</v>
      </c>
      <c r="G346" s="26">
        <v>246624.75</v>
      </c>
      <c r="H346" s="12">
        <f>F346+G346</f>
        <v>246624.75</v>
      </c>
      <c r="I346" s="6">
        <f>E346-H346</f>
        <v>-114324.75</v>
      </c>
      <c r="J346" s="7">
        <f>IFERROR(H346/E346,0)</f>
        <v>1.8641326530612246</v>
      </c>
      <c r="K346" s="5" t="str">
        <f>IF(E346=0,"Sin Plan",IF(J346&gt;=1,"Completado",IF(J346&gt;0.001,"En Progreso","Pendiente de ejecutar")))</f>
        <v>Completado</v>
      </c>
    </row>
    <row r="347" spans="1:11" x14ac:dyDescent="0.35">
      <c r="A347" s="5" t="s">
        <v>149</v>
      </c>
      <c r="B347" s="5" t="s">
        <v>60</v>
      </c>
      <c r="C347" s="5" t="s">
        <v>26</v>
      </c>
      <c r="D347" s="5" t="s">
        <v>27</v>
      </c>
      <c r="E347" s="12">
        <v>112000</v>
      </c>
      <c r="F347" s="12">
        <v>64877.85</v>
      </c>
      <c r="G347" s="26">
        <v>267560</v>
      </c>
      <c r="H347" s="12">
        <f>F347+G347</f>
        <v>332437.84999999998</v>
      </c>
      <c r="I347" s="6">
        <f>E347-H347</f>
        <v>-220437.84999999998</v>
      </c>
      <c r="J347" s="7">
        <f>IFERROR(H347/E347,0)</f>
        <v>2.9681950892857141</v>
      </c>
      <c r="K347" s="5" t="str">
        <f>IF(E347=0,"Sin Plan",IF(J347&gt;=1,"Completado",IF(J347&gt;0.001,"En Progreso","Pendiente de ejecutar")))</f>
        <v>Completado</v>
      </c>
    </row>
    <row r="348" spans="1:11" x14ac:dyDescent="0.35">
      <c r="A348" s="2" t="s">
        <v>133</v>
      </c>
      <c r="B348" s="2" t="s">
        <v>46</v>
      </c>
      <c r="C348" s="2" t="s">
        <v>22</v>
      </c>
      <c r="D348" s="2" t="s">
        <v>23</v>
      </c>
      <c r="E348" s="12">
        <v>346500</v>
      </c>
      <c r="F348" s="12">
        <v>534848.42000000004</v>
      </c>
      <c r="G348" s="12">
        <v>0</v>
      </c>
      <c r="H348" s="12">
        <f>F348+G348</f>
        <v>534848.42000000004</v>
      </c>
      <c r="I348" s="3">
        <f>E348-H348</f>
        <v>-188348.42000000004</v>
      </c>
      <c r="J348" s="4">
        <f>IFERROR(H348/E348,0)</f>
        <v>1.5435740836940839</v>
      </c>
      <c r="K348" s="2" t="str">
        <f>IF(E348=0,"Sin Plan",IF(J348&gt;=1,"Completado",IF(J348&gt;0.001,"En Progreso","Pendiente de ejecutar")))</f>
        <v>Completado</v>
      </c>
    </row>
    <row r="349" spans="1:11" x14ac:dyDescent="0.35">
      <c r="A349" s="2" t="s">
        <v>91</v>
      </c>
      <c r="B349" s="2" t="s">
        <v>44</v>
      </c>
      <c r="C349" s="2" t="s">
        <v>260</v>
      </c>
      <c r="D349" s="2" t="s">
        <v>261</v>
      </c>
      <c r="E349" s="12">
        <v>0</v>
      </c>
      <c r="F349" s="12">
        <v>204214.2</v>
      </c>
      <c r="G349" s="12">
        <v>0</v>
      </c>
      <c r="H349" s="12">
        <f>F349+G349</f>
        <v>204214.2</v>
      </c>
      <c r="I349" s="3">
        <f>E349-H349</f>
        <v>-204214.2</v>
      </c>
      <c r="J349" s="4">
        <f>IFERROR(H349/E349,0)</f>
        <v>0</v>
      </c>
      <c r="K349" s="2" t="str">
        <f>IF(E349=0,"Sin Plan",IF(J349&gt;=1,"Completado",IF(J349&gt;0.001,"En Progreso","Pendiente de ejecutar")))</f>
        <v>Sin Plan</v>
      </c>
    </row>
    <row r="350" spans="1:11" x14ac:dyDescent="0.35">
      <c r="A350" s="5" t="s">
        <v>96</v>
      </c>
      <c r="B350" s="5" t="s">
        <v>55</v>
      </c>
      <c r="C350" s="5" t="s">
        <v>128</v>
      </c>
      <c r="D350" s="5" t="s">
        <v>129</v>
      </c>
      <c r="E350" s="12">
        <v>1365000</v>
      </c>
      <c r="F350" s="12">
        <v>0</v>
      </c>
      <c r="G350" s="12">
        <v>0</v>
      </c>
      <c r="H350" s="12">
        <f>F350+G350</f>
        <v>0</v>
      </c>
      <c r="I350" s="3">
        <f>E350-H350</f>
        <v>1365000</v>
      </c>
      <c r="J350" s="7">
        <f>IFERROR(H350/E350,0)</f>
        <v>0</v>
      </c>
      <c r="K350" s="5" t="str">
        <f>IF(E350=0,"Sin Plan",IF(J350&gt;=1,"Completado",IF(J350&gt;0.001,"En Progreso","Pendiente de ejecutar")))</f>
        <v>Pendiente de ejecutar</v>
      </c>
    </row>
    <row r="351" spans="1:11" x14ac:dyDescent="0.35">
      <c r="A351" s="5" t="s">
        <v>52</v>
      </c>
      <c r="B351" s="5" t="s">
        <v>53</v>
      </c>
      <c r="C351" s="5" t="s">
        <v>221</v>
      </c>
      <c r="D351" s="5" t="s">
        <v>222</v>
      </c>
      <c r="E351" s="12">
        <v>0</v>
      </c>
      <c r="F351" s="12">
        <f>33300+67000</f>
        <v>100300</v>
      </c>
      <c r="G351" s="12">
        <v>0</v>
      </c>
      <c r="H351" s="12">
        <f>F351+G351</f>
        <v>100300</v>
      </c>
      <c r="I351" s="6">
        <f>E351-H351</f>
        <v>-100300</v>
      </c>
      <c r="J351" s="7">
        <f>IFERROR(H351/E351,0)</f>
        <v>0</v>
      </c>
      <c r="K351" s="5" t="str">
        <f>IF(E351=0,"Sin Plan",IF(J351&gt;=1,"Completado",IF(J351&gt;0.001,"En Progreso","Pendiente de ejecutar")))</f>
        <v>Sin Plan</v>
      </c>
    </row>
    <row r="352" spans="1:11" x14ac:dyDescent="0.35">
      <c r="A352" s="2" t="s">
        <v>52</v>
      </c>
      <c r="B352" s="2" t="s">
        <v>53</v>
      </c>
      <c r="C352" s="2" t="s">
        <v>22</v>
      </c>
      <c r="D352" s="2" t="s">
        <v>23</v>
      </c>
      <c r="E352" s="12">
        <v>0</v>
      </c>
      <c r="F352" s="12">
        <v>0</v>
      </c>
      <c r="G352" s="12">
        <v>246624.75</v>
      </c>
      <c r="H352" s="12">
        <f>F352+G352</f>
        <v>246624.75</v>
      </c>
      <c r="I352" s="3">
        <f>E352-H352</f>
        <v>-246624.75</v>
      </c>
      <c r="J352" s="4">
        <f>IFERROR(H352/E352,0)</f>
        <v>0</v>
      </c>
      <c r="K352" s="2" t="str">
        <f>IF(E352=0,"Sin Plan",IF(J352&gt;=1,"Completado",IF(J352&gt;0.001,"En Progreso","Pendiente de ejecutar")))</f>
        <v>Sin Plan</v>
      </c>
    </row>
    <row r="353" spans="1:11" x14ac:dyDescent="0.35">
      <c r="A353" s="2" t="s">
        <v>149</v>
      </c>
      <c r="B353" s="2" t="s">
        <v>60</v>
      </c>
      <c r="C353" s="2" t="s">
        <v>271</v>
      </c>
      <c r="D353" s="2" t="s">
        <v>272</v>
      </c>
      <c r="E353" s="12">
        <v>0</v>
      </c>
      <c r="F353" s="12">
        <v>432987.06</v>
      </c>
      <c r="G353" s="21"/>
      <c r="H353" s="12">
        <f>F353+G353</f>
        <v>432987.06</v>
      </c>
      <c r="I353" s="3">
        <f>E353-H353</f>
        <v>-432987.06</v>
      </c>
      <c r="J353" s="4">
        <f>IFERROR(H353/E353,0)</f>
        <v>0</v>
      </c>
      <c r="K353" s="2" t="str">
        <f>IF(E353=0,"Sin Plan",IF(J353&gt;=1,"Completado",IF(J353&gt;0.001,"En Progreso","Pendiente de ejecutar")))</f>
        <v>Sin Plan</v>
      </c>
    </row>
    <row r="354" spans="1:11" x14ac:dyDescent="0.35">
      <c r="A354" s="2" t="s">
        <v>149</v>
      </c>
      <c r="B354" s="2" t="s">
        <v>60</v>
      </c>
      <c r="C354" s="2" t="s">
        <v>240</v>
      </c>
      <c r="D354" s="2" t="s">
        <v>241</v>
      </c>
      <c r="E354" s="12">
        <v>0</v>
      </c>
      <c r="F354" s="12">
        <v>68295.77</v>
      </c>
      <c r="G354" s="21"/>
      <c r="H354" s="12">
        <f>F354+G354</f>
        <v>68295.77</v>
      </c>
      <c r="I354" s="3">
        <f>E354-H354</f>
        <v>-68295.77</v>
      </c>
      <c r="J354" s="4">
        <f>IFERROR(H354/E354,0)</f>
        <v>0</v>
      </c>
      <c r="K354" s="2" t="str">
        <f>IF(E354=0,"Sin Plan",IF(J354&gt;=1,"Completado",IF(J354&gt;0.001,"En Progreso","Pendiente de ejecutar")))</f>
        <v>Sin Plan</v>
      </c>
    </row>
    <row r="355" spans="1:11" x14ac:dyDescent="0.35">
      <c r="A355" s="2" t="s">
        <v>50</v>
      </c>
      <c r="B355" s="2" t="s">
        <v>51</v>
      </c>
      <c r="C355" s="2" t="s">
        <v>9</v>
      </c>
      <c r="D355" s="2" t="s">
        <v>10</v>
      </c>
      <c r="E355" s="12">
        <v>12564000</v>
      </c>
      <c r="F355" s="12">
        <v>333967.8</v>
      </c>
      <c r="G355" s="12">
        <v>0</v>
      </c>
      <c r="H355" s="12">
        <f>F355+G355</f>
        <v>333967.8</v>
      </c>
      <c r="I355" s="3">
        <f>E355-H355</f>
        <v>12230032.199999999</v>
      </c>
      <c r="J355" s="4">
        <f>IFERROR(H355/E355,0)</f>
        <v>2.6581327602674308E-2</v>
      </c>
      <c r="K355" s="2" t="str">
        <f>IF(E355=0,"Sin Plan",IF(J355&gt;=1,"Completado",IF(J355&gt;0.001,"En Progreso","Pendiente de ejecutar")))</f>
        <v>En Progreso</v>
      </c>
    </row>
    <row r="356" spans="1:11" x14ac:dyDescent="0.35">
      <c r="A356" s="2" t="s">
        <v>96</v>
      </c>
      <c r="B356" s="2" t="s">
        <v>55</v>
      </c>
      <c r="C356" s="2" t="s">
        <v>116</v>
      </c>
      <c r="D356" s="2" t="s">
        <v>117</v>
      </c>
      <c r="E356" s="12">
        <v>850000</v>
      </c>
      <c r="F356" s="12">
        <v>0</v>
      </c>
      <c r="G356" s="12">
        <v>0</v>
      </c>
      <c r="H356" s="12">
        <f>F356+G356</f>
        <v>0</v>
      </c>
      <c r="I356" s="3">
        <f>E356-H356</f>
        <v>850000</v>
      </c>
      <c r="J356" s="4">
        <f>IFERROR(H356/E356,0)</f>
        <v>0</v>
      </c>
      <c r="K356" s="2" t="str">
        <f>IF(E356=0,"Sin Plan",IF(J356&gt;=1,"Completado",IF(J356&gt;0.001,"En Progreso","Pendiente de ejecutar")))</f>
        <v>Pendiente de ejecutar</v>
      </c>
    </row>
    <row r="357" spans="1:11" x14ac:dyDescent="0.35">
      <c r="A357" s="5" t="s">
        <v>133</v>
      </c>
      <c r="B357" s="5" t="s">
        <v>46</v>
      </c>
      <c r="C357" s="5" t="s">
        <v>120</v>
      </c>
      <c r="D357" s="5" t="s">
        <v>121</v>
      </c>
      <c r="E357" s="12">
        <v>138500</v>
      </c>
      <c r="F357" s="12">
        <v>81650</v>
      </c>
      <c r="G357" s="12">
        <v>0</v>
      </c>
      <c r="H357" s="12">
        <f>F357+G357</f>
        <v>81650</v>
      </c>
      <c r="I357" s="3">
        <f>E357-H357</f>
        <v>56850</v>
      </c>
      <c r="J357" s="7">
        <f>IFERROR(H357/E357,0)</f>
        <v>0.58953068592057767</v>
      </c>
      <c r="K357" s="5" t="str">
        <f>IF(E357=0,"Sin Plan",IF(J357&gt;=1,"Completado",IF(J357&gt;0.001,"En Progreso","Pendiente de ejecutar")))</f>
        <v>En Progreso</v>
      </c>
    </row>
    <row r="358" spans="1:11" x14ac:dyDescent="0.35">
      <c r="A358" s="2" t="s">
        <v>52</v>
      </c>
      <c r="B358" s="2" t="s">
        <v>53</v>
      </c>
      <c r="C358" s="2" t="s">
        <v>120</v>
      </c>
      <c r="D358" s="2" t="s">
        <v>121</v>
      </c>
      <c r="E358" s="12">
        <v>0</v>
      </c>
      <c r="F358" s="12">
        <v>0</v>
      </c>
      <c r="G358" s="12">
        <v>504996.44</v>
      </c>
      <c r="H358" s="12">
        <f>F358+G358</f>
        <v>504996.44</v>
      </c>
      <c r="I358" s="3">
        <f>E358-H358</f>
        <v>-504996.44</v>
      </c>
      <c r="J358" s="4">
        <f>IFERROR(H358/E358,0)</f>
        <v>0</v>
      </c>
      <c r="K358" s="2" t="str">
        <f>IF(E358=0,"Sin Plan",IF(J358&gt;=1,"Completado",IF(J358&gt;0.001,"En Progreso","Pendiente de ejecutar")))</f>
        <v>Sin Plan</v>
      </c>
    </row>
    <row r="359" spans="1:11" s="16" customFormat="1" x14ac:dyDescent="0.35">
      <c r="A359" s="13" t="s">
        <v>43</v>
      </c>
      <c r="B359" s="13" t="s">
        <v>44</v>
      </c>
      <c r="C359" s="13" t="s">
        <v>3</v>
      </c>
      <c r="D359" s="13" t="s">
        <v>4</v>
      </c>
      <c r="E359" s="12">
        <v>26970000</v>
      </c>
      <c r="F359" s="12">
        <v>0</v>
      </c>
      <c r="G359" s="12">
        <v>26490051.02</v>
      </c>
      <c r="H359" s="12">
        <f>F359+G359</f>
        <v>26490051.02</v>
      </c>
      <c r="I359" s="3">
        <f>E359-H359</f>
        <v>479948.98000000045</v>
      </c>
      <c r="J359" s="15">
        <f>IFERROR(H359/E359,0)</f>
        <v>0.98220433889506853</v>
      </c>
      <c r="K359" s="13" t="str">
        <f>IF(E359=0,"Sin Plan",IF(J359&gt;=1,"Completado",IF(J359&gt;0.001,"En Progreso","Pendiente de ejecutar")))</f>
        <v>En Progreso</v>
      </c>
    </row>
    <row r="360" spans="1:11" x14ac:dyDescent="0.35">
      <c r="A360" s="2" t="s">
        <v>50</v>
      </c>
      <c r="B360" s="2" t="s">
        <v>51</v>
      </c>
      <c r="C360" s="2" t="s">
        <v>18</v>
      </c>
      <c r="D360" s="2" t="s">
        <v>19</v>
      </c>
      <c r="E360" s="12">
        <v>685000</v>
      </c>
      <c r="F360" s="12">
        <v>0</v>
      </c>
      <c r="G360" s="12">
        <v>826100</v>
      </c>
      <c r="H360" s="12">
        <f>F360+G360</f>
        <v>826100</v>
      </c>
      <c r="I360" s="3">
        <f>E360-H360</f>
        <v>-141100</v>
      </c>
      <c r="J360" s="4">
        <f>IFERROR(H360/E360,0)</f>
        <v>1.2059854014598541</v>
      </c>
      <c r="K360" s="2" t="str">
        <f>IF(E360=0,"Sin Plan",IF(J360&gt;=1,"Completado",IF(J360&gt;0.001,"En Progreso","Pendiente de ejecutar")))</f>
        <v>Completado</v>
      </c>
    </row>
    <row r="361" spans="1:11" x14ac:dyDescent="0.35">
      <c r="A361" s="5" t="s">
        <v>133</v>
      </c>
      <c r="B361" s="5" t="s">
        <v>46</v>
      </c>
      <c r="C361" s="5" t="s">
        <v>167</v>
      </c>
      <c r="D361" s="5" t="s">
        <v>168</v>
      </c>
      <c r="E361" s="12">
        <v>0</v>
      </c>
      <c r="F361" s="12">
        <v>211814.72</v>
      </c>
      <c r="G361" s="12">
        <v>0</v>
      </c>
      <c r="H361" s="12">
        <f>F361+G361</f>
        <v>211814.72</v>
      </c>
      <c r="I361" s="3">
        <f>E361-H361</f>
        <v>-211814.72</v>
      </c>
      <c r="J361" s="7">
        <f>IFERROR(H361/E361,0)</f>
        <v>0</v>
      </c>
      <c r="K361" s="5" t="str">
        <f>IF(E361=0,"Sin Plan",IF(J361&gt;=1,"Completado",IF(J361&gt;0.001,"En Progreso","Pendiente de ejecutar")))</f>
        <v>Sin Plan</v>
      </c>
    </row>
    <row r="362" spans="1:11" x14ac:dyDescent="0.35">
      <c r="A362" s="5" t="s">
        <v>43</v>
      </c>
      <c r="B362" s="5" t="s">
        <v>44</v>
      </c>
      <c r="C362" s="5" t="s">
        <v>16</v>
      </c>
      <c r="D362" s="5" t="s">
        <v>17</v>
      </c>
      <c r="E362" s="12">
        <v>10700000</v>
      </c>
      <c r="F362" s="12">
        <v>0</v>
      </c>
      <c r="G362" s="12">
        <v>0</v>
      </c>
      <c r="H362" s="12">
        <f>F362+G362</f>
        <v>0</v>
      </c>
      <c r="I362" s="3">
        <f>E362-H362</f>
        <v>10700000</v>
      </c>
      <c r="J362" s="7">
        <f>IFERROR(H362/E362,0)</f>
        <v>0</v>
      </c>
      <c r="K362" s="5" t="str">
        <f>IF(E362=0,"Sin Plan",IF(J362&gt;=1,"Completado",IF(J362&gt;0.001,"En Progreso","Pendiente de ejecutar")))</f>
        <v>Pendiente de ejecutar</v>
      </c>
    </row>
    <row r="363" spans="1:11" x14ac:dyDescent="0.35">
      <c r="A363" s="5" t="s">
        <v>50</v>
      </c>
      <c r="B363" s="5" t="s">
        <v>51</v>
      </c>
      <c r="C363" s="5" t="s">
        <v>13</v>
      </c>
      <c r="D363" s="5" t="s">
        <v>14</v>
      </c>
      <c r="E363" s="12">
        <v>285000</v>
      </c>
      <c r="F363" s="12">
        <v>0</v>
      </c>
      <c r="G363" s="12">
        <v>168640.32</v>
      </c>
      <c r="H363" s="12">
        <f>F363+G363</f>
        <v>168640.32</v>
      </c>
      <c r="I363" s="6">
        <f>E363-H363</f>
        <v>116359.67999999999</v>
      </c>
      <c r="J363" s="7">
        <f>IFERROR(H363/E363,0)</f>
        <v>0.59172042105263156</v>
      </c>
      <c r="K363" s="5" t="str">
        <f>IF(E363=0,"Sin Plan",IF(J363&gt;=1,"Completado",IF(J363&gt;0.001,"En Progreso","Pendiente de ejecutar")))</f>
        <v>En Progreso</v>
      </c>
    </row>
    <row r="364" spans="1:11" x14ac:dyDescent="0.35">
      <c r="A364" s="2" t="s">
        <v>50</v>
      </c>
      <c r="B364" s="2" t="s">
        <v>51</v>
      </c>
      <c r="C364" s="2" t="s">
        <v>26</v>
      </c>
      <c r="D364" s="2" t="s">
        <v>27</v>
      </c>
      <c r="E364" s="12">
        <v>246000</v>
      </c>
      <c r="F364" s="12">
        <v>112100.8</v>
      </c>
      <c r="G364" s="12">
        <v>0</v>
      </c>
      <c r="H364" s="12">
        <f>F364+G364</f>
        <v>112100.8</v>
      </c>
      <c r="I364" s="3">
        <f>E364-H364</f>
        <v>133899.20000000001</v>
      </c>
      <c r="J364" s="4">
        <f>IFERROR(H364/E364,0)</f>
        <v>0.45569430894308943</v>
      </c>
      <c r="K364" s="2" t="str">
        <f>IF(E364=0,"Sin Plan",IF(J364&gt;=1,"Completado",IF(J364&gt;0.001,"En Progreso","Pendiente de ejecutar")))</f>
        <v>En Progreso</v>
      </c>
    </row>
    <row r="365" spans="1:11" x14ac:dyDescent="0.35">
      <c r="A365" s="2" t="s">
        <v>50</v>
      </c>
      <c r="B365" s="2" t="s">
        <v>51</v>
      </c>
      <c r="C365" s="2" t="s">
        <v>22</v>
      </c>
      <c r="D365" s="2" t="s">
        <v>23</v>
      </c>
      <c r="E365" s="12">
        <v>132300</v>
      </c>
      <c r="F365" s="12">
        <v>137843.10999999999</v>
      </c>
      <c r="G365" s="12">
        <v>0</v>
      </c>
      <c r="H365" s="12">
        <f>F365+G365</f>
        <v>137843.10999999999</v>
      </c>
      <c r="I365" s="3">
        <f>E365-H365</f>
        <v>-5543.109999999986</v>
      </c>
      <c r="J365" s="4">
        <f>IFERROR(H365/E365,0)</f>
        <v>1.0418980347694633</v>
      </c>
      <c r="K365" s="2" t="str">
        <f>IF(E365=0,"Sin Plan",IF(J365&gt;=1,"Completado",IF(J365&gt;0.001,"En Progreso","Pendiente de ejecutar")))</f>
        <v>Completado</v>
      </c>
    </row>
    <row r="366" spans="1:11" x14ac:dyDescent="0.35">
      <c r="A366" s="5" t="s">
        <v>50</v>
      </c>
      <c r="B366" s="5" t="s">
        <v>51</v>
      </c>
      <c r="C366" s="5" t="s">
        <v>205</v>
      </c>
      <c r="D366" s="5" t="s">
        <v>206</v>
      </c>
      <c r="E366" s="12">
        <v>26000</v>
      </c>
      <c r="F366" s="12">
        <v>25662.27</v>
      </c>
      <c r="G366" s="12">
        <v>0</v>
      </c>
      <c r="H366" s="12">
        <f>F366+G366</f>
        <v>25662.27</v>
      </c>
      <c r="I366" s="6">
        <f>E366-H366</f>
        <v>337.72999999999956</v>
      </c>
      <c r="J366" s="7">
        <f>IFERROR(H366/E366,0)</f>
        <v>0.9870103846153846</v>
      </c>
      <c r="K366" s="5" t="str">
        <f>IF(E366=0,"Sin Plan",IF(J366&gt;=1,"Completado",IF(J366&gt;0.001,"En Progreso","Pendiente de ejecutar")))</f>
        <v>En Progreso</v>
      </c>
    </row>
    <row r="367" spans="1:11" x14ac:dyDescent="0.35">
      <c r="A367" s="2" t="s">
        <v>192</v>
      </c>
      <c r="B367" s="2" t="s">
        <v>51</v>
      </c>
      <c r="C367" s="2" t="s">
        <v>7</v>
      </c>
      <c r="D367" s="2" t="s">
        <v>8</v>
      </c>
      <c r="E367" s="12">
        <v>356000</v>
      </c>
      <c r="G367" s="12">
        <v>116499.8</v>
      </c>
      <c r="H367" s="12">
        <f>F556+G367</f>
        <v>116499.8</v>
      </c>
      <c r="I367" s="3">
        <f>E367-H367</f>
        <v>239500.2</v>
      </c>
      <c r="J367" s="4">
        <f>IFERROR(H367/E367,0)</f>
        <v>0.32724662921348313</v>
      </c>
      <c r="K367" s="2" t="str">
        <f>IF(E367=0,"Sin Plan",IF(J367&gt;=1,"Completado",IF(J367&gt;0.001,"En Progreso","Pendiente de ejecutar")))</f>
        <v>En Progreso</v>
      </c>
    </row>
    <row r="368" spans="1:11" x14ac:dyDescent="0.35">
      <c r="A368" s="5" t="s">
        <v>43</v>
      </c>
      <c r="B368" s="5" t="s">
        <v>44</v>
      </c>
      <c r="C368" s="5" t="s">
        <v>9</v>
      </c>
      <c r="D368" s="5" t="s">
        <v>10</v>
      </c>
      <c r="E368" s="12">
        <v>840000</v>
      </c>
      <c r="F368" s="12">
        <v>0</v>
      </c>
      <c r="G368" s="12">
        <v>0</v>
      </c>
      <c r="H368" s="12">
        <f>F368+G368</f>
        <v>0</v>
      </c>
      <c r="I368" s="3">
        <f>E368-H368</f>
        <v>840000</v>
      </c>
      <c r="J368" s="7">
        <f>IFERROR(H368/E368,0)</f>
        <v>0</v>
      </c>
      <c r="K368" s="5" t="str">
        <f>IF(E368=0,"Sin Plan",IF(J368&gt;=1,"Completado",IF(J368&gt;0.001,"En Progreso","Pendiente de ejecutar")))</f>
        <v>Pendiente de ejecutar</v>
      </c>
    </row>
    <row r="369" spans="1:11" x14ac:dyDescent="0.35">
      <c r="A369" s="2" t="s">
        <v>192</v>
      </c>
      <c r="B369" s="2" t="s">
        <v>51</v>
      </c>
      <c r="C369" s="2" t="s">
        <v>3</v>
      </c>
      <c r="D369" s="2" t="s">
        <v>4</v>
      </c>
      <c r="E369" s="12">
        <v>140870.39999999999</v>
      </c>
      <c r="F369" s="12">
        <v>114515</v>
      </c>
      <c r="G369" s="12">
        <v>0</v>
      </c>
      <c r="H369" s="12">
        <f>F369+G369</f>
        <v>114515</v>
      </c>
      <c r="I369" s="3">
        <f>E369-H369</f>
        <v>26355.399999999994</v>
      </c>
      <c r="J369" s="4">
        <f>IFERROR(H369/E369,0)</f>
        <v>0.81291030621053117</v>
      </c>
      <c r="K369" s="2" t="str">
        <f>IF(E369=0,"Sin Plan",IF(J369&gt;=1,"Completado",IF(J369&gt;0.001,"En Progreso","Pendiente de ejecutar")))</f>
        <v>En Progreso</v>
      </c>
    </row>
    <row r="370" spans="1:11" x14ac:dyDescent="0.35">
      <c r="A370" s="5" t="s">
        <v>133</v>
      </c>
      <c r="B370" s="5" t="s">
        <v>46</v>
      </c>
      <c r="C370" s="5" t="s">
        <v>287</v>
      </c>
      <c r="D370" s="5" t="s">
        <v>288</v>
      </c>
      <c r="E370" s="12">
        <v>0</v>
      </c>
      <c r="F370" s="12">
        <v>0</v>
      </c>
      <c r="G370" s="12">
        <v>520823.23</v>
      </c>
      <c r="H370" s="12">
        <f>F370+G370</f>
        <v>520823.23</v>
      </c>
      <c r="I370" s="3">
        <f>E370-H370</f>
        <v>-520823.23</v>
      </c>
      <c r="J370" s="7">
        <f>IFERROR(H370/E370,0)</f>
        <v>0</v>
      </c>
      <c r="K370" s="5" t="str">
        <f>IF(E370=0,"Sin Plan",IF(J370&gt;=1,"Completado",IF(J370&gt;0.001,"En Progreso","Pendiente de ejecutar")))</f>
        <v>Sin Plan</v>
      </c>
    </row>
    <row r="371" spans="1:11" s="16" customFormat="1" x14ac:dyDescent="0.35">
      <c r="A371" s="17" t="s">
        <v>133</v>
      </c>
      <c r="B371" s="17" t="s">
        <v>46</v>
      </c>
      <c r="C371" s="17" t="s">
        <v>185</v>
      </c>
      <c r="D371" s="17" t="s">
        <v>186</v>
      </c>
      <c r="E371" s="12">
        <v>0</v>
      </c>
      <c r="F371" s="12">
        <v>0</v>
      </c>
      <c r="G371" s="12"/>
      <c r="H371" s="12">
        <f>F371+G371</f>
        <v>0</v>
      </c>
      <c r="I371" s="3">
        <f>E371-H371</f>
        <v>0</v>
      </c>
      <c r="J371" s="19">
        <f>IFERROR(H371/E371,0)</f>
        <v>0</v>
      </c>
      <c r="K371" s="17" t="str">
        <f>IF(E371=0,"Sin Plan",IF(J371&gt;=1,"Completado",IF(J371&gt;0.001,"En Progreso","Pendiente de ejecutar")))</f>
        <v>Sin Plan</v>
      </c>
    </row>
    <row r="372" spans="1:11" s="16" customFormat="1" x14ac:dyDescent="0.35">
      <c r="A372" s="2" t="s">
        <v>52</v>
      </c>
      <c r="B372" s="2" t="s">
        <v>53</v>
      </c>
      <c r="C372" s="17"/>
      <c r="D372" s="17" t="s">
        <v>304</v>
      </c>
      <c r="E372" s="12"/>
      <c r="F372" s="12">
        <v>157026.46000000002</v>
      </c>
      <c r="G372" s="12"/>
      <c r="H372" s="12"/>
      <c r="I372" s="18"/>
      <c r="J372" s="19"/>
      <c r="K372" s="17"/>
    </row>
    <row r="373" spans="1:11" s="16" customFormat="1" x14ac:dyDescent="0.35">
      <c r="A373" s="17" t="s">
        <v>52</v>
      </c>
      <c r="B373" s="17" t="s">
        <v>53</v>
      </c>
      <c r="C373" s="17" t="s">
        <v>3</v>
      </c>
      <c r="D373" s="17" t="s">
        <v>4</v>
      </c>
      <c r="E373" s="12">
        <v>0</v>
      </c>
      <c r="F373" s="12">
        <v>0</v>
      </c>
      <c r="G373" s="12">
        <v>280000</v>
      </c>
      <c r="H373" s="12">
        <f>F373+G373</f>
        <v>280000</v>
      </c>
      <c r="I373" s="18">
        <f>E373-H373</f>
        <v>-280000</v>
      </c>
      <c r="J373" s="19">
        <f>IFERROR(H373/E373,0)</f>
        <v>0</v>
      </c>
      <c r="K373" s="17" t="str">
        <f>IF(E373=0,"Sin Plan",IF(J373&gt;=1,"Completado",IF(J373&gt;0.001,"En Progreso","Pendiente de ejecutar")))</f>
        <v>Sin Plan</v>
      </c>
    </row>
    <row r="374" spans="1:11" x14ac:dyDescent="0.35">
      <c r="A374" s="5" t="s">
        <v>192</v>
      </c>
      <c r="B374" s="5" t="s">
        <v>51</v>
      </c>
      <c r="C374" s="5" t="s">
        <v>22</v>
      </c>
      <c r="D374" s="5" t="s">
        <v>23</v>
      </c>
      <c r="E374" s="12">
        <v>132300</v>
      </c>
      <c r="F374" s="12">
        <v>0</v>
      </c>
      <c r="G374" s="12">
        <v>137843.10999999999</v>
      </c>
      <c r="H374" s="12">
        <f>F374+G374</f>
        <v>137843.10999999999</v>
      </c>
      <c r="I374" s="6">
        <f>E374-H374</f>
        <v>-5543.109999999986</v>
      </c>
      <c r="J374" s="7">
        <f>IFERROR(H374/E374,0)</f>
        <v>1.0418980347694633</v>
      </c>
      <c r="K374" s="5" t="str">
        <f>IF(E374=0,"Sin Plan",IF(J374&gt;=1,"Completado",IF(J374&gt;0.001,"En Progreso","Pendiente de ejecutar")))</f>
        <v>Completado</v>
      </c>
    </row>
    <row r="375" spans="1:11" x14ac:dyDescent="0.35">
      <c r="A375" s="2" t="s">
        <v>96</v>
      </c>
      <c r="B375" s="2" t="s">
        <v>55</v>
      </c>
      <c r="C375" s="2" t="s">
        <v>162</v>
      </c>
      <c r="D375" s="2" t="s">
        <v>163</v>
      </c>
      <c r="E375" s="12">
        <v>175000</v>
      </c>
      <c r="F375" s="12">
        <v>178092.1</v>
      </c>
      <c r="G375" s="12">
        <v>0</v>
      </c>
      <c r="H375" s="12">
        <f>F375+G375</f>
        <v>178092.1</v>
      </c>
      <c r="I375" s="3">
        <f>E375-H375</f>
        <v>-3092.1000000000058</v>
      </c>
      <c r="J375" s="4">
        <f>IFERROR(H375/E375,0)</f>
        <v>1.0176691428571429</v>
      </c>
      <c r="K375" s="2" t="str">
        <f>IF(E375=0,"Sin Plan",IF(J375&gt;=1,"Completado",IF(J375&gt;0.001,"En Progreso","Pendiente de ejecutar")))</f>
        <v>Completado</v>
      </c>
    </row>
    <row r="376" spans="1:11" x14ac:dyDescent="0.35">
      <c r="A376" s="5" t="s">
        <v>229</v>
      </c>
      <c r="B376" s="5" t="s">
        <v>51</v>
      </c>
      <c r="C376" s="5" t="s">
        <v>2</v>
      </c>
      <c r="D376" s="2" t="s">
        <v>299</v>
      </c>
      <c r="E376" s="12">
        <v>45000</v>
      </c>
      <c r="F376" s="12">
        <v>23075.48</v>
      </c>
      <c r="G376" s="12">
        <v>0</v>
      </c>
      <c r="H376" s="12" t="e">
        <f>#REF!+G376</f>
        <v>#REF!</v>
      </c>
      <c r="I376" s="6" t="e">
        <f>E376-H376</f>
        <v>#REF!</v>
      </c>
      <c r="J376" s="7">
        <f>IFERROR(H376/E376,0)</f>
        <v>0</v>
      </c>
      <c r="K376" s="5" t="str">
        <f>IF(E376=0,"Sin Plan",IF(J376&gt;=1,"Completado",IF(J376&gt;0.001,"En Progreso","Pendiente de ejecutar")))</f>
        <v>Pendiente de ejecutar</v>
      </c>
    </row>
    <row r="377" spans="1:11" x14ac:dyDescent="0.35">
      <c r="A377" s="2" t="s">
        <v>43</v>
      </c>
      <c r="B377" s="2" t="s">
        <v>44</v>
      </c>
      <c r="C377" s="2" t="s">
        <v>103</v>
      </c>
      <c r="D377" s="2" t="s">
        <v>104</v>
      </c>
      <c r="E377" s="12">
        <v>820000</v>
      </c>
      <c r="F377" s="12">
        <v>91200</v>
      </c>
      <c r="G377" s="12">
        <v>0</v>
      </c>
      <c r="H377" s="12">
        <f>F377+G377</f>
        <v>91200</v>
      </c>
      <c r="I377" s="3">
        <f>E377-H377</f>
        <v>728800</v>
      </c>
      <c r="J377" s="4">
        <f>IFERROR(H377/E377,0)</f>
        <v>0.11121951219512195</v>
      </c>
      <c r="K377" s="2" t="str">
        <f>IF(E377=0,"Sin Plan",IF(J377&gt;=1,"Completado",IF(J377&gt;0.001,"En Progreso","Pendiente de ejecutar")))</f>
        <v>En Progreso</v>
      </c>
    </row>
    <row r="378" spans="1:11" x14ac:dyDescent="0.35">
      <c r="A378" s="5" t="s">
        <v>182</v>
      </c>
      <c r="B378" s="5" t="s">
        <v>46</v>
      </c>
      <c r="C378" s="5" t="s">
        <v>162</v>
      </c>
      <c r="D378" s="5" t="s">
        <v>163</v>
      </c>
      <c r="E378" s="12">
        <v>445000</v>
      </c>
      <c r="F378" s="12">
        <v>226008.44</v>
      </c>
      <c r="G378" s="12">
        <v>0</v>
      </c>
      <c r="H378" s="12">
        <f>F378+G378</f>
        <v>226008.44</v>
      </c>
      <c r="I378" s="3">
        <f>E378-H378</f>
        <v>218991.56</v>
      </c>
      <c r="J378" s="7">
        <f>IFERROR(H378/E378,0)</f>
        <v>0.50788413483146067</v>
      </c>
      <c r="K378" s="5" t="str">
        <f>IF(E378=0,"Sin Plan",IF(J378&gt;=1,"Completado",IF(J378&gt;0.001,"En Progreso","Pendiente de ejecutar")))</f>
        <v>En Progreso</v>
      </c>
    </row>
    <row r="379" spans="1:11" x14ac:dyDescent="0.35">
      <c r="A379" s="5" t="s">
        <v>43</v>
      </c>
      <c r="B379" s="5" t="s">
        <v>44</v>
      </c>
      <c r="C379" s="5" t="s">
        <v>193</v>
      </c>
      <c r="D379" s="5" t="s">
        <v>194</v>
      </c>
      <c r="E379" s="12">
        <v>311000</v>
      </c>
      <c r="F379" s="12">
        <v>205239.74</v>
      </c>
      <c r="G379" s="12">
        <v>0</v>
      </c>
      <c r="H379" s="12">
        <f>F379+G379</f>
        <v>205239.74</v>
      </c>
      <c r="I379" s="3">
        <f>E379-H379</f>
        <v>105760.26000000001</v>
      </c>
      <c r="J379" s="7">
        <f>IFERROR(H379/E379,0)</f>
        <v>0.65993485530546625</v>
      </c>
      <c r="K379" s="5" t="str">
        <f>IF(E379=0,"Sin Plan",IF(J379&gt;=1,"Completado",IF(J379&gt;0.001,"En Progreso","Pendiente de ejecutar")))</f>
        <v>En Progreso</v>
      </c>
    </row>
    <row r="380" spans="1:11" x14ac:dyDescent="0.35">
      <c r="A380" s="5" t="s">
        <v>43</v>
      </c>
      <c r="B380" s="5" t="s">
        <v>44</v>
      </c>
      <c r="C380" s="5" t="s">
        <v>208</v>
      </c>
      <c r="D380" s="5" t="s">
        <v>209</v>
      </c>
      <c r="E380" s="12">
        <v>81000</v>
      </c>
      <c r="F380" s="12">
        <v>0</v>
      </c>
      <c r="G380" s="12">
        <v>0</v>
      </c>
      <c r="H380" s="12">
        <f>F380+G380</f>
        <v>0</v>
      </c>
      <c r="I380" s="3">
        <f>E380-H380</f>
        <v>81000</v>
      </c>
      <c r="J380" s="7">
        <f>IFERROR(H380/E380,0)</f>
        <v>0</v>
      </c>
      <c r="K380" s="5" t="str">
        <f>IF(E380=0,"Sin Plan",IF(J380&gt;=1,"Completado",IF(J380&gt;0.001,"En Progreso","Pendiente de ejecutar")))</f>
        <v>Pendiente de ejecutar</v>
      </c>
    </row>
    <row r="381" spans="1:11" x14ac:dyDescent="0.35">
      <c r="A381" s="5" t="s">
        <v>218</v>
      </c>
      <c r="B381" s="5" t="s">
        <v>53</v>
      </c>
      <c r="C381" s="5" t="s">
        <v>158</v>
      </c>
      <c r="D381" s="5" t="s">
        <v>159</v>
      </c>
      <c r="E381" s="12">
        <v>130000</v>
      </c>
      <c r="F381" s="12">
        <v>98659.839999999997</v>
      </c>
      <c r="G381" s="12">
        <v>0</v>
      </c>
      <c r="H381" s="12">
        <f>F381+G381</f>
        <v>98659.839999999997</v>
      </c>
      <c r="I381" s="6">
        <f>E381-H381</f>
        <v>31340.160000000003</v>
      </c>
      <c r="J381" s="7">
        <f>IFERROR(H381/E381,0)</f>
        <v>0.75892184615384617</v>
      </c>
      <c r="K381" s="5" t="str">
        <f>IF(E381=0,"Sin Plan",IF(J381&gt;=1,"Completado",IF(J381&gt;0.001,"En Progreso","Pendiente de ejecutar")))</f>
        <v>En Progreso</v>
      </c>
    </row>
    <row r="382" spans="1:11" x14ac:dyDescent="0.35">
      <c r="A382" s="2" t="s">
        <v>182</v>
      </c>
      <c r="B382" s="2" t="s">
        <v>46</v>
      </c>
      <c r="C382" s="2" t="s">
        <v>120</v>
      </c>
      <c r="D382" s="2" t="s">
        <v>121</v>
      </c>
      <c r="E382" s="12">
        <v>138500</v>
      </c>
      <c r="F382" s="12">
        <v>124050</v>
      </c>
      <c r="H382" s="12">
        <f>F382+G382</f>
        <v>124050</v>
      </c>
      <c r="I382" s="3">
        <f>E382-H382</f>
        <v>14450</v>
      </c>
      <c r="J382" s="4">
        <f>IFERROR(H382/E382,0)</f>
        <v>0.89566787003610104</v>
      </c>
      <c r="K382" s="2" t="str">
        <f>IF(E382=0,"Sin Plan",IF(J382&gt;=1,"Completado",IF(J382&gt;0.001,"En Progreso","Pendiente de ejecutar")))</f>
        <v>En Progreso</v>
      </c>
    </row>
    <row r="383" spans="1:11" x14ac:dyDescent="0.35">
      <c r="A383" s="5" t="s">
        <v>218</v>
      </c>
      <c r="B383" s="5" t="s">
        <v>53</v>
      </c>
      <c r="C383" s="5" t="s">
        <v>162</v>
      </c>
      <c r="D383" s="5" t="s">
        <v>163</v>
      </c>
      <c r="E383" s="12">
        <v>25000</v>
      </c>
      <c r="F383" s="12">
        <v>0</v>
      </c>
      <c r="G383" s="12">
        <v>0</v>
      </c>
      <c r="H383" s="12">
        <f>F383+G383</f>
        <v>0</v>
      </c>
      <c r="I383" s="6">
        <f>E383-H383</f>
        <v>25000</v>
      </c>
      <c r="J383" s="7">
        <f>IFERROR(H383/E383,0)</f>
        <v>0</v>
      </c>
      <c r="K383" s="5" t="str">
        <f>IF(E383=0,"Sin Plan",IF(J383&gt;=1,"Completado",IF(J383&gt;0.001,"En Progreso","Pendiente de ejecutar")))</f>
        <v>Pendiente de ejecutar</v>
      </c>
    </row>
    <row r="384" spans="1:11" x14ac:dyDescent="0.35">
      <c r="A384" s="2" t="s">
        <v>218</v>
      </c>
      <c r="B384" s="2" t="s">
        <v>53</v>
      </c>
      <c r="C384" s="2" t="s">
        <v>3</v>
      </c>
      <c r="D384" s="2" t="s">
        <v>4</v>
      </c>
      <c r="E384" s="12">
        <v>0</v>
      </c>
      <c r="F384" s="12">
        <v>128000</v>
      </c>
      <c r="G384" s="12">
        <v>0</v>
      </c>
      <c r="H384" s="12">
        <f>F384+G384</f>
        <v>128000</v>
      </c>
      <c r="I384" s="3">
        <f>E384-H384</f>
        <v>-128000</v>
      </c>
      <c r="J384" s="4">
        <f>IFERROR(H384/E384,0)</f>
        <v>0</v>
      </c>
      <c r="K384" s="2" t="str">
        <f>IF(E384=0,"Sin Plan",IF(J384&gt;=1,"Completado",IF(J384&gt;0.001,"En Progreso","Pendiente de ejecutar")))</f>
        <v>Sin Plan</v>
      </c>
    </row>
    <row r="385" spans="1:11" x14ac:dyDescent="0.35">
      <c r="A385" s="2" t="s">
        <v>43</v>
      </c>
      <c r="B385" s="2" t="s">
        <v>44</v>
      </c>
      <c r="C385" s="2" t="s">
        <v>2</v>
      </c>
      <c r="D385" s="2" t="s">
        <v>299</v>
      </c>
      <c r="E385" s="12">
        <v>63000</v>
      </c>
      <c r="F385" s="12">
        <v>0</v>
      </c>
      <c r="G385" s="12">
        <v>527900</v>
      </c>
      <c r="H385" s="12">
        <f>F385+G385</f>
        <v>527900</v>
      </c>
      <c r="I385" s="3">
        <f>E385-H385</f>
        <v>-464900</v>
      </c>
      <c r="J385" s="4">
        <f>IFERROR(H385/E385,0)</f>
        <v>8.3793650793650798</v>
      </c>
      <c r="K385" s="2" t="str">
        <f>IF(E385=0,"Sin Plan",IF(J385&gt;=1,"Completado",IF(J385&gt;0.001,"En Progreso","Pendiente de ejecutar")))</f>
        <v>Completado</v>
      </c>
    </row>
    <row r="386" spans="1:11" x14ac:dyDescent="0.35">
      <c r="A386" s="2" t="s">
        <v>43</v>
      </c>
      <c r="B386" s="2" t="s">
        <v>44</v>
      </c>
      <c r="C386" s="2" t="s">
        <v>162</v>
      </c>
      <c r="D386" s="2" t="s">
        <v>163</v>
      </c>
      <c r="E386" s="12">
        <v>17500</v>
      </c>
      <c r="F386" s="12">
        <v>0</v>
      </c>
      <c r="G386" s="12">
        <v>0</v>
      </c>
      <c r="H386" s="12">
        <f>F386+G386</f>
        <v>0</v>
      </c>
      <c r="I386" s="3">
        <f>E386-H386</f>
        <v>17500</v>
      </c>
      <c r="J386" s="4">
        <f>IFERROR(H386/E386,0)</f>
        <v>0</v>
      </c>
      <c r="K386" s="2" t="str">
        <f>IF(E386=0,"Sin Plan",IF(J386&gt;=1,"Completado",IF(J386&gt;0.001,"En Progreso","Pendiente de ejecutar")))</f>
        <v>Pendiente de ejecutar</v>
      </c>
    </row>
    <row r="387" spans="1:11" x14ac:dyDescent="0.35">
      <c r="A387" s="5" t="s">
        <v>192</v>
      </c>
      <c r="B387" s="5" t="s">
        <v>51</v>
      </c>
      <c r="C387" s="5" t="s">
        <v>5</v>
      </c>
      <c r="D387" s="5" t="s">
        <v>6</v>
      </c>
      <c r="E387" s="12">
        <v>34900</v>
      </c>
      <c r="F387" s="12">
        <v>66020</v>
      </c>
      <c r="G387" s="12">
        <v>0</v>
      </c>
      <c r="H387" s="12">
        <f>F387+G387</f>
        <v>66020</v>
      </c>
      <c r="I387" s="6">
        <f>E387-H387</f>
        <v>-31120</v>
      </c>
      <c r="J387" s="7">
        <f>IFERROR(H387/E387,0)</f>
        <v>1.8916905444126075</v>
      </c>
      <c r="K387" s="5" t="str">
        <f>IF(E387=0,"Sin Plan",IF(J387&gt;=1,"Completado",IF(J387&gt;0.001,"En Progreso","Pendiente de ejecutar")))</f>
        <v>Completado</v>
      </c>
    </row>
    <row r="388" spans="1:11" x14ac:dyDescent="0.35">
      <c r="A388" s="2" t="s">
        <v>192</v>
      </c>
      <c r="B388" s="2" t="s">
        <v>51</v>
      </c>
      <c r="C388" s="2" t="s">
        <v>18</v>
      </c>
      <c r="D388" s="2" t="s">
        <v>19</v>
      </c>
      <c r="E388" s="12">
        <v>0</v>
      </c>
      <c r="F388" s="12">
        <v>0</v>
      </c>
      <c r="G388" s="12">
        <v>88300</v>
      </c>
      <c r="H388" s="12">
        <f>F388+G388</f>
        <v>88300</v>
      </c>
      <c r="I388" s="3">
        <f>E388-H388</f>
        <v>-88300</v>
      </c>
      <c r="J388" s="4">
        <f>IFERROR(H388/E388,0)</f>
        <v>0</v>
      </c>
      <c r="K388" s="2" t="str">
        <f>IF(E388=0,"Sin Plan",IF(J388&gt;=1,"Completado",IF(J388&gt;0.001,"En Progreso","Pendiente de ejecutar")))</f>
        <v>Sin Plan</v>
      </c>
    </row>
    <row r="389" spans="1:11" x14ac:dyDescent="0.35">
      <c r="A389" s="2" t="s">
        <v>157</v>
      </c>
      <c r="B389" s="2" t="s">
        <v>60</v>
      </c>
      <c r="C389" s="2" t="s">
        <v>3</v>
      </c>
      <c r="D389" s="2" t="s">
        <v>4</v>
      </c>
      <c r="E389" s="12">
        <v>655465.19999999995</v>
      </c>
      <c r="F389" s="12">
        <v>152858.07999999999</v>
      </c>
      <c r="G389" s="12">
        <v>0</v>
      </c>
      <c r="H389" s="12">
        <f>F389+G389</f>
        <v>152858.07999999999</v>
      </c>
      <c r="I389" s="3">
        <f>E389-H389</f>
        <v>502607.12</v>
      </c>
      <c r="J389" s="4">
        <f>IFERROR(H389/E389,0)</f>
        <v>0.233205485203486</v>
      </c>
      <c r="K389" s="2" t="str">
        <f>IF(E389=0,"Sin Plan",IF(J389&gt;=1,"Completado",IF(J389&gt;0.001,"En Progreso","Pendiente de ejecutar")))</f>
        <v>En Progreso</v>
      </c>
    </row>
    <row r="390" spans="1:11" x14ac:dyDescent="0.35">
      <c r="A390" s="5" t="s">
        <v>157</v>
      </c>
      <c r="B390" s="5" t="s">
        <v>60</v>
      </c>
      <c r="C390" s="5" t="s">
        <v>9</v>
      </c>
      <c r="D390" s="5" t="s">
        <v>10</v>
      </c>
      <c r="E390" s="12">
        <v>462000</v>
      </c>
      <c r="F390" s="12">
        <v>0</v>
      </c>
      <c r="G390" s="12">
        <v>0</v>
      </c>
      <c r="H390" s="12">
        <f>F390+G390</f>
        <v>0</v>
      </c>
      <c r="I390" s="6">
        <f>E390-H390</f>
        <v>462000</v>
      </c>
      <c r="J390" s="7">
        <f>IFERROR(H390/E390,0)</f>
        <v>0</v>
      </c>
      <c r="K390" s="5" t="str">
        <f>IF(E390=0,"Sin Plan",IF(J390&gt;=1,"Completado",IF(J390&gt;0.001,"En Progreso","Pendiente de ejecutar")))</f>
        <v>Pendiente de ejecutar</v>
      </c>
    </row>
    <row r="391" spans="1:11" x14ac:dyDescent="0.35">
      <c r="A391" s="2" t="s">
        <v>157</v>
      </c>
      <c r="B391" s="2" t="s">
        <v>60</v>
      </c>
      <c r="C391" s="2" t="s">
        <v>22</v>
      </c>
      <c r="D391" s="2" t="s">
        <v>23</v>
      </c>
      <c r="E391" s="12">
        <v>132300</v>
      </c>
      <c r="F391" s="12">
        <v>0</v>
      </c>
      <c r="G391" s="12">
        <v>137843.10999999999</v>
      </c>
      <c r="H391" s="12">
        <f>F391+G391</f>
        <v>137843.10999999999</v>
      </c>
      <c r="I391" s="3">
        <f>E391-H391</f>
        <v>-5543.109999999986</v>
      </c>
      <c r="J391" s="4">
        <f>IFERROR(H391/E391,0)</f>
        <v>1.0418980347694633</v>
      </c>
      <c r="K391" s="2" t="str">
        <f>IF(E391=0,"Sin Plan",IF(J391&gt;=1,"Completado",IF(J391&gt;0.001,"En Progreso","Pendiente de ejecutar")))</f>
        <v>Completado</v>
      </c>
    </row>
    <row r="392" spans="1:11" x14ac:dyDescent="0.35">
      <c r="A392" s="5" t="s">
        <v>150</v>
      </c>
      <c r="B392" s="5" t="s">
        <v>65</v>
      </c>
      <c r="C392" s="5" t="s">
        <v>18</v>
      </c>
      <c r="D392" s="5" t="s">
        <v>19</v>
      </c>
      <c r="E392" s="12">
        <v>685000</v>
      </c>
      <c r="F392" s="12">
        <v>0</v>
      </c>
      <c r="G392" s="12">
        <v>806100</v>
      </c>
      <c r="H392" s="12">
        <f>F392+G392</f>
        <v>806100</v>
      </c>
      <c r="I392" s="6">
        <f>E392-H392</f>
        <v>-121100</v>
      </c>
      <c r="J392" s="7">
        <f>IFERROR(H392/E392,0)</f>
        <v>1.1767883211678831</v>
      </c>
      <c r="K392" s="5" t="str">
        <f>IF(E392=0,"Sin Plan",IF(J392&gt;=1,"Completado",IF(J392&gt;0.001,"En Progreso","Pendiente de ejecutar")))</f>
        <v>Completado</v>
      </c>
    </row>
    <row r="393" spans="1:11" x14ac:dyDescent="0.35">
      <c r="A393" s="2" t="s">
        <v>150</v>
      </c>
      <c r="B393" s="2" t="s">
        <v>65</v>
      </c>
      <c r="C393" s="2" t="s">
        <v>9</v>
      </c>
      <c r="D393" s="2" t="s">
        <v>10</v>
      </c>
      <c r="E393" s="12">
        <v>462000</v>
      </c>
      <c r="F393" s="12">
        <v>275967.8</v>
      </c>
      <c r="G393" s="12">
        <v>0</v>
      </c>
      <c r="H393" s="12">
        <f>F393+G393</f>
        <v>275967.8</v>
      </c>
      <c r="I393" s="3">
        <f>E393-H393</f>
        <v>186032.2</v>
      </c>
      <c r="J393" s="4">
        <f>IFERROR(H393/E393,0)</f>
        <v>0.59733290043290044</v>
      </c>
      <c r="K393" s="2" t="str">
        <f>IF(E393=0,"Sin Plan",IF(J393&gt;=1,"Completado",IF(J393&gt;0.001,"En Progreso","Pendiente de ejecutar")))</f>
        <v>En Progreso</v>
      </c>
    </row>
    <row r="394" spans="1:11" x14ac:dyDescent="0.35">
      <c r="A394" s="2" t="s">
        <v>150</v>
      </c>
      <c r="B394" s="2" t="s">
        <v>65</v>
      </c>
      <c r="C394" s="2" t="s">
        <v>7</v>
      </c>
      <c r="D394" s="2" t="s">
        <v>8</v>
      </c>
      <c r="E394" s="12">
        <v>222000</v>
      </c>
      <c r="F394" s="12">
        <v>0</v>
      </c>
      <c r="G394" s="12">
        <v>116499.8</v>
      </c>
      <c r="H394" s="12">
        <f>F394+G394</f>
        <v>116499.8</v>
      </c>
      <c r="I394" s="3">
        <f>E394-H394</f>
        <v>105500.2</v>
      </c>
      <c r="J394" s="4">
        <f>IFERROR(H394/E394,0)</f>
        <v>0.52477387387387386</v>
      </c>
      <c r="K394" s="2" t="str">
        <f>IF(E394=0,"Sin Plan",IF(J394&gt;=1,"Completado",IF(J394&gt;0.001,"En Progreso","Pendiente de ejecutar")))</f>
        <v>En Progreso</v>
      </c>
    </row>
    <row r="395" spans="1:11" x14ac:dyDescent="0.35">
      <c r="A395" s="5" t="s">
        <v>150</v>
      </c>
      <c r="B395" s="5" t="s">
        <v>65</v>
      </c>
      <c r="C395" s="5" t="s">
        <v>22</v>
      </c>
      <c r="D395" s="5" t="s">
        <v>23</v>
      </c>
      <c r="E395" s="12">
        <v>126000</v>
      </c>
      <c r="F395" s="12">
        <v>136751.45000000001</v>
      </c>
      <c r="G395" s="12">
        <v>0</v>
      </c>
      <c r="H395" s="12">
        <f>F395+G395</f>
        <v>136751.45000000001</v>
      </c>
      <c r="I395" s="6">
        <f>E395-H395</f>
        <v>-10751.450000000012</v>
      </c>
      <c r="J395" s="7">
        <f>IFERROR(H395/E395,0)</f>
        <v>1.0853289682539684</v>
      </c>
      <c r="K395" s="5" t="str">
        <f>IF(E395=0,"Sin Plan",IF(J395&gt;=1,"Completado",IF(J395&gt;0.001,"En Progreso","Pendiente de ejecutar")))</f>
        <v>Completado</v>
      </c>
    </row>
    <row r="396" spans="1:11" x14ac:dyDescent="0.35">
      <c r="A396" s="5" t="s">
        <v>176</v>
      </c>
      <c r="B396" s="5" t="s">
        <v>60</v>
      </c>
      <c r="C396" s="5" t="s">
        <v>9</v>
      </c>
      <c r="D396" s="5" t="s">
        <v>10</v>
      </c>
      <c r="E396" s="12">
        <v>462000</v>
      </c>
      <c r="F396" s="12">
        <v>275967.8</v>
      </c>
      <c r="G396" s="12">
        <v>0</v>
      </c>
      <c r="H396" s="12">
        <f>F396+G396</f>
        <v>275967.8</v>
      </c>
      <c r="I396" s="6">
        <f>E396-H396</f>
        <v>186032.2</v>
      </c>
      <c r="J396" s="7">
        <f>IFERROR(H396/E396,0)</f>
        <v>0.59733290043290044</v>
      </c>
      <c r="K396" s="5" t="str">
        <f>IF(E396=0,"Sin Plan",IF(J396&gt;=1,"Completado",IF(J396&gt;0.001,"En Progreso","Pendiente de ejecutar")))</f>
        <v>En Progreso</v>
      </c>
    </row>
    <row r="397" spans="1:11" x14ac:dyDescent="0.35">
      <c r="A397" s="5" t="s">
        <v>176</v>
      </c>
      <c r="B397" s="5" t="s">
        <v>60</v>
      </c>
      <c r="C397" s="5" t="s">
        <v>189</v>
      </c>
      <c r="D397" s="5" t="s">
        <v>190</v>
      </c>
      <c r="E397" s="12">
        <v>363000</v>
      </c>
      <c r="F397" s="12">
        <v>116300</v>
      </c>
      <c r="G397" s="12">
        <v>0</v>
      </c>
      <c r="H397" s="12">
        <f>F397+G397</f>
        <v>116300</v>
      </c>
      <c r="I397" s="6">
        <f>E397-H397</f>
        <v>246700</v>
      </c>
      <c r="J397" s="7">
        <f>IFERROR(H397/E397,0)</f>
        <v>0.32038567493112946</v>
      </c>
      <c r="K397" s="5" t="str">
        <f>IF(E397=0,"Sin Plan",IF(J397&gt;=1,"Completado",IF(J397&gt;0.001,"En Progreso","Pendiente de ejecutar")))</f>
        <v>En Progreso</v>
      </c>
    </row>
    <row r="398" spans="1:11" x14ac:dyDescent="0.35">
      <c r="A398" s="2" t="s">
        <v>43</v>
      </c>
      <c r="B398" s="2" t="s">
        <v>44</v>
      </c>
      <c r="C398" s="2" t="s">
        <v>171</v>
      </c>
      <c r="D398" s="2" t="s">
        <v>172</v>
      </c>
      <c r="E398" s="12">
        <v>0</v>
      </c>
      <c r="F398" s="12">
        <v>225082.5</v>
      </c>
      <c r="G398" s="12">
        <v>0</v>
      </c>
      <c r="H398" s="12">
        <f>F398+G398</f>
        <v>225082.5</v>
      </c>
      <c r="I398" s="3">
        <f>E398-H398</f>
        <v>-225082.5</v>
      </c>
      <c r="J398" s="4">
        <f>IFERROR(H398/E398,0)</f>
        <v>0</v>
      </c>
      <c r="K398" s="2" t="str">
        <f>IF(E398=0,"Sin Plan",IF(J398&gt;=1,"Completado",IF(J398&gt;0.001,"En Progreso","Pendiente de ejecutar")))</f>
        <v>Sin Plan</v>
      </c>
    </row>
    <row r="399" spans="1:11" x14ac:dyDescent="0.35">
      <c r="A399" s="2" t="s">
        <v>182</v>
      </c>
      <c r="B399" s="2" t="s">
        <v>46</v>
      </c>
      <c r="C399" s="2" t="s">
        <v>256</v>
      </c>
      <c r="D399" s="2" t="s">
        <v>257</v>
      </c>
      <c r="E399" s="12">
        <v>0</v>
      </c>
      <c r="F399" s="12">
        <v>41362.92</v>
      </c>
      <c r="G399" s="12">
        <v>0</v>
      </c>
      <c r="H399" s="12">
        <f>F399+G399</f>
        <v>41362.92</v>
      </c>
      <c r="I399" s="3">
        <f>E399-H399</f>
        <v>-41362.92</v>
      </c>
      <c r="J399" s="4">
        <f>IFERROR(H399/E399,0)</f>
        <v>0</v>
      </c>
      <c r="K399" s="2" t="str">
        <f>IF(E399=0,"Sin Plan",IF(J399&gt;=1,"Completado",IF(J399&gt;0.001,"En Progreso","Pendiente de ejecutar")))</f>
        <v>Sin Plan</v>
      </c>
    </row>
    <row r="400" spans="1:11" x14ac:dyDescent="0.35">
      <c r="A400" s="5" t="s">
        <v>43</v>
      </c>
      <c r="B400" s="5" t="s">
        <v>44</v>
      </c>
      <c r="C400" s="5" t="s">
        <v>18</v>
      </c>
      <c r="D400" s="5" t="s">
        <v>19</v>
      </c>
      <c r="E400" s="12">
        <v>0</v>
      </c>
      <c r="F400" s="12">
        <v>82500</v>
      </c>
      <c r="G400" s="12">
        <v>118000</v>
      </c>
      <c r="H400" s="12">
        <f>F400+G400</f>
        <v>200500</v>
      </c>
      <c r="I400" s="3">
        <f>E400-H400</f>
        <v>-200500</v>
      </c>
      <c r="J400" s="7">
        <f>IFERROR(H400/E400,0)</f>
        <v>0</v>
      </c>
      <c r="K400" s="5" t="str">
        <f>IF(E400=0,"Sin Plan",IF(J400&gt;=1,"Completado",IF(J400&gt;0.001,"En Progreso","Pendiente de ejecutar")))</f>
        <v>Sin Plan</v>
      </c>
    </row>
    <row r="401" spans="1:11" x14ac:dyDescent="0.35">
      <c r="A401" s="5" t="s">
        <v>176</v>
      </c>
      <c r="B401" s="5" t="s">
        <v>60</v>
      </c>
      <c r="C401" s="5" t="s">
        <v>22</v>
      </c>
      <c r="D401" s="5" t="s">
        <v>23</v>
      </c>
      <c r="E401" s="12">
        <v>132300</v>
      </c>
      <c r="F401" s="12">
        <v>0</v>
      </c>
      <c r="G401" s="12">
        <v>246624.75</v>
      </c>
      <c r="H401" s="12">
        <f>F401+G401</f>
        <v>246624.75</v>
      </c>
      <c r="I401" s="6">
        <f>E401-H401</f>
        <v>-114324.75</v>
      </c>
      <c r="J401" s="7">
        <f>IFERROR(H401/E401,0)</f>
        <v>1.8641326530612246</v>
      </c>
      <c r="K401" s="5" t="str">
        <f>IF(E401=0,"Sin Plan",IF(J401&gt;=1,"Completado",IF(J401&gt;0.001,"En Progreso","Pendiente de ejecutar")))</f>
        <v>Completado</v>
      </c>
    </row>
    <row r="402" spans="1:11" x14ac:dyDescent="0.35">
      <c r="A402" s="5" t="s">
        <v>96</v>
      </c>
      <c r="B402" s="5" t="s">
        <v>55</v>
      </c>
      <c r="C402" s="5" t="s">
        <v>3</v>
      </c>
      <c r="D402" s="5" t="s">
        <v>4</v>
      </c>
      <c r="E402" s="12">
        <v>0</v>
      </c>
      <c r="F402" s="12">
        <v>132462.32</v>
      </c>
      <c r="G402" s="12">
        <v>0</v>
      </c>
      <c r="H402" s="12">
        <f>F402+G402</f>
        <v>132462.32</v>
      </c>
      <c r="I402" s="3">
        <f>E402-H402</f>
        <v>-132462.32</v>
      </c>
      <c r="J402" s="7">
        <f>IFERROR(H402/E402,0)</f>
        <v>0</v>
      </c>
      <c r="K402" s="5" t="str">
        <f>IF(E402=0,"Sin Plan",IF(J402&gt;=1,"Completado",IF(J402&gt;0.001,"En Progreso","Pendiente de ejecutar")))</f>
        <v>Sin Plan</v>
      </c>
    </row>
    <row r="403" spans="1:11" x14ac:dyDescent="0.35">
      <c r="A403" s="5" t="s">
        <v>43</v>
      </c>
      <c r="B403" s="5" t="s">
        <v>44</v>
      </c>
      <c r="C403" s="5" t="s">
        <v>185</v>
      </c>
      <c r="D403" s="5" t="s">
        <v>186</v>
      </c>
      <c r="E403" s="12">
        <v>0</v>
      </c>
      <c r="F403" s="12">
        <v>160264.1</v>
      </c>
      <c r="G403" s="12">
        <v>0</v>
      </c>
      <c r="H403" s="12">
        <f>F403+G403</f>
        <v>160264.1</v>
      </c>
      <c r="I403" s="3">
        <f>E403-H403</f>
        <v>-160264.1</v>
      </c>
      <c r="J403" s="7">
        <f>IFERROR(H403/E403,0)</f>
        <v>0</v>
      </c>
      <c r="K403" s="5" t="str">
        <f>IF(E403=0,"Sin Plan",IF(J403&gt;=1,"Completado",IF(J403&gt;0.001,"En Progreso","Pendiente de ejecutar")))</f>
        <v>Sin Plan</v>
      </c>
    </row>
    <row r="404" spans="1:11" x14ac:dyDescent="0.35">
      <c r="A404" s="2" t="s">
        <v>96</v>
      </c>
      <c r="B404" s="2" t="s">
        <v>55</v>
      </c>
      <c r="C404" s="2" t="s">
        <v>252</v>
      </c>
      <c r="D404" s="2" t="s">
        <v>253</v>
      </c>
      <c r="E404" s="12">
        <v>0</v>
      </c>
      <c r="F404" s="12">
        <v>171706.75</v>
      </c>
      <c r="G404" s="12">
        <v>0</v>
      </c>
      <c r="H404" s="12">
        <f>F404+G404</f>
        <v>171706.75</v>
      </c>
      <c r="I404" s="3">
        <f>E404-H404</f>
        <v>-171706.75</v>
      </c>
      <c r="J404" s="4">
        <f>IFERROR(H404/E404,0)</f>
        <v>0</v>
      </c>
      <c r="K404" s="2" t="str">
        <f>IF(E404=0,"Sin Plan",IF(J404&gt;=1,"Completado",IF(J404&gt;0.001,"En Progreso","Pendiente de ejecutar")))</f>
        <v>Sin Plan</v>
      </c>
    </row>
    <row r="405" spans="1:11" x14ac:dyDescent="0.35">
      <c r="A405" s="2" t="s">
        <v>122</v>
      </c>
      <c r="B405" s="2" t="s">
        <v>53</v>
      </c>
      <c r="C405" s="2" t="s">
        <v>3</v>
      </c>
      <c r="D405" s="2" t="s">
        <v>4</v>
      </c>
      <c r="E405" s="12">
        <v>1605000</v>
      </c>
      <c r="F405" s="12">
        <v>0</v>
      </c>
      <c r="G405" s="12">
        <v>0</v>
      </c>
      <c r="H405" s="12">
        <f>F405+G405</f>
        <v>0</v>
      </c>
      <c r="I405" s="3">
        <f>E405-H405</f>
        <v>1605000</v>
      </c>
      <c r="J405" s="4">
        <f>IFERROR(H405/E405,0)</f>
        <v>0</v>
      </c>
      <c r="K405" s="2" t="str">
        <f>IF(E405=0,"Sin Plan",IF(J405&gt;=1,"Completado",IF(J405&gt;0.001,"En Progreso","Pendiente de ejecutar")))</f>
        <v>Pendiente de ejecutar</v>
      </c>
    </row>
    <row r="406" spans="1:11" s="16" customFormat="1" x14ac:dyDescent="0.35">
      <c r="A406" s="13" t="s">
        <v>43</v>
      </c>
      <c r="B406" s="13" t="s">
        <v>44</v>
      </c>
      <c r="C406" s="13" t="s">
        <v>291</v>
      </c>
      <c r="D406" s="13" t="s">
        <v>292</v>
      </c>
      <c r="E406" s="12">
        <v>0</v>
      </c>
      <c r="F406" s="12">
        <v>0</v>
      </c>
      <c r="G406" s="12">
        <v>663600</v>
      </c>
      <c r="H406" s="12">
        <f>F406+G406</f>
        <v>663600</v>
      </c>
      <c r="I406" s="3">
        <f>E406-H406</f>
        <v>-663600</v>
      </c>
      <c r="J406" s="15">
        <f>IFERROR(H406/E406,0)</f>
        <v>0</v>
      </c>
      <c r="K406" s="13" t="str">
        <f>IF(E406=0,"Sin Plan",IF(J406&gt;=1,"Completado",IF(J406&gt;0.001,"En Progreso","Pendiente de ejecutar")))</f>
        <v>Sin Plan</v>
      </c>
    </row>
    <row r="407" spans="1:11" x14ac:dyDescent="0.35">
      <c r="A407" s="2" t="s">
        <v>96</v>
      </c>
      <c r="B407" s="2" t="s">
        <v>55</v>
      </c>
      <c r="C407" s="2" t="s">
        <v>266</v>
      </c>
      <c r="D407" s="2" t="s">
        <v>267</v>
      </c>
      <c r="E407" s="12">
        <v>0</v>
      </c>
      <c r="F407" s="12">
        <v>158508</v>
      </c>
      <c r="G407" s="12">
        <v>0</v>
      </c>
      <c r="H407" s="12">
        <f>F407+G407</f>
        <v>158508</v>
      </c>
      <c r="I407" s="3">
        <f>E407-H407</f>
        <v>-158508</v>
      </c>
      <c r="J407" s="4">
        <f>IFERROR(H407/E407,0)</f>
        <v>0</v>
      </c>
      <c r="K407" s="2" t="str">
        <f>IF(E407=0,"Sin Plan",IF(J407&gt;=1,"Completado",IF(J407&gt;0.001,"En Progreso","Pendiente de ejecutar")))</f>
        <v>Sin Plan</v>
      </c>
    </row>
    <row r="408" spans="1:11" x14ac:dyDescent="0.35">
      <c r="A408" s="5" t="s">
        <v>176</v>
      </c>
      <c r="B408" s="5" t="s">
        <v>60</v>
      </c>
      <c r="C408" s="5" t="s">
        <v>3</v>
      </c>
      <c r="D408" s="5" t="s">
        <v>4</v>
      </c>
      <c r="E408" s="12">
        <v>0</v>
      </c>
      <c r="F408" s="12">
        <v>300210.71999999997</v>
      </c>
      <c r="G408" s="12">
        <v>0</v>
      </c>
      <c r="H408" s="12">
        <f>F408+G408</f>
        <v>300210.71999999997</v>
      </c>
      <c r="I408" s="6">
        <f>E408-H408</f>
        <v>-300210.71999999997</v>
      </c>
      <c r="J408" s="7">
        <f>IFERROR(H408/E408,0)</f>
        <v>0</v>
      </c>
      <c r="K408" s="5" t="str">
        <f>IF(E408=0,"Sin Plan",IF(J408&gt;=1,"Completado",IF(J408&gt;0.001,"En Progreso","Pendiente de ejecutar")))</f>
        <v>Sin Plan</v>
      </c>
    </row>
    <row r="409" spans="1:11" x14ac:dyDescent="0.35">
      <c r="A409" s="2" t="s">
        <v>151</v>
      </c>
      <c r="B409" s="2" t="s">
        <v>65</v>
      </c>
      <c r="C409" s="2" t="s">
        <v>18</v>
      </c>
      <c r="D409" s="2" t="s">
        <v>19</v>
      </c>
      <c r="E409" s="12">
        <v>685000</v>
      </c>
      <c r="F409" s="12">
        <v>0</v>
      </c>
      <c r="G409" s="12">
        <v>857100</v>
      </c>
      <c r="H409" s="12">
        <f>F409+G409</f>
        <v>857100</v>
      </c>
      <c r="I409" s="3">
        <f>E409-H409</f>
        <v>-172100</v>
      </c>
      <c r="J409" s="4">
        <f>IFERROR(H409/E409,0)</f>
        <v>1.2512408759124087</v>
      </c>
      <c r="K409" s="2" t="str">
        <f>IF(E409=0,"Sin Plan",IF(J409&gt;=1,"Completado",IF(J409&gt;0.001,"En Progreso","Pendiente de ejecutar")))</f>
        <v>Completado</v>
      </c>
    </row>
    <row r="410" spans="1:11" x14ac:dyDescent="0.35">
      <c r="A410" s="5" t="s">
        <v>49</v>
      </c>
      <c r="B410" s="5" t="s">
        <v>44</v>
      </c>
      <c r="C410" s="5" t="s">
        <v>2</v>
      </c>
      <c r="D410" s="2" t="s">
        <v>299</v>
      </c>
      <c r="E410" s="12">
        <v>13935000</v>
      </c>
      <c r="F410" s="12">
        <f>17067.28*3</f>
        <v>51201.84</v>
      </c>
      <c r="G410" s="12">
        <v>7818647.7199999997</v>
      </c>
      <c r="H410" s="12">
        <f>F410+G410</f>
        <v>7869849.5599999996</v>
      </c>
      <c r="I410" s="3">
        <f>E410-H410</f>
        <v>6065150.4400000004</v>
      </c>
      <c r="J410" s="7">
        <f>IFERROR(H410/E410,0)</f>
        <v>0.56475418442769998</v>
      </c>
      <c r="K410" s="5" t="str">
        <f>IF(E410=0,"Sin Plan",IF(J410&gt;=1,"Completado",IF(J410&gt;0.001,"En Progreso","Pendiente de ejecutar")))</f>
        <v>En Progreso</v>
      </c>
    </row>
    <row r="411" spans="1:11" x14ac:dyDescent="0.35">
      <c r="A411" s="2" t="s">
        <v>151</v>
      </c>
      <c r="B411" s="2" t="s">
        <v>65</v>
      </c>
      <c r="C411" s="2" t="s">
        <v>9</v>
      </c>
      <c r="D411" s="2" t="s">
        <v>10</v>
      </c>
      <c r="E411" s="12">
        <v>462000</v>
      </c>
      <c r="F411" s="12">
        <v>307823.46999999997</v>
      </c>
      <c r="G411" s="12">
        <v>0</v>
      </c>
      <c r="H411" s="12">
        <f>F411+G411</f>
        <v>307823.46999999997</v>
      </c>
      <c r="I411" s="3">
        <f>E411-H411</f>
        <v>154176.53000000003</v>
      </c>
      <c r="J411" s="4">
        <f>IFERROR(H411/E411,0)</f>
        <v>0.66628456709956707</v>
      </c>
      <c r="K411" s="2" t="str">
        <f>IF(E411=0,"Sin Plan",IF(J411&gt;=1,"Completado",IF(J411&gt;0.001,"En Progreso","Pendiente de ejecutar")))</f>
        <v>En Progreso</v>
      </c>
    </row>
    <row r="412" spans="1:11" x14ac:dyDescent="0.35">
      <c r="A412" s="5" t="s">
        <v>96</v>
      </c>
      <c r="B412" s="5" t="s">
        <v>55</v>
      </c>
      <c r="C412" s="5" t="s">
        <v>219</v>
      </c>
      <c r="D412" s="5" t="s">
        <v>220</v>
      </c>
      <c r="E412" s="12">
        <v>0</v>
      </c>
      <c r="F412" s="12">
        <v>131745.45000000001</v>
      </c>
      <c r="G412" s="12">
        <v>0</v>
      </c>
      <c r="H412" s="12">
        <f>F412+G412</f>
        <v>131745.45000000001</v>
      </c>
      <c r="I412" s="3">
        <f>E412-H412</f>
        <v>-131745.45000000001</v>
      </c>
      <c r="J412" s="7">
        <f>IFERROR(H412/E412,0)</f>
        <v>0</v>
      </c>
      <c r="K412" s="5" t="str">
        <f>IF(E412=0,"Sin Plan",IF(J412&gt;=1,"Completado",IF(J412&gt;0.001,"En Progreso","Pendiente de ejecutar")))</f>
        <v>Sin Plan</v>
      </c>
    </row>
    <row r="413" spans="1:11" x14ac:dyDescent="0.35">
      <c r="A413" s="2" t="s">
        <v>151</v>
      </c>
      <c r="B413" s="2" t="s">
        <v>65</v>
      </c>
      <c r="C413" s="2" t="s">
        <v>7</v>
      </c>
      <c r="D413" s="2" t="s">
        <v>8</v>
      </c>
      <c r="E413" s="12">
        <v>221676</v>
      </c>
      <c r="F413" s="12">
        <v>0</v>
      </c>
      <c r="G413" s="12">
        <v>0</v>
      </c>
      <c r="H413" s="12">
        <f>F413+G413</f>
        <v>0</v>
      </c>
      <c r="I413" s="3">
        <f>E413-H413</f>
        <v>221676</v>
      </c>
      <c r="J413" s="4">
        <f>IFERROR(H413/E413,0)</f>
        <v>0</v>
      </c>
      <c r="K413" s="2" t="str">
        <f>IF(E413=0,"Sin Plan",IF(J413&gt;=1,"Completado",IF(J413&gt;0.001,"En Progreso","Pendiente de ejecutar")))</f>
        <v>Pendiente de ejecutar</v>
      </c>
    </row>
    <row r="414" spans="1:11" x14ac:dyDescent="0.35">
      <c r="A414" s="2" t="s">
        <v>151</v>
      </c>
      <c r="B414" s="2" t="s">
        <v>65</v>
      </c>
      <c r="C414" s="2" t="s">
        <v>22</v>
      </c>
      <c r="D414" s="2" t="s">
        <v>23</v>
      </c>
      <c r="E414" s="12">
        <v>126000</v>
      </c>
      <c r="F414" s="12">
        <v>0</v>
      </c>
      <c r="G414" s="12">
        <v>246624.75</v>
      </c>
      <c r="H414" s="12">
        <f>F414+G414</f>
        <v>246624.75</v>
      </c>
      <c r="I414" s="3">
        <f>E414-H414</f>
        <v>-120624.75</v>
      </c>
      <c r="J414" s="4">
        <f>IFERROR(H414/E414,0)</f>
        <v>1.9573392857142857</v>
      </c>
      <c r="K414" s="2" t="str">
        <f>IF(E414=0,"Sin Plan",IF(J414&gt;=1,"Completado",IF(J414&gt;0.001,"En Progreso","Pendiente de ejecutar")))</f>
        <v>Completado</v>
      </c>
    </row>
    <row r="415" spans="1:11" x14ac:dyDescent="0.35">
      <c r="A415" s="5" t="s">
        <v>151</v>
      </c>
      <c r="B415" s="5" t="s">
        <v>65</v>
      </c>
      <c r="C415" s="5" t="s">
        <v>13</v>
      </c>
      <c r="D415" s="5" t="s">
        <v>14</v>
      </c>
      <c r="E415" s="12">
        <v>46800</v>
      </c>
      <c r="F415" s="12">
        <v>48099.51</v>
      </c>
      <c r="G415" s="12">
        <v>0</v>
      </c>
      <c r="H415" s="12">
        <f>F415+G415</f>
        <v>48099.51</v>
      </c>
      <c r="I415" s="6">
        <f>E415-H415</f>
        <v>-1299.510000000002</v>
      </c>
      <c r="J415" s="7">
        <f>IFERROR(H415/E415,0)</f>
        <v>1.0277673076923077</v>
      </c>
      <c r="K415" s="5" t="str">
        <f>IF(E415=0,"Sin Plan",IF(J415&gt;=1,"Completado",IF(J415&gt;0.001,"En Progreso","Pendiente de ejecutar")))</f>
        <v>Completado</v>
      </c>
    </row>
    <row r="416" spans="1:11" x14ac:dyDescent="0.35">
      <c r="A416" s="2" t="s">
        <v>96</v>
      </c>
      <c r="B416" s="2" t="s">
        <v>55</v>
      </c>
      <c r="C416" s="2" t="s">
        <v>178</v>
      </c>
      <c r="D416" s="2" t="s">
        <v>179</v>
      </c>
      <c r="E416" s="12">
        <v>0</v>
      </c>
      <c r="F416" s="12">
        <v>506600</v>
      </c>
      <c r="H416" s="12">
        <f>F416+G416</f>
        <v>506600</v>
      </c>
      <c r="I416" s="3">
        <f>E416-H416</f>
        <v>-506600</v>
      </c>
      <c r="J416" s="4">
        <f>IFERROR(H416/E416,0)</f>
        <v>0</v>
      </c>
      <c r="K416" s="2" t="str">
        <f>IF(E416=0,"Sin Plan",IF(J416&gt;=1,"Completado",IF(J416&gt;0.001,"En Progreso","Pendiente de ejecutar")))</f>
        <v>Sin Plan</v>
      </c>
    </row>
    <row r="417" spans="1:11" s="16" customFormat="1" x14ac:dyDescent="0.35">
      <c r="A417" s="13" t="s">
        <v>45</v>
      </c>
      <c r="B417" s="13" t="s">
        <v>46</v>
      </c>
      <c r="C417" s="13" t="s">
        <v>2</v>
      </c>
      <c r="D417" s="13" t="s">
        <v>299</v>
      </c>
      <c r="E417" s="12">
        <v>21240000</v>
      </c>
      <c r="F417" s="12">
        <v>0</v>
      </c>
      <c r="G417" s="12">
        <v>0</v>
      </c>
      <c r="H417" s="12">
        <f>F417+G417</f>
        <v>0</v>
      </c>
      <c r="I417" s="3">
        <f>E417-H417</f>
        <v>21240000</v>
      </c>
      <c r="J417" s="15">
        <f>IFERROR(H417/E417,0)</f>
        <v>0</v>
      </c>
      <c r="K417" s="13" t="str">
        <f>IF(E417=0,"Sin Plan",IF(J417&gt;=1,"Completado",IF(J417&gt;0.001,"En Progreso","Pendiente de ejecutar")))</f>
        <v>Pendiente de ejecutar</v>
      </c>
    </row>
    <row r="418" spans="1:11" x14ac:dyDescent="0.35">
      <c r="A418" s="5" t="s">
        <v>96</v>
      </c>
      <c r="B418" s="5" t="s">
        <v>55</v>
      </c>
      <c r="C418" s="5" t="s">
        <v>18</v>
      </c>
      <c r="D418" s="5" t="s">
        <v>19</v>
      </c>
      <c r="E418" s="12">
        <v>0</v>
      </c>
      <c r="F418" s="12">
        <v>0</v>
      </c>
      <c r="G418" s="12">
        <v>2148000</v>
      </c>
      <c r="H418" s="12">
        <f>F418+G418</f>
        <v>2148000</v>
      </c>
      <c r="I418" s="3">
        <f>E418-H418</f>
        <v>-2148000</v>
      </c>
      <c r="J418" s="7">
        <f>IFERROR(H418/E418,0)</f>
        <v>0</v>
      </c>
      <c r="K418" s="5" t="str">
        <f>IF(E418=0,"Sin Plan",IF(J418&gt;=1,"Completado",IF(J418&gt;0.001,"En Progreso","Pendiente de ejecutar")))</f>
        <v>Sin Plan</v>
      </c>
    </row>
    <row r="419" spans="1:11" x14ac:dyDescent="0.35">
      <c r="A419" s="2" t="s">
        <v>151</v>
      </c>
      <c r="B419" s="2" t="s">
        <v>65</v>
      </c>
      <c r="C419" s="2" t="s">
        <v>208</v>
      </c>
      <c r="D419" s="2" t="s">
        <v>209</v>
      </c>
      <c r="E419" s="12">
        <v>0</v>
      </c>
      <c r="F419" s="12">
        <v>302580</v>
      </c>
      <c r="G419" s="12">
        <v>0</v>
      </c>
      <c r="H419" s="12">
        <f>F419+G419</f>
        <v>302580</v>
      </c>
      <c r="I419" s="3">
        <f>E419-H419</f>
        <v>-302580</v>
      </c>
      <c r="J419" s="4">
        <f>IFERROR(H419/E419,0)</f>
        <v>0</v>
      </c>
      <c r="K419" s="2" t="str">
        <f>IF(E419=0,"Sin Plan",IF(J419&gt;=1,"Completado",IF(J419&gt;0.001,"En Progreso","Pendiente de ejecutar")))</f>
        <v>Sin Plan</v>
      </c>
    </row>
    <row r="420" spans="1:11" x14ac:dyDescent="0.35">
      <c r="A420" s="2" t="s">
        <v>49</v>
      </c>
      <c r="B420" s="2" t="s">
        <v>44</v>
      </c>
      <c r="C420" s="2" t="s">
        <v>3</v>
      </c>
      <c r="D420" s="2" t="s">
        <v>4</v>
      </c>
      <c r="E420" s="12">
        <v>2000000</v>
      </c>
      <c r="F420" s="12">
        <v>0</v>
      </c>
      <c r="G420" s="12">
        <v>967587.5</v>
      </c>
      <c r="H420" s="12">
        <f>F420+G420</f>
        <v>967587.5</v>
      </c>
      <c r="I420" s="3">
        <f>E420-H420</f>
        <v>1032412.5</v>
      </c>
      <c r="J420" s="4">
        <f>IFERROR(H420/E420,0)</f>
        <v>0.48379375000000002</v>
      </c>
      <c r="K420" s="2" t="str">
        <f>IF(E420=0,"Sin Plan",IF(J420&gt;=1,"Completado",IF(J420&gt;0.001,"En Progreso","Pendiente de ejecutar")))</f>
        <v>En Progreso</v>
      </c>
    </row>
    <row r="421" spans="1:11" x14ac:dyDescent="0.35">
      <c r="A421" s="5" t="s">
        <v>49</v>
      </c>
      <c r="B421" s="5" t="s">
        <v>44</v>
      </c>
      <c r="C421" s="5" t="s">
        <v>24</v>
      </c>
      <c r="D421" s="5" t="s">
        <v>25</v>
      </c>
      <c r="E421" s="12">
        <v>1620000</v>
      </c>
      <c r="F421" s="12">
        <v>0</v>
      </c>
      <c r="G421" s="12">
        <v>0</v>
      </c>
      <c r="H421" s="12">
        <f>F421+G421</f>
        <v>0</v>
      </c>
      <c r="I421" s="3">
        <f>E421-H421</f>
        <v>1620000</v>
      </c>
      <c r="J421" s="7">
        <f>IFERROR(H421/E421,0)</f>
        <v>0</v>
      </c>
      <c r="K421" s="5" t="str">
        <f>IF(E421=0,"Sin Plan",IF(J421&gt;=1,"Completado",IF(J421&gt;0.001,"En Progreso","Pendiente de ejecutar")))</f>
        <v>Pendiente de ejecutar</v>
      </c>
    </row>
    <row r="422" spans="1:11" x14ac:dyDescent="0.35">
      <c r="A422" s="5" t="s">
        <v>125</v>
      </c>
      <c r="B422" s="5" t="s">
        <v>65</v>
      </c>
      <c r="C422" s="5" t="s">
        <v>2</v>
      </c>
      <c r="D422" s="2" t="s">
        <v>299</v>
      </c>
      <c r="E422" s="12">
        <v>1526000</v>
      </c>
      <c r="F422" s="12">
        <v>362832.36</v>
      </c>
      <c r="G422" s="12">
        <v>0</v>
      </c>
      <c r="H422" s="12">
        <f>F422+G422</f>
        <v>362832.36</v>
      </c>
      <c r="I422" s="6">
        <f>E422-H422</f>
        <v>1163167.6400000001</v>
      </c>
      <c r="J422" s="7">
        <f>IFERROR(H422/E422,0)</f>
        <v>0.23776694626474443</v>
      </c>
      <c r="K422" s="5" t="str">
        <f>IF(E422=0,"Sin Plan",IF(J422&gt;=1,"Completado",IF(J422&gt;0.001,"En Progreso","Pendiente de ejecutar")))</f>
        <v>En Progreso</v>
      </c>
    </row>
    <row r="423" spans="1:11" x14ac:dyDescent="0.35">
      <c r="A423" s="5" t="s">
        <v>125</v>
      </c>
      <c r="B423" s="5" t="s">
        <v>65</v>
      </c>
      <c r="C423" s="5" t="s">
        <v>18</v>
      </c>
      <c r="D423" s="5" t="s">
        <v>19</v>
      </c>
      <c r="E423" s="12">
        <v>685000</v>
      </c>
      <c r="F423" s="12">
        <v>0</v>
      </c>
      <c r="G423" s="12">
        <v>800100</v>
      </c>
      <c r="H423" s="12">
        <f>F423+G423</f>
        <v>800100</v>
      </c>
      <c r="I423" s="6">
        <f>E423-H423</f>
        <v>-115100</v>
      </c>
      <c r="J423" s="7">
        <f>IFERROR(H423/E423,0)</f>
        <v>1.1680291970802921</v>
      </c>
      <c r="K423" s="5" t="str">
        <f>IF(E423=0,"Sin Plan",IF(J423&gt;=1,"Completado",IF(J423&gt;0.001,"En Progreso","Pendiente de ejecutar")))</f>
        <v>Completado</v>
      </c>
    </row>
    <row r="424" spans="1:11" x14ac:dyDescent="0.35">
      <c r="A424" s="2" t="s">
        <v>49</v>
      </c>
      <c r="B424" s="2" t="s">
        <v>44</v>
      </c>
      <c r="C424" s="2" t="s">
        <v>22</v>
      </c>
      <c r="D424" s="2" t="s">
        <v>23</v>
      </c>
      <c r="E424" s="12">
        <v>252000</v>
      </c>
      <c r="F424" s="12">
        <v>0</v>
      </c>
      <c r="G424" s="12">
        <v>246624.75</v>
      </c>
      <c r="H424" s="12">
        <f>F424+G424</f>
        <v>246624.75</v>
      </c>
      <c r="I424" s="3">
        <f>E424-H424</f>
        <v>5375.25</v>
      </c>
      <c r="J424" s="4">
        <f>IFERROR(H424/E424,0)</f>
        <v>0.97866964285714286</v>
      </c>
      <c r="K424" s="2" t="str">
        <f>IF(E424=0,"Sin Plan",IF(J424&gt;=1,"Completado",IF(J424&gt;0.001,"En Progreso","Pendiente de ejecutar")))</f>
        <v>En Progreso</v>
      </c>
    </row>
    <row r="425" spans="1:11" x14ac:dyDescent="0.35">
      <c r="A425" s="5" t="s">
        <v>122</v>
      </c>
      <c r="B425" s="5" t="s">
        <v>53</v>
      </c>
      <c r="C425" s="5" t="s">
        <v>103</v>
      </c>
      <c r="D425" s="5" t="s">
        <v>104</v>
      </c>
      <c r="E425" s="12">
        <v>820000</v>
      </c>
      <c r="F425" s="12">
        <v>0</v>
      </c>
      <c r="G425" s="12">
        <v>0</v>
      </c>
      <c r="H425" s="12">
        <f>F425+G425</f>
        <v>0</v>
      </c>
      <c r="I425" s="6">
        <f>E425-H425</f>
        <v>820000</v>
      </c>
      <c r="J425" s="7">
        <f>IFERROR(H425/E425,0)</f>
        <v>0</v>
      </c>
      <c r="K425" s="5" t="str">
        <f>IF(E425=0,"Sin Plan",IF(J425&gt;=1,"Completado",IF(J425&gt;0.001,"En Progreso","Pendiente de ejecutar")))</f>
        <v>Pendiente de ejecutar</v>
      </c>
    </row>
    <row r="426" spans="1:11" x14ac:dyDescent="0.35">
      <c r="A426" s="2" t="s">
        <v>122</v>
      </c>
      <c r="B426" s="2" t="s">
        <v>53</v>
      </c>
      <c r="C426" s="2" t="s">
        <v>171</v>
      </c>
      <c r="D426" s="2" t="s">
        <v>172</v>
      </c>
      <c r="E426" s="12">
        <v>491000</v>
      </c>
      <c r="F426" s="12">
        <v>0</v>
      </c>
      <c r="G426" s="12">
        <v>479452.75</v>
      </c>
      <c r="H426" s="12">
        <f>F426+G426</f>
        <v>479452.75</v>
      </c>
      <c r="I426" s="3">
        <f>E426-H426</f>
        <v>11547.25</v>
      </c>
      <c r="J426" s="4">
        <f>IFERROR(H426/E426,0)</f>
        <v>0.97648217922606928</v>
      </c>
      <c r="K426" s="2" t="str">
        <f>IF(E426=0,"Sin Plan",IF(J426&gt;=1,"Completado",IF(J426&gt;0.001,"En Progreso","Pendiente de ejecutar")))</f>
        <v>En Progreso</v>
      </c>
    </row>
    <row r="427" spans="1:11" x14ac:dyDescent="0.35">
      <c r="A427" s="2" t="s">
        <v>45</v>
      </c>
      <c r="B427" s="2" t="s">
        <v>46</v>
      </c>
      <c r="C427" s="2" t="s">
        <v>120</v>
      </c>
      <c r="D427" s="2" t="s">
        <v>121</v>
      </c>
      <c r="E427" s="12">
        <v>374000</v>
      </c>
      <c r="F427" s="12">
        <v>81650</v>
      </c>
      <c r="G427" s="12">
        <v>0</v>
      </c>
      <c r="H427" s="12">
        <f>F427+G427</f>
        <v>81650</v>
      </c>
      <c r="I427" s="3">
        <f>E427-H427</f>
        <v>292350</v>
      </c>
      <c r="J427" s="4">
        <f>IFERROR(H427/E427,0)</f>
        <v>0.21831550802139038</v>
      </c>
      <c r="K427" s="2" t="str">
        <f>IF(E427=0,"Sin Plan",IF(J427&gt;=1,"Completado",IF(J427&gt;0.001,"En Progreso","Pendiente de ejecutar")))</f>
        <v>En Progreso</v>
      </c>
    </row>
    <row r="428" spans="1:11" x14ac:dyDescent="0.35">
      <c r="A428" s="2" t="s">
        <v>49</v>
      </c>
      <c r="B428" s="2" t="s">
        <v>44</v>
      </c>
      <c r="C428" s="2" t="s">
        <v>202</v>
      </c>
      <c r="D428" s="2" t="s">
        <v>203</v>
      </c>
      <c r="E428" s="12">
        <v>245000</v>
      </c>
      <c r="F428" s="12">
        <v>218568.22</v>
      </c>
      <c r="G428" s="12">
        <v>0</v>
      </c>
      <c r="H428" s="12">
        <f>F428+G428</f>
        <v>218568.22</v>
      </c>
      <c r="I428" s="3">
        <f>E428-H428</f>
        <v>26431.78</v>
      </c>
      <c r="J428" s="4">
        <f>IFERROR(H428/E428,0)</f>
        <v>0.89211518367346943</v>
      </c>
      <c r="K428" s="2" t="str">
        <f>IF(E428=0,"Sin Plan",IF(J428&gt;=1,"Completado",IF(J428&gt;0.001,"En Progreso","Pendiente de ejecutar")))</f>
        <v>En Progreso</v>
      </c>
    </row>
    <row r="429" spans="1:11" x14ac:dyDescent="0.35">
      <c r="A429" s="5" t="s">
        <v>96</v>
      </c>
      <c r="B429" s="5" t="s">
        <v>55</v>
      </c>
      <c r="C429" s="5" t="s">
        <v>185</v>
      </c>
      <c r="D429" s="5" t="s">
        <v>186</v>
      </c>
      <c r="E429" s="12">
        <v>0</v>
      </c>
      <c r="F429" s="12">
        <v>0</v>
      </c>
      <c r="H429" s="12">
        <f>F429+G429</f>
        <v>0</v>
      </c>
      <c r="I429" s="3">
        <f>E429-H429</f>
        <v>0</v>
      </c>
      <c r="J429" s="7">
        <f>IFERROR(H429/E429,0)</f>
        <v>0</v>
      </c>
      <c r="K429" s="5" t="str">
        <f>IF(E429=0,"Sin Plan",IF(J429&gt;=1,"Completado",IF(J429&gt;0.001,"En Progreso","Pendiente de ejecutar")))</f>
        <v>Sin Plan</v>
      </c>
    </row>
    <row r="430" spans="1:11" x14ac:dyDescent="0.35">
      <c r="A430" s="2" t="s">
        <v>49</v>
      </c>
      <c r="B430" s="2" t="s">
        <v>44</v>
      </c>
      <c r="C430" s="2" t="s">
        <v>158</v>
      </c>
      <c r="D430" s="2" t="s">
        <v>159</v>
      </c>
      <c r="E430" s="12">
        <v>130000</v>
      </c>
      <c r="F430" s="12">
        <v>98659.839999999997</v>
      </c>
      <c r="G430" s="12">
        <v>0</v>
      </c>
      <c r="H430" s="12">
        <f>F430+G430</f>
        <v>98659.839999999997</v>
      </c>
      <c r="I430" s="3">
        <f>E430-H430</f>
        <v>31340.160000000003</v>
      </c>
      <c r="J430" s="4">
        <f>IFERROR(H430/E430,0)</f>
        <v>0.75892184615384617</v>
      </c>
      <c r="K430" s="2" t="str">
        <f>IF(E430=0,"Sin Plan",IF(J430&gt;=1,"Completado",IF(J430&gt;0.001,"En Progreso","Pendiente de ejecutar")))</f>
        <v>En Progreso</v>
      </c>
    </row>
    <row r="431" spans="1:11" x14ac:dyDescent="0.35">
      <c r="A431" s="5" t="s">
        <v>45</v>
      </c>
      <c r="B431" s="5" t="s">
        <v>46</v>
      </c>
      <c r="C431" s="5" t="s">
        <v>211</v>
      </c>
      <c r="D431" s="5" t="s">
        <v>212</v>
      </c>
      <c r="E431" s="12">
        <v>166400</v>
      </c>
      <c r="F431" s="12">
        <v>137608.89000000001</v>
      </c>
      <c r="G431" s="12">
        <v>0</v>
      </c>
      <c r="H431" s="12">
        <f>F431+G431</f>
        <v>137608.89000000001</v>
      </c>
      <c r="I431" s="3">
        <f>E431-H431</f>
        <v>28791.109999999986</v>
      </c>
      <c r="J431" s="7">
        <f>IFERROR(H431/E431,0)</f>
        <v>0.82697650240384624</v>
      </c>
      <c r="K431" s="5" t="str">
        <f>IF(E431=0,"Sin Plan",IF(J431&gt;=1,"Completado",IF(J431&gt;0.001,"En Progreso","Pendiente de ejecutar")))</f>
        <v>En Progreso</v>
      </c>
    </row>
    <row r="432" spans="1:11" x14ac:dyDescent="0.35">
      <c r="A432" s="2" t="s">
        <v>45</v>
      </c>
      <c r="B432" s="2" t="s">
        <v>46</v>
      </c>
      <c r="C432" s="2" t="s">
        <v>162</v>
      </c>
      <c r="D432" s="2" t="s">
        <v>163</v>
      </c>
      <c r="E432" s="12">
        <v>17500</v>
      </c>
      <c r="F432" s="12">
        <v>0</v>
      </c>
      <c r="G432" s="12">
        <v>0</v>
      </c>
      <c r="H432" s="12">
        <f>F432+G432</f>
        <v>0</v>
      </c>
      <c r="I432" s="3">
        <f>E432-H432</f>
        <v>17500</v>
      </c>
      <c r="J432" s="4">
        <f>IFERROR(H432/E432,0)</f>
        <v>0</v>
      </c>
      <c r="K432" s="2" t="str">
        <f>IF(E432=0,"Sin Plan",IF(J432&gt;=1,"Completado",IF(J432&gt;0.001,"En Progreso","Pendiente de ejecutar")))</f>
        <v>Pendiente de ejecutar</v>
      </c>
    </row>
    <row r="433" spans="1:11" x14ac:dyDescent="0.35">
      <c r="A433" s="2" t="s">
        <v>45</v>
      </c>
      <c r="B433" s="2" t="s">
        <v>46</v>
      </c>
      <c r="C433" s="2"/>
      <c r="D433" s="2" t="s">
        <v>300</v>
      </c>
      <c r="F433" s="12">
        <v>106973.73</v>
      </c>
      <c r="I433" s="3">
        <f>E433-H433</f>
        <v>0</v>
      </c>
      <c r="J433" s="4"/>
      <c r="K433" s="2"/>
    </row>
    <row r="434" spans="1:11" s="16" customFormat="1" x14ac:dyDescent="0.35">
      <c r="A434" s="13" t="s">
        <v>45</v>
      </c>
      <c r="B434" s="13" t="s">
        <v>46</v>
      </c>
      <c r="C434" s="13" t="s">
        <v>22</v>
      </c>
      <c r="D434" s="13" t="s">
        <v>23</v>
      </c>
      <c r="E434" s="12">
        <v>0</v>
      </c>
      <c r="F434" s="12">
        <v>0</v>
      </c>
      <c r="G434" s="12">
        <v>246624.75</v>
      </c>
      <c r="H434" s="12">
        <f>F434+G434</f>
        <v>246624.75</v>
      </c>
      <c r="I434" s="3">
        <f>E434-H434</f>
        <v>-246624.75</v>
      </c>
      <c r="J434" s="15">
        <f>IFERROR(H434/E434,0)</f>
        <v>0</v>
      </c>
      <c r="K434" s="13" t="str">
        <f>IF(E434=0,"Sin Plan",IF(J434&gt;=1,"Completado",IF(J434&gt;0.001,"En Progreso","Pendiente de ejecutar")))</f>
        <v>Sin Plan</v>
      </c>
    </row>
    <row r="435" spans="1:11" x14ac:dyDescent="0.35">
      <c r="A435" s="5" t="s">
        <v>49</v>
      </c>
      <c r="B435" s="5" t="s">
        <v>44</v>
      </c>
      <c r="C435" s="5" t="s">
        <v>221</v>
      </c>
      <c r="D435" s="5" t="s">
        <v>222</v>
      </c>
      <c r="E435" s="12">
        <v>112000</v>
      </c>
      <c r="F435" s="12">
        <v>0</v>
      </c>
      <c r="G435" s="12">
        <v>0</v>
      </c>
      <c r="H435" s="12">
        <f>F435+G435</f>
        <v>0</v>
      </c>
      <c r="I435" s="3">
        <f>E435-H435</f>
        <v>112000</v>
      </c>
      <c r="J435" s="7">
        <f>IFERROR(H435/E435,0)</f>
        <v>0</v>
      </c>
      <c r="K435" s="5" t="str">
        <f>IF(E435=0,"Sin Plan",IF(J435&gt;=1,"Completado",IF(J435&gt;0.001,"En Progreso","Pendiente de ejecutar")))</f>
        <v>Pendiente de ejecutar</v>
      </c>
    </row>
    <row r="436" spans="1:11" x14ac:dyDescent="0.35">
      <c r="A436" s="2" t="s">
        <v>122</v>
      </c>
      <c r="B436" s="2" t="s">
        <v>53</v>
      </c>
      <c r="C436" s="2" t="s">
        <v>120</v>
      </c>
      <c r="D436" s="2" t="s">
        <v>121</v>
      </c>
      <c r="E436" s="12">
        <v>328500</v>
      </c>
      <c r="F436" s="12">
        <v>0</v>
      </c>
      <c r="G436" s="12">
        <v>0</v>
      </c>
      <c r="H436" s="12">
        <f>F436+G436</f>
        <v>0</v>
      </c>
      <c r="I436" s="3">
        <f>E436-H436</f>
        <v>328500</v>
      </c>
      <c r="J436" s="4">
        <f>IFERROR(H436/E436,0)</f>
        <v>0</v>
      </c>
      <c r="K436" s="2" t="str">
        <f>IF(E436=0,"Sin Plan",IF(J436&gt;=1,"Completado",IF(J436&gt;0.001,"En Progreso","Pendiente de ejecutar")))</f>
        <v>Pendiente de ejecutar</v>
      </c>
    </row>
    <row r="437" spans="1:11" x14ac:dyDescent="0.35">
      <c r="A437" s="2" t="s">
        <v>122</v>
      </c>
      <c r="B437" s="2" t="s">
        <v>53</v>
      </c>
      <c r="C437" s="2" t="s">
        <v>193</v>
      </c>
      <c r="D437" s="2" t="s">
        <v>194</v>
      </c>
      <c r="E437" s="12">
        <v>310000</v>
      </c>
      <c r="F437" s="12">
        <v>0</v>
      </c>
      <c r="G437" s="12">
        <v>205239.74</v>
      </c>
      <c r="H437" s="12">
        <f>F437+G437</f>
        <v>205239.74</v>
      </c>
      <c r="I437" s="3">
        <f>E437-H437</f>
        <v>104760.26000000001</v>
      </c>
      <c r="J437" s="4">
        <f>IFERROR(H437/E437,0)</f>
        <v>0.66206367741935479</v>
      </c>
      <c r="K437" s="2" t="str">
        <f>IF(E437=0,"Sin Plan",IF(J437&gt;=1,"Completado",IF(J437&gt;0.001,"En Progreso","Pendiente de ejecutar")))</f>
        <v>En Progreso</v>
      </c>
    </row>
    <row r="438" spans="1:11" x14ac:dyDescent="0.35">
      <c r="A438" s="2" t="s">
        <v>49</v>
      </c>
      <c r="B438" s="2" t="s">
        <v>44</v>
      </c>
      <c r="C438" s="2" t="s">
        <v>162</v>
      </c>
      <c r="D438" s="2" t="s">
        <v>163</v>
      </c>
      <c r="E438" s="12">
        <v>20000</v>
      </c>
      <c r="F438" s="12">
        <v>0</v>
      </c>
      <c r="G438" s="12">
        <v>0</v>
      </c>
      <c r="H438" s="12">
        <f>F438+G438</f>
        <v>0</v>
      </c>
      <c r="I438" s="3">
        <f>E438-H438</f>
        <v>20000</v>
      </c>
      <c r="J438" s="4">
        <f>IFERROR(H438/E438,0)</f>
        <v>0</v>
      </c>
      <c r="K438" s="2" t="str">
        <f>IF(E438=0,"Sin Plan",IF(J438&gt;=1,"Completado",IF(J438&gt;0.001,"En Progreso","Pendiente de ejecutar")))</f>
        <v>Pendiente de ejecutar</v>
      </c>
    </row>
    <row r="439" spans="1:11" x14ac:dyDescent="0.35">
      <c r="A439" s="2" t="s">
        <v>96</v>
      </c>
      <c r="B439" s="2" t="s">
        <v>55</v>
      </c>
      <c r="C439" s="2" t="s">
        <v>22</v>
      </c>
      <c r="D439" s="2" t="s">
        <v>23</v>
      </c>
      <c r="E439" s="12">
        <v>0</v>
      </c>
      <c r="F439" s="12">
        <v>534848.42000000004</v>
      </c>
      <c r="G439" s="12">
        <v>246624.75</v>
      </c>
      <c r="H439" s="12">
        <f>F439+G439</f>
        <v>781473.17</v>
      </c>
      <c r="I439" s="3">
        <f>E439-H439</f>
        <v>-781473.17</v>
      </c>
      <c r="J439" s="4">
        <f>IFERROR(H439/E439,0)</f>
        <v>0</v>
      </c>
      <c r="K439" s="2" t="str">
        <f>IF(E439=0,"Sin Plan",IF(J439&gt;=1,"Completado",IF(J439&gt;0.001,"En Progreso","Pendiente de ejecutar")))</f>
        <v>Sin Plan</v>
      </c>
    </row>
    <row r="440" spans="1:11" x14ac:dyDescent="0.35">
      <c r="A440" s="2" t="s">
        <v>49</v>
      </c>
      <c r="B440" s="2" t="s">
        <v>44</v>
      </c>
      <c r="C440" s="2" t="s">
        <v>287</v>
      </c>
      <c r="D440" s="2" t="s">
        <v>288</v>
      </c>
      <c r="E440" s="12">
        <v>0</v>
      </c>
      <c r="F440" s="12">
        <v>0</v>
      </c>
      <c r="G440" s="12">
        <v>520823.23</v>
      </c>
      <c r="H440" s="12">
        <f>F440+G440</f>
        <v>520823.23</v>
      </c>
      <c r="I440" s="3">
        <f>E440-H440</f>
        <v>-520823.23</v>
      </c>
      <c r="J440" s="4">
        <f>IFERROR(H440/E440,0)</f>
        <v>0</v>
      </c>
      <c r="K440" s="2" t="str">
        <f>IF(E440=0,"Sin Plan",IF(J440&gt;=1,"Completado",IF(J440&gt;0.001,"En Progreso","Pendiente de ejecutar")))</f>
        <v>Sin Plan</v>
      </c>
    </row>
    <row r="441" spans="1:11" x14ac:dyDescent="0.35">
      <c r="A441" s="2" t="s">
        <v>96</v>
      </c>
      <c r="B441" s="2" t="s">
        <v>55</v>
      </c>
      <c r="C441" s="2"/>
      <c r="D441" s="2" t="s">
        <v>206</v>
      </c>
      <c r="F441" s="12">
        <f>25662.27*6</f>
        <v>153973.62</v>
      </c>
      <c r="H441" s="12">
        <f>F441+G441</f>
        <v>153973.62</v>
      </c>
      <c r="I441" s="3">
        <f>E441-H441</f>
        <v>-153973.62</v>
      </c>
      <c r="J441" s="4"/>
      <c r="K441" s="2"/>
    </row>
    <row r="442" spans="1:11" x14ac:dyDescent="0.35">
      <c r="A442" s="2" t="s">
        <v>96</v>
      </c>
      <c r="B442" s="2" t="s">
        <v>55</v>
      </c>
      <c r="C442" s="2"/>
      <c r="D442" s="2" t="s">
        <v>299</v>
      </c>
      <c r="F442" s="12">
        <f>23075.48*2</f>
        <v>46150.96</v>
      </c>
      <c r="H442" s="12">
        <f>F442+G442</f>
        <v>46150.96</v>
      </c>
      <c r="I442" s="3">
        <f>E442-H442</f>
        <v>-46150.96</v>
      </c>
      <c r="J442" s="4"/>
      <c r="K442" s="2"/>
    </row>
    <row r="443" spans="1:11" s="16" customFormat="1" x14ac:dyDescent="0.35">
      <c r="A443" s="17" t="s">
        <v>49</v>
      </c>
      <c r="B443" s="17" t="s">
        <v>44</v>
      </c>
      <c r="C443" s="17" t="s">
        <v>185</v>
      </c>
      <c r="D443" s="17" t="s">
        <v>186</v>
      </c>
      <c r="E443" s="12">
        <v>0</v>
      </c>
      <c r="F443" s="12">
        <v>534229.98</v>
      </c>
      <c r="H443" s="12" t="e">
        <f>#REF!+F443</f>
        <v>#REF!</v>
      </c>
      <c r="I443" s="3" t="e">
        <f>E443-H443</f>
        <v>#REF!</v>
      </c>
      <c r="J443" s="19">
        <f>IFERROR(H443/E443,0)</f>
        <v>0</v>
      </c>
      <c r="K443" s="17" t="str">
        <f>IF(E443=0,"Sin Plan",IF(J443&gt;=1,"Completado",IF(J443&gt;0.001,"En Progreso","Pendiente de ejecutar")))</f>
        <v>Sin Plan</v>
      </c>
    </row>
    <row r="444" spans="1:11" x14ac:dyDescent="0.35">
      <c r="A444" s="5" t="s">
        <v>47</v>
      </c>
      <c r="B444" s="5" t="s">
        <v>44</v>
      </c>
      <c r="C444" s="5" t="s">
        <v>2</v>
      </c>
      <c r="D444" s="2" t="s">
        <v>299</v>
      </c>
      <c r="E444" s="12">
        <v>19800000</v>
      </c>
      <c r="F444" s="12">
        <v>0</v>
      </c>
      <c r="G444" s="12">
        <v>4224227.12</v>
      </c>
      <c r="H444" s="12">
        <f>F444+G444</f>
        <v>4224227.12</v>
      </c>
      <c r="I444" s="3">
        <f>E444-H444</f>
        <v>15575772.879999999</v>
      </c>
      <c r="J444" s="7">
        <f>IFERROR(H444/E444,0)</f>
        <v>0.21334480404040404</v>
      </c>
      <c r="K444" s="5" t="str">
        <f>IF(E444=0,"Sin Plan",IF(J444&gt;=1,"Completado",IF(J444&gt;0.001,"En Progreso","Pendiente de ejecutar")))</f>
        <v>En Progreso</v>
      </c>
    </row>
    <row r="445" spans="1:11" x14ac:dyDescent="0.35">
      <c r="A445" s="2" t="s">
        <v>47</v>
      </c>
      <c r="B445" s="2" t="s">
        <v>44</v>
      </c>
      <c r="C445" s="2" t="s">
        <v>162</v>
      </c>
      <c r="D445" s="2" t="s">
        <v>163</v>
      </c>
      <c r="E445" s="12">
        <v>74500</v>
      </c>
      <c r="F445" s="12">
        <v>64573.84</v>
      </c>
      <c r="H445" s="12" t="e">
        <f>#REF!+F445</f>
        <v>#REF!</v>
      </c>
      <c r="I445" s="3" t="e">
        <f>E445-H445</f>
        <v>#REF!</v>
      </c>
      <c r="J445" s="4">
        <f>IFERROR(H445/E445,0)</f>
        <v>0</v>
      </c>
      <c r="K445" s="2" t="str">
        <f>IF(E445=0,"Sin Plan",IF(J445&gt;=1,"Completado",IF(J445&gt;0.001,"En Progreso","Pendiente de ejecutar")))</f>
        <v>Pendiente de ejecutar</v>
      </c>
    </row>
    <row r="446" spans="1:11" x14ac:dyDescent="0.35">
      <c r="A446" s="5" t="s">
        <v>47</v>
      </c>
      <c r="B446" s="5" t="s">
        <v>44</v>
      </c>
      <c r="C446" s="5" t="s">
        <v>213</v>
      </c>
      <c r="D446" s="5" t="s">
        <v>214</v>
      </c>
      <c r="E446" s="12">
        <v>0</v>
      </c>
      <c r="F446" s="12">
        <v>151151.98000000001</v>
      </c>
      <c r="G446" s="12">
        <v>0</v>
      </c>
      <c r="H446" s="12">
        <f>F446+G446</f>
        <v>151151.98000000001</v>
      </c>
      <c r="I446" s="3">
        <f>E446-H446</f>
        <v>-151151.98000000001</v>
      </c>
      <c r="J446" s="7">
        <f>IFERROR(H446/E446,0)</f>
        <v>0</v>
      </c>
      <c r="K446" s="5" t="str">
        <f>IF(E446=0,"Sin Plan",IF(J446&gt;=1,"Completado",IF(J446&gt;0.001,"En Progreso","Pendiente de ejecutar")))</f>
        <v>Sin Plan</v>
      </c>
    </row>
    <row r="447" spans="1:11" x14ac:dyDescent="0.35">
      <c r="A447" s="5" t="s">
        <v>47</v>
      </c>
      <c r="B447" s="5" t="s">
        <v>44</v>
      </c>
      <c r="C447" s="5" t="s">
        <v>171</v>
      </c>
      <c r="D447" s="5" t="s">
        <v>172</v>
      </c>
      <c r="E447" s="12">
        <v>0</v>
      </c>
      <c r="F447" s="12">
        <v>223997.3</v>
      </c>
      <c r="G447" s="12">
        <v>0</v>
      </c>
      <c r="H447" s="12">
        <f>F447+G447</f>
        <v>223997.3</v>
      </c>
      <c r="I447" s="3">
        <f>E447-H447</f>
        <v>-223997.3</v>
      </c>
      <c r="J447" s="7">
        <f>IFERROR(H447/E447,0)</f>
        <v>0</v>
      </c>
      <c r="K447" s="5" t="str">
        <f>IF(E447=0,"Sin Plan",IF(J447&gt;=1,"Completado",IF(J447&gt;0.001,"En Progreso","Pendiente de ejecutar")))</f>
        <v>Sin Plan</v>
      </c>
    </row>
    <row r="448" spans="1:11" x14ac:dyDescent="0.35">
      <c r="A448" s="5" t="s">
        <v>47</v>
      </c>
      <c r="B448" s="5" t="s">
        <v>44</v>
      </c>
      <c r="C448" s="5" t="s">
        <v>256</v>
      </c>
      <c r="D448" s="5" t="s">
        <v>257</v>
      </c>
      <c r="E448" s="12">
        <v>0</v>
      </c>
      <c r="F448" s="12">
        <v>127155.16</v>
      </c>
      <c r="G448" s="12">
        <v>0</v>
      </c>
      <c r="H448" s="12">
        <f>F448+G448</f>
        <v>127155.16</v>
      </c>
      <c r="I448" s="3">
        <f>E448-H448</f>
        <v>-127155.16</v>
      </c>
      <c r="J448" s="7">
        <f>IFERROR(H448/E448,0)</f>
        <v>0</v>
      </c>
      <c r="K448" s="5" t="str">
        <f>IF(E448=0,"Sin Plan",IF(J448&gt;=1,"Completado",IF(J448&gt;0.001,"En Progreso","Pendiente de ejecutar")))</f>
        <v>Sin Plan</v>
      </c>
    </row>
    <row r="449" spans="1:11" x14ac:dyDescent="0.35">
      <c r="A449" s="5" t="s">
        <v>47</v>
      </c>
      <c r="B449" s="5" t="s">
        <v>44</v>
      </c>
      <c r="C449" s="5" t="s">
        <v>18</v>
      </c>
      <c r="D449" s="5" t="s">
        <v>19</v>
      </c>
      <c r="E449" s="12">
        <v>0</v>
      </c>
      <c r="F449" s="12">
        <v>0</v>
      </c>
      <c r="G449" s="12">
        <v>588000</v>
      </c>
      <c r="H449" s="12">
        <f>F449+G449</f>
        <v>588000</v>
      </c>
      <c r="I449" s="3">
        <f>E449-H449</f>
        <v>-588000</v>
      </c>
      <c r="J449" s="7">
        <f>IFERROR(H449/E449,0)</f>
        <v>0</v>
      </c>
      <c r="K449" s="5" t="str">
        <f>IF(E449=0,"Sin Plan",IF(J449&gt;=1,"Completado",IF(J449&gt;0.001,"En Progreso","Pendiente de ejecutar")))</f>
        <v>Sin Plan</v>
      </c>
    </row>
    <row r="450" spans="1:11" x14ac:dyDescent="0.35">
      <c r="A450" s="5" t="s">
        <v>41</v>
      </c>
      <c r="B450" s="5" t="s">
        <v>42</v>
      </c>
      <c r="C450" s="5" t="s">
        <v>223</v>
      </c>
      <c r="D450" s="5" t="s">
        <v>224</v>
      </c>
      <c r="E450" s="12">
        <v>0</v>
      </c>
      <c r="F450" s="12">
        <v>399022.3</v>
      </c>
      <c r="G450" s="12">
        <v>74984.45</v>
      </c>
      <c r="H450" s="12">
        <f>F450+G450</f>
        <v>474006.75</v>
      </c>
      <c r="I450" s="6">
        <f>E450-H450</f>
        <v>-474006.75</v>
      </c>
      <c r="J450" s="7">
        <f>IFERROR(H450/E450,0)</f>
        <v>0</v>
      </c>
      <c r="K450" s="5" t="str">
        <f>IF(E450=0,"Sin Plan",IF(J450&gt;=1,"Completado",IF(J450&gt;0.001,"En Progreso","Pendiente de ejecutar")))</f>
        <v>Sin Plan</v>
      </c>
    </row>
    <row r="451" spans="1:11" x14ac:dyDescent="0.35">
      <c r="A451" s="2" t="s">
        <v>73</v>
      </c>
      <c r="B451" s="2" t="s">
        <v>74</v>
      </c>
      <c r="C451" s="2" t="s">
        <v>238</v>
      </c>
      <c r="D451" s="2" t="s">
        <v>239</v>
      </c>
      <c r="E451" s="12">
        <v>0</v>
      </c>
      <c r="F451" s="12">
        <v>1137327.32</v>
      </c>
      <c r="G451" s="12">
        <v>0</v>
      </c>
      <c r="H451" s="12">
        <f>F451+G451</f>
        <v>1137327.32</v>
      </c>
      <c r="I451" s="3">
        <f>E451-H451</f>
        <v>-1137327.32</v>
      </c>
      <c r="J451" s="4">
        <f>IFERROR(H451/E451,0)</f>
        <v>0</v>
      </c>
      <c r="K451" s="2" t="str">
        <f>IF(E451=0,"Sin Plan",IF(J451&gt;=1,"Completado",IF(J451&gt;0.001,"En Progreso","Pendiente de ejecutar")))</f>
        <v>Sin Plan</v>
      </c>
    </row>
    <row r="452" spans="1:11" x14ac:dyDescent="0.35">
      <c r="A452" s="5" t="s">
        <v>73</v>
      </c>
      <c r="B452" s="5" t="s">
        <v>74</v>
      </c>
      <c r="C452" s="5" t="s">
        <v>240</v>
      </c>
      <c r="D452" s="5" t="s">
        <v>241</v>
      </c>
      <c r="E452" s="12">
        <v>0</v>
      </c>
      <c r="F452" s="12">
        <v>4609006.3999999603</v>
      </c>
      <c r="G452" s="12">
        <v>0</v>
      </c>
      <c r="H452" s="12">
        <f>F452+G452</f>
        <v>4609006.3999999603</v>
      </c>
      <c r="I452" s="6">
        <f>E452-H452</f>
        <v>-4609006.3999999603</v>
      </c>
      <c r="J452" s="7">
        <f>IFERROR(H452/E452,0)</f>
        <v>0</v>
      </c>
      <c r="K452" s="5" t="str">
        <f>IF(E452=0,"Sin Plan",IF(J452&gt;=1,"Completado",IF(J452&gt;0.001,"En Progreso","Pendiente de ejecutar")))</f>
        <v>Sin Plan</v>
      </c>
    </row>
    <row r="453" spans="1:11" s="16" customFormat="1" x14ac:dyDescent="0.35">
      <c r="A453" s="17" t="s">
        <v>47</v>
      </c>
      <c r="B453" s="17" t="s">
        <v>44</v>
      </c>
      <c r="C453" s="17" t="s">
        <v>287</v>
      </c>
      <c r="D453" s="17" t="s">
        <v>288</v>
      </c>
      <c r="E453" s="12">
        <v>0</v>
      </c>
      <c r="F453" s="12">
        <v>0</v>
      </c>
      <c r="G453" s="12">
        <v>520823.23</v>
      </c>
      <c r="H453" s="12">
        <f>F453+G453</f>
        <v>520823.23</v>
      </c>
      <c r="I453" s="3">
        <f>E453-H453</f>
        <v>-520823.23</v>
      </c>
      <c r="J453" s="19">
        <f>IFERROR(H453/E453,0)</f>
        <v>0</v>
      </c>
      <c r="K453" s="17" t="str">
        <f>IF(E453=0,"Sin Plan",IF(J453&gt;=1,"Completado",IF(J453&gt;0.001,"En Progreso","Pendiente de ejecutar")))</f>
        <v>Sin Plan</v>
      </c>
    </row>
    <row r="454" spans="1:11" x14ac:dyDescent="0.35">
      <c r="A454" s="5" t="s">
        <v>41</v>
      </c>
      <c r="B454" s="5" t="s">
        <v>42</v>
      </c>
      <c r="C454" s="5" t="s">
        <v>130</v>
      </c>
      <c r="D454" s="5" t="s">
        <v>131</v>
      </c>
      <c r="E454" s="12">
        <v>0</v>
      </c>
      <c r="F454" s="12">
        <v>1777483.87</v>
      </c>
      <c r="G454" s="12">
        <v>4153741.59</v>
      </c>
      <c r="H454" s="12">
        <f>F454+G454</f>
        <v>5931225.46</v>
      </c>
      <c r="I454" s="6">
        <f>E454-H454</f>
        <v>-5931225.46</v>
      </c>
      <c r="J454" s="7">
        <f>IFERROR(H454/E454,0)</f>
        <v>0</v>
      </c>
      <c r="K454" s="5" t="str">
        <f>IF(E454=0,"Sin Plan",IF(J454&gt;=1,"Completado",IF(J454&gt;0.001,"En Progreso","Pendiente de ejecutar")))</f>
        <v>Sin Plan</v>
      </c>
    </row>
    <row r="455" spans="1:11" x14ac:dyDescent="0.35">
      <c r="A455" s="2" t="s">
        <v>85</v>
      </c>
      <c r="B455" s="2" t="s">
        <v>74</v>
      </c>
      <c r="C455" s="2" t="s">
        <v>242</v>
      </c>
      <c r="D455" s="2" t="s">
        <v>243</v>
      </c>
      <c r="E455" s="12">
        <v>0</v>
      </c>
      <c r="F455" s="12">
        <v>38419.49</v>
      </c>
      <c r="G455" s="12">
        <v>0</v>
      </c>
      <c r="H455" s="12">
        <f>F455+G455</f>
        <v>38419.49</v>
      </c>
      <c r="I455" s="3">
        <f>E455-H455</f>
        <v>-38419.49</v>
      </c>
      <c r="J455" s="4">
        <f>IFERROR(H455/E455,0)</f>
        <v>0</v>
      </c>
      <c r="K455" s="2" t="str">
        <f>IF(E455=0,"Sin Plan",IF(J455&gt;=1,"Completado",IF(J455&gt;0.001,"En Progreso","Pendiente de ejecutar")))</f>
        <v>Sin Plan</v>
      </c>
    </row>
    <row r="456" spans="1:11" x14ac:dyDescent="0.35">
      <c r="A456" s="2" t="s">
        <v>81</v>
      </c>
      <c r="B456" s="2" t="s">
        <v>55</v>
      </c>
      <c r="C456" s="2" t="s">
        <v>9</v>
      </c>
      <c r="D456" s="2" t="s">
        <v>10</v>
      </c>
      <c r="E456" s="12">
        <v>5600000</v>
      </c>
      <c r="F456" s="12">
        <v>0</v>
      </c>
      <c r="G456" s="12">
        <v>2719482.69</v>
      </c>
      <c r="H456" s="12">
        <f>F456+G456</f>
        <v>2719482.69</v>
      </c>
      <c r="I456" s="3">
        <f>E456-H456</f>
        <v>2880517.31</v>
      </c>
      <c r="J456" s="4">
        <f>IFERROR(H456/E456,0)</f>
        <v>0.48562190892857143</v>
      </c>
      <c r="K456" s="2" t="str">
        <f>IF(E456=0,"Sin Plan",IF(J456&gt;=1,"Completado",IF(J456&gt;0.001,"En Progreso","Pendiente de ejecutar")))</f>
        <v>En Progreso</v>
      </c>
    </row>
    <row r="457" spans="1:11" x14ac:dyDescent="0.35">
      <c r="A457" s="2" t="s">
        <v>81</v>
      </c>
      <c r="B457" s="2" t="s">
        <v>55</v>
      </c>
      <c r="C457" s="2" t="s">
        <v>20</v>
      </c>
      <c r="D457" s="2" t="s">
        <v>21</v>
      </c>
      <c r="E457" s="12">
        <v>4780000</v>
      </c>
      <c r="F457" s="12">
        <v>0</v>
      </c>
      <c r="G457" s="12">
        <v>0</v>
      </c>
      <c r="H457" s="12">
        <f>F457+G457</f>
        <v>0</v>
      </c>
      <c r="I457" s="3">
        <f>E457-H457</f>
        <v>4780000</v>
      </c>
      <c r="J457" s="4">
        <f>IFERROR(H457/E457,0)</f>
        <v>0</v>
      </c>
      <c r="K457" s="2" t="str">
        <f>IF(E457=0,"Sin Plan",IF(J457&gt;=1,"Completado",IF(J457&gt;0.001,"En Progreso","Pendiente de ejecutar")))</f>
        <v>Pendiente de ejecutar</v>
      </c>
    </row>
    <row r="458" spans="1:11" x14ac:dyDescent="0.35">
      <c r="A458" s="2" t="s">
        <v>125</v>
      </c>
      <c r="B458" s="2" t="s">
        <v>65</v>
      </c>
      <c r="C458" s="2" t="s">
        <v>167</v>
      </c>
      <c r="D458" s="2" t="s">
        <v>168</v>
      </c>
      <c r="E458" s="12">
        <v>107000</v>
      </c>
      <c r="F458" s="12">
        <v>0</v>
      </c>
      <c r="G458" s="12">
        <v>58580.86</v>
      </c>
      <c r="H458" s="12">
        <f>F458+G458</f>
        <v>58580.86</v>
      </c>
      <c r="I458" s="3">
        <f>E458-H458</f>
        <v>48419.14</v>
      </c>
      <c r="J458" s="4">
        <f>IFERROR(H458/E458,0)</f>
        <v>0.54748467289719627</v>
      </c>
      <c r="K458" s="2" t="str">
        <f>IF(E458=0,"Sin Plan",IF(J458&gt;=1,"Completado",IF(J458&gt;0.001,"En Progreso","Pendiente de ejecutar")))</f>
        <v>En Progreso</v>
      </c>
    </row>
    <row r="459" spans="1:11" x14ac:dyDescent="0.35">
      <c r="A459" s="5" t="s">
        <v>125</v>
      </c>
      <c r="B459" s="5" t="s">
        <v>65</v>
      </c>
      <c r="C459" s="5" t="s">
        <v>242</v>
      </c>
      <c r="D459" s="5" t="s">
        <v>243</v>
      </c>
      <c r="E459" s="12">
        <v>0</v>
      </c>
      <c r="F459" s="12">
        <v>7400</v>
      </c>
      <c r="G459" s="12">
        <v>0</v>
      </c>
      <c r="H459" s="12">
        <f>F459+G459</f>
        <v>7400</v>
      </c>
      <c r="I459" s="6">
        <f>E459-H459</f>
        <v>-7400</v>
      </c>
      <c r="J459" s="7">
        <f>IFERROR(H459/E459,0)</f>
        <v>0</v>
      </c>
      <c r="K459" s="5" t="str">
        <f>IF(E459=0,"Sin Plan",IF(J459&gt;=1,"Completado",IF(J459&gt;0.001,"En Progreso","Pendiente de ejecutar")))</f>
        <v>Sin Plan</v>
      </c>
    </row>
    <row r="460" spans="1:11" x14ac:dyDescent="0.35">
      <c r="A460" s="5" t="s">
        <v>137</v>
      </c>
      <c r="B460" s="5" t="s">
        <v>44</v>
      </c>
      <c r="C460" s="5" t="s">
        <v>26</v>
      </c>
      <c r="D460" s="5" t="s">
        <v>27</v>
      </c>
      <c r="E460" s="12">
        <v>945000</v>
      </c>
      <c r="F460" s="12">
        <v>0</v>
      </c>
      <c r="G460" s="12">
        <v>735074.73</v>
      </c>
      <c r="H460" s="12">
        <f>F460+G460</f>
        <v>735074.73</v>
      </c>
      <c r="I460" s="3">
        <f>E460-H460</f>
        <v>209925.27000000002</v>
      </c>
      <c r="J460" s="7">
        <f>IFERROR(H460/E460,0)</f>
        <v>0.77785685714285713</v>
      </c>
      <c r="K460" s="5" t="str">
        <f>IF(E460=0,"Sin Plan",IF(J460&gt;=1,"Completado",IF(J460&gt;0.001,"En Progreso","Pendiente de ejecutar")))</f>
        <v>En Progreso</v>
      </c>
    </row>
    <row r="461" spans="1:11" x14ac:dyDescent="0.35">
      <c r="A461" s="2" t="s">
        <v>98</v>
      </c>
      <c r="B461" s="2" t="s">
        <v>74</v>
      </c>
      <c r="C461" s="2" t="s">
        <v>244</v>
      </c>
      <c r="D461" s="2" t="s">
        <v>245</v>
      </c>
      <c r="E461" s="12">
        <v>0</v>
      </c>
      <c r="F461" s="12">
        <v>241986</v>
      </c>
      <c r="G461" s="12">
        <v>0</v>
      </c>
      <c r="H461" s="12">
        <f>F461+G461</f>
        <v>241986</v>
      </c>
      <c r="I461" s="3">
        <f>E461-H461</f>
        <v>-241986</v>
      </c>
      <c r="J461" s="4">
        <f>IFERROR(H461/E461,0)</f>
        <v>0</v>
      </c>
      <c r="K461" s="2" t="str">
        <f>IF(E461=0,"Sin Plan",IF(J461&gt;=1,"Completado",IF(J461&gt;0.001,"En Progreso","Pendiente de ejecutar")))</f>
        <v>Sin Plan</v>
      </c>
    </row>
    <row r="462" spans="1:11" x14ac:dyDescent="0.35">
      <c r="A462" s="5" t="s">
        <v>98</v>
      </c>
      <c r="B462" s="5" t="s">
        <v>74</v>
      </c>
      <c r="C462" s="5" t="s">
        <v>246</v>
      </c>
      <c r="D462" s="5" t="s">
        <v>247</v>
      </c>
      <c r="E462" s="12">
        <v>0</v>
      </c>
      <c r="F462" s="12">
        <v>275506.17</v>
      </c>
      <c r="G462" s="12">
        <v>0</v>
      </c>
      <c r="H462" s="12">
        <f>F462+G462</f>
        <v>275506.17</v>
      </c>
      <c r="I462" s="6">
        <f>E462-H462</f>
        <v>-275506.17</v>
      </c>
      <c r="J462" s="7">
        <f>IFERROR(H462/E462,0)</f>
        <v>0</v>
      </c>
      <c r="K462" s="5" t="str">
        <f>IF(E462=0,"Sin Plan",IF(J462&gt;=1,"Completado",IF(J462&gt;0.001,"En Progreso","Pendiente de ejecutar")))</f>
        <v>Sin Plan</v>
      </c>
    </row>
    <row r="463" spans="1:11" x14ac:dyDescent="0.35">
      <c r="A463" s="2" t="s">
        <v>137</v>
      </c>
      <c r="B463" s="2" t="s">
        <v>44</v>
      </c>
      <c r="C463" s="2" t="s">
        <v>16</v>
      </c>
      <c r="D463" s="2" t="s">
        <v>17</v>
      </c>
      <c r="E463" s="12">
        <v>400000</v>
      </c>
      <c r="F463" s="12">
        <v>0</v>
      </c>
      <c r="G463" s="12">
        <v>0</v>
      </c>
      <c r="H463" s="12">
        <f>F463+G463</f>
        <v>0</v>
      </c>
      <c r="I463" s="3">
        <f>E463-H463</f>
        <v>400000</v>
      </c>
      <c r="J463" s="4">
        <f>IFERROR(H463/E463,0)</f>
        <v>0</v>
      </c>
      <c r="K463" s="2" t="str">
        <f>IF(E463=0,"Sin Plan",IF(J463&gt;=1,"Completado",IF(J463&gt;0.001,"En Progreso","Pendiente de ejecutar")))</f>
        <v>Pendiente de ejecutar</v>
      </c>
    </row>
    <row r="464" spans="1:11" x14ac:dyDescent="0.35">
      <c r="A464" s="5" t="s">
        <v>125</v>
      </c>
      <c r="B464" s="5" t="s">
        <v>65</v>
      </c>
      <c r="C464" s="5" t="s">
        <v>2</v>
      </c>
      <c r="D464" s="2" t="s">
        <v>299</v>
      </c>
      <c r="F464" s="12">
        <v>17067.28</v>
      </c>
    </row>
    <row r="465" spans="1:11" x14ac:dyDescent="0.35">
      <c r="A465" s="25" t="s">
        <v>84</v>
      </c>
      <c r="B465" s="20" t="s">
        <v>46</v>
      </c>
      <c r="C465" s="20" t="s">
        <v>20</v>
      </c>
      <c r="D465" s="20" t="s">
        <v>21</v>
      </c>
      <c r="E465" s="21">
        <v>4780000</v>
      </c>
      <c r="F465" s="21">
        <v>0</v>
      </c>
      <c r="G465" s="21">
        <v>0</v>
      </c>
      <c r="H465" s="21">
        <f>F465+G465</f>
        <v>0</v>
      </c>
      <c r="I465" s="3">
        <f>E465-H465</f>
        <v>4780000</v>
      </c>
      <c r="J465" s="4">
        <f>IFERROR(H465/E465,0)</f>
        <v>0</v>
      </c>
      <c r="K465" s="2" t="str">
        <f>IF(E465=0,"Sin Plan",IF(J465&gt;=1,"Completado",IF(J465&gt;0.001,"En Progreso","Pendiente de ejecutar")))</f>
        <v>Pendiente de ejecutar</v>
      </c>
    </row>
    <row r="466" spans="1:11" x14ac:dyDescent="0.35">
      <c r="A466" s="2" t="s">
        <v>137</v>
      </c>
      <c r="B466" s="2" t="s">
        <v>44</v>
      </c>
      <c r="C466" s="2" t="s">
        <v>193</v>
      </c>
      <c r="D466" s="2" t="s">
        <v>194</v>
      </c>
      <c r="E466" s="12">
        <v>310000</v>
      </c>
      <c r="F466" s="12">
        <v>205239.74</v>
      </c>
      <c r="G466" s="12">
        <v>0</v>
      </c>
      <c r="H466" s="12">
        <f>F466+G466</f>
        <v>205239.74</v>
      </c>
      <c r="I466" s="3">
        <f>E466-H466</f>
        <v>104760.26000000001</v>
      </c>
      <c r="J466" s="4">
        <f>IFERROR(H466/E466,0)</f>
        <v>0.66206367741935479</v>
      </c>
      <c r="K466" s="2" t="str">
        <f>IF(E466=0,"Sin Plan",IF(J466&gt;=1,"Completado",IF(J466&gt;0.001,"En Progreso","Pendiente de ejecutar")))</f>
        <v>En Progreso</v>
      </c>
    </row>
    <row r="467" spans="1:11" x14ac:dyDescent="0.35">
      <c r="A467" s="2" t="s">
        <v>122</v>
      </c>
      <c r="B467" s="2" t="s">
        <v>53</v>
      </c>
      <c r="C467" s="2" t="s">
        <v>178</v>
      </c>
      <c r="D467" s="2" t="s">
        <v>179</v>
      </c>
      <c r="E467" s="12">
        <v>180000</v>
      </c>
      <c r="F467" s="26">
        <v>157344</v>
      </c>
      <c r="G467" s="12">
        <v>0</v>
      </c>
      <c r="H467" s="12">
        <f>F467+G467</f>
        <v>157344</v>
      </c>
      <c r="I467" s="3">
        <f>E467-H467</f>
        <v>22656</v>
      </c>
      <c r="J467" s="4">
        <f>IFERROR(H467/E467,0)</f>
        <v>0.87413333333333332</v>
      </c>
      <c r="K467" s="2" t="str">
        <f>IF(E467=0,"Sin Plan",IF(J467&gt;=1,"Completado",IF(J467&gt;0.001,"En Progreso","Pendiente de ejecutar")))</f>
        <v>En Progreso</v>
      </c>
    </row>
    <row r="468" spans="1:11" x14ac:dyDescent="0.35">
      <c r="A468" s="5" t="s">
        <v>73</v>
      </c>
      <c r="B468" s="5" t="s">
        <v>74</v>
      </c>
      <c r="C468" s="5" t="s">
        <v>185</v>
      </c>
      <c r="D468" s="5" t="s">
        <v>186</v>
      </c>
      <c r="E468" s="12">
        <v>0</v>
      </c>
      <c r="F468" s="12">
        <v>151623</v>
      </c>
      <c r="G468" s="12">
        <v>6274720.3499999996</v>
      </c>
      <c r="H468" s="12">
        <f>F468+G468</f>
        <v>6426343.3499999996</v>
      </c>
      <c r="I468" s="6">
        <f>E468-H468</f>
        <v>-6426343.3499999996</v>
      </c>
      <c r="J468" s="7">
        <f>IFERROR(H468/E468,0)</f>
        <v>0</v>
      </c>
      <c r="K468" s="5" t="str">
        <f>IF(E468=0,"Sin Plan",IF(J468&gt;=1,"Completado",IF(J468&gt;0.001,"En Progreso","Pendiente de ejecutar")))</f>
        <v>Sin Plan</v>
      </c>
    </row>
    <row r="469" spans="1:11" x14ac:dyDescent="0.35">
      <c r="A469" s="25" t="s">
        <v>84</v>
      </c>
      <c r="B469" s="20" t="s">
        <v>46</v>
      </c>
      <c r="C469" s="20" t="s">
        <v>111</v>
      </c>
      <c r="D469" s="20" t="s">
        <v>112</v>
      </c>
      <c r="E469" s="21">
        <v>2130000</v>
      </c>
      <c r="F469" s="21">
        <v>0</v>
      </c>
      <c r="G469" s="21">
        <v>0</v>
      </c>
      <c r="H469" s="21">
        <f>F469+G469</f>
        <v>0</v>
      </c>
      <c r="I469" s="3">
        <f>E469-H469</f>
        <v>2130000</v>
      </c>
      <c r="J469" s="4">
        <f>IFERROR(H469/E469,0)</f>
        <v>0</v>
      </c>
      <c r="K469" s="2" t="str">
        <f>IF(E469=0,"Sin Plan",IF(J469&gt;=1,"Completado",IF(J469&gt;0.001,"En Progreso","Pendiente de ejecutar")))</f>
        <v>Pendiente de ejecutar</v>
      </c>
    </row>
    <row r="470" spans="1:11" x14ac:dyDescent="0.35">
      <c r="A470" s="2" t="s">
        <v>170</v>
      </c>
      <c r="B470" s="2" t="s">
        <v>60</v>
      </c>
      <c r="C470" s="2" t="s">
        <v>3</v>
      </c>
      <c r="D470" s="2" t="s">
        <v>4</v>
      </c>
      <c r="E470" s="12">
        <v>514800</v>
      </c>
      <c r="G470" s="12">
        <v>345050</v>
      </c>
      <c r="H470" s="12">
        <f>F470+G470</f>
        <v>345050</v>
      </c>
      <c r="I470" s="3">
        <f>E470-H470</f>
        <v>169750</v>
      </c>
      <c r="J470" s="4">
        <f>IFERROR(H470/E470,0)</f>
        <v>0.67026029526029529</v>
      </c>
      <c r="K470" s="2" t="str">
        <f>IF(E470=0,"Sin Plan",IF(J470&gt;=1,"Completado",IF(J470&gt;0.001,"En Progreso","Pendiente de ejecutar")))</f>
        <v>En Progreso</v>
      </c>
    </row>
    <row r="471" spans="1:11" x14ac:dyDescent="0.35">
      <c r="A471" s="5" t="s">
        <v>81</v>
      </c>
      <c r="B471" s="5" t="s">
        <v>55</v>
      </c>
      <c r="C471" s="5" t="s">
        <v>111</v>
      </c>
      <c r="D471" s="5" t="s">
        <v>112</v>
      </c>
      <c r="E471" s="12">
        <v>2130000</v>
      </c>
      <c r="F471" s="12">
        <v>0</v>
      </c>
      <c r="G471" s="12">
        <v>0</v>
      </c>
      <c r="H471" s="12">
        <f>F471+G471</f>
        <v>0</v>
      </c>
      <c r="I471" s="3">
        <f>E471-H471</f>
        <v>2130000</v>
      </c>
      <c r="J471" s="7">
        <f>IFERROR(H471/E471,0)</f>
        <v>0</v>
      </c>
      <c r="K471" s="5" t="str">
        <f>IF(E471=0,"Sin Plan",IF(J471&gt;=1,"Completado",IF(J471&gt;0.001,"En Progreso","Pendiente de ejecutar")))</f>
        <v>Pendiente de ejecutar</v>
      </c>
    </row>
    <row r="472" spans="1:11" x14ac:dyDescent="0.35">
      <c r="A472" s="5" t="s">
        <v>170</v>
      </c>
      <c r="B472" s="5" t="s">
        <v>60</v>
      </c>
      <c r="C472" s="5" t="s">
        <v>120</v>
      </c>
      <c r="D472" s="5" t="s">
        <v>121</v>
      </c>
      <c r="E472" s="12">
        <v>150000</v>
      </c>
      <c r="F472" s="12">
        <v>369717.7</v>
      </c>
      <c r="H472" s="12" t="e">
        <f>#REF!+F472</f>
        <v>#REF!</v>
      </c>
      <c r="I472" s="6" t="e">
        <f>E472-H472</f>
        <v>#REF!</v>
      </c>
      <c r="J472" s="7">
        <f>IFERROR(H472/E472,0)</f>
        <v>0</v>
      </c>
      <c r="K472" s="5" t="str">
        <f>IF(E472=0,"Sin Plan",IF(J472&gt;=1,"Completado",IF(J472&gt;0.001,"En Progreso","Pendiente de ejecutar")))</f>
        <v>Pendiente de ejecutar</v>
      </c>
    </row>
    <row r="473" spans="1:11" x14ac:dyDescent="0.35">
      <c r="A473" s="2" t="s">
        <v>122</v>
      </c>
      <c r="B473" s="2" t="s">
        <v>53</v>
      </c>
      <c r="C473" s="2" t="s">
        <v>162</v>
      </c>
      <c r="D473" s="2" t="s">
        <v>163</v>
      </c>
      <c r="E473" s="12">
        <v>160000</v>
      </c>
      <c r="F473" s="12">
        <v>0</v>
      </c>
      <c r="G473" s="12">
        <v>161434.6</v>
      </c>
      <c r="H473" s="12">
        <f>F473+G473</f>
        <v>161434.6</v>
      </c>
      <c r="I473" s="3">
        <f>E473-H473</f>
        <v>-1434.6000000000058</v>
      </c>
      <c r="J473" s="4">
        <f>IFERROR(H473/E473,0)</f>
        <v>1.0089662500000001</v>
      </c>
      <c r="K473" s="2" t="str">
        <f>IF(E473=0,"Sin Plan",IF(J473&gt;=1,"Completado",IF(J473&gt;0.001,"En Progreso","Pendiente de ejecutar")))</f>
        <v>Completado</v>
      </c>
    </row>
    <row r="474" spans="1:11" x14ac:dyDescent="0.35">
      <c r="A474" s="2" t="s">
        <v>137</v>
      </c>
      <c r="B474" s="2" t="s">
        <v>44</v>
      </c>
      <c r="C474" s="2" t="s">
        <v>116</v>
      </c>
      <c r="D474" s="2" t="s">
        <v>117</v>
      </c>
      <c r="E474" s="12">
        <v>127500</v>
      </c>
      <c r="F474" s="12">
        <v>0</v>
      </c>
      <c r="G474" s="12">
        <v>0</v>
      </c>
      <c r="H474" s="12">
        <f>F474+G474</f>
        <v>0</v>
      </c>
      <c r="I474" s="3">
        <f>E474-H474</f>
        <v>127500</v>
      </c>
      <c r="J474" s="4">
        <f>IFERROR(H474/E474,0)</f>
        <v>0</v>
      </c>
      <c r="K474" s="2" t="str">
        <f>IF(E474=0,"Sin Plan",IF(J474&gt;=1,"Completado",IF(J474&gt;0.001,"En Progreso","Pendiente de ejecutar")))</f>
        <v>Pendiente de ejecutar</v>
      </c>
    </row>
    <row r="475" spans="1:11" x14ac:dyDescent="0.35">
      <c r="A475" s="2" t="s">
        <v>81</v>
      </c>
      <c r="B475" s="2" t="s">
        <v>55</v>
      </c>
      <c r="C475" s="2" t="s">
        <v>3</v>
      </c>
      <c r="D475" s="2" t="s">
        <v>4</v>
      </c>
      <c r="E475" s="12">
        <v>1500000</v>
      </c>
      <c r="F475" s="12">
        <v>0</v>
      </c>
      <c r="G475" s="12">
        <v>0</v>
      </c>
      <c r="H475" s="12">
        <f>F475+G475</f>
        <v>0</v>
      </c>
      <c r="I475" s="3">
        <f>E475-H475</f>
        <v>1500000</v>
      </c>
      <c r="J475" s="4">
        <f>IFERROR(H475/E475,0)</f>
        <v>0</v>
      </c>
      <c r="K475" s="2" t="str">
        <f>IF(E475=0,"Sin Plan",IF(J475&gt;=1,"Completado",IF(J475&gt;0.001,"En Progreso","Pendiente de ejecutar")))</f>
        <v>Pendiente de ejecutar</v>
      </c>
    </row>
    <row r="476" spans="1:11" x14ac:dyDescent="0.35">
      <c r="A476" s="2" t="s">
        <v>137</v>
      </c>
      <c r="B476" s="2" t="s">
        <v>44</v>
      </c>
      <c r="C476" s="2" t="s">
        <v>208</v>
      </c>
      <c r="D476" s="2" t="s">
        <v>209</v>
      </c>
      <c r="E476" s="12">
        <v>54000</v>
      </c>
      <c r="F476" s="12">
        <v>82670.600000000006</v>
      </c>
      <c r="G476" s="12">
        <v>0</v>
      </c>
      <c r="H476" s="12">
        <f>F476+G476</f>
        <v>82670.600000000006</v>
      </c>
      <c r="I476" s="3">
        <f>E476-H476</f>
        <v>-28670.600000000006</v>
      </c>
      <c r="J476" s="4">
        <f>IFERROR(H476/E476,0)</f>
        <v>1.5309370370370372</v>
      </c>
      <c r="K476" s="2" t="str">
        <f>IF(E476=0,"Sin Plan",IF(J476&gt;=1,"Completado",IF(J476&gt;0.001,"En Progreso","Pendiente de ejecutar")))</f>
        <v>Completado</v>
      </c>
    </row>
    <row r="477" spans="1:11" x14ac:dyDescent="0.35">
      <c r="A477" s="2" t="s">
        <v>81</v>
      </c>
      <c r="B477" s="2" t="s">
        <v>55</v>
      </c>
      <c r="C477" s="2" t="s">
        <v>174</v>
      </c>
      <c r="D477" s="2" t="s">
        <v>175</v>
      </c>
      <c r="E477" s="12">
        <v>464000</v>
      </c>
      <c r="F477" s="12">
        <v>0</v>
      </c>
      <c r="G477" s="12">
        <v>0</v>
      </c>
      <c r="H477" s="12">
        <f>F477+G477</f>
        <v>0</v>
      </c>
      <c r="I477" s="3">
        <f>E477-H477</f>
        <v>464000</v>
      </c>
      <c r="J477" s="4">
        <f>IFERROR(H477/E477,0)</f>
        <v>0</v>
      </c>
      <c r="K477" s="2" t="str">
        <f>IF(E477=0,"Sin Plan",IF(J477&gt;=1,"Completado",IF(J477&gt;0.001,"En Progreso","Pendiente de ejecutar")))</f>
        <v>Pendiente de ejecutar</v>
      </c>
    </row>
    <row r="478" spans="1:11" x14ac:dyDescent="0.35">
      <c r="A478" s="5" t="s">
        <v>73</v>
      </c>
      <c r="B478" s="5" t="s">
        <v>74</v>
      </c>
      <c r="C478" s="5" t="s">
        <v>223</v>
      </c>
      <c r="D478" s="5" t="s">
        <v>224</v>
      </c>
      <c r="E478" s="12">
        <v>0</v>
      </c>
      <c r="F478" s="12">
        <v>106781.25</v>
      </c>
      <c r="G478" s="12">
        <v>0</v>
      </c>
      <c r="H478" s="12">
        <f>F478+G478</f>
        <v>106781.25</v>
      </c>
      <c r="I478" s="6">
        <f>E478-H478</f>
        <v>-106781.25</v>
      </c>
      <c r="J478" s="7">
        <f>IFERROR(H478/E478,0)</f>
        <v>0</v>
      </c>
      <c r="K478" s="5" t="str">
        <f>IF(E478=0,"Sin Plan",IF(J478&gt;=1,"Completado",IF(J478&gt;0.001,"En Progreso","Pendiente de ejecutar")))</f>
        <v>Sin Plan</v>
      </c>
    </row>
    <row r="479" spans="1:11" x14ac:dyDescent="0.35">
      <c r="A479" s="25" t="s">
        <v>84</v>
      </c>
      <c r="B479" s="20" t="s">
        <v>46</v>
      </c>
      <c r="C479" s="20" t="s">
        <v>120</v>
      </c>
      <c r="D479" s="20" t="s">
        <v>121</v>
      </c>
      <c r="E479" s="21">
        <v>1644900</v>
      </c>
      <c r="F479" s="26">
        <v>81650</v>
      </c>
      <c r="G479" s="21">
        <v>0</v>
      </c>
      <c r="H479" s="21">
        <f>F479+G479</f>
        <v>81650</v>
      </c>
      <c r="I479" s="3">
        <f>E479-H479</f>
        <v>1563250</v>
      </c>
      <c r="J479" s="4">
        <f>IFERROR(H479/E479,0)</f>
        <v>4.96382758830324E-2</v>
      </c>
      <c r="K479" s="2" t="str">
        <f>IF(E479=0,"Sin Plan",IF(J479&gt;=1,"Completado",IF(J479&gt;0.001,"En Progreso","Pendiente de ejecutar")))</f>
        <v>En Progreso</v>
      </c>
    </row>
    <row r="480" spans="1:11" x14ac:dyDescent="0.35">
      <c r="A480" s="24" t="s">
        <v>84</v>
      </c>
      <c r="B480" s="22" t="s">
        <v>46</v>
      </c>
      <c r="C480" s="22" t="s">
        <v>28</v>
      </c>
      <c r="D480" s="22" t="s">
        <v>29</v>
      </c>
      <c r="E480" s="21">
        <v>520000</v>
      </c>
      <c r="F480" s="21">
        <v>0</v>
      </c>
      <c r="G480" s="21">
        <f>137983.9*2</f>
        <v>275967.8</v>
      </c>
      <c r="H480" s="21">
        <f>F480+G480</f>
        <v>275967.8</v>
      </c>
      <c r="I480" s="3">
        <f>E480-H480</f>
        <v>244032.2</v>
      </c>
      <c r="J480" s="7">
        <f>IFERROR(H480/E480,0)</f>
        <v>0.53070730769230767</v>
      </c>
      <c r="K480" s="5" t="str">
        <f>IF(E480=0,"Sin Plan",IF(J480&gt;=1,"Completado",IF(J480&gt;0.001,"En Progreso","Pendiente de ejecutar")))</f>
        <v>En Progreso</v>
      </c>
    </row>
    <row r="481" spans="1:11" x14ac:dyDescent="0.35">
      <c r="A481" s="2" t="s">
        <v>170</v>
      </c>
      <c r="B481" s="2" t="s">
        <v>60</v>
      </c>
      <c r="C481" s="2" t="s">
        <v>22</v>
      </c>
      <c r="D481" s="2" t="s">
        <v>23</v>
      </c>
      <c r="E481" s="12">
        <v>132300</v>
      </c>
      <c r="F481" s="12">
        <v>136751.45000000001</v>
      </c>
      <c r="H481" s="12" t="e">
        <f>#REF!+F481</f>
        <v>#REF!</v>
      </c>
      <c r="I481" s="3" t="e">
        <f>E481-H481</f>
        <v>#REF!</v>
      </c>
      <c r="J481" s="4">
        <f>IFERROR(H481/E481,0)</f>
        <v>0</v>
      </c>
      <c r="K481" s="2" t="str">
        <f>IF(E481=0,"Sin Plan",IF(J481&gt;=1,"Completado",IF(J481&gt;0.001,"En Progreso","Pendiente de ejecutar")))</f>
        <v>Pendiente de ejecutar</v>
      </c>
    </row>
    <row r="482" spans="1:11" x14ac:dyDescent="0.35">
      <c r="A482" s="5" t="s">
        <v>170</v>
      </c>
      <c r="B482" s="5" t="s">
        <v>60</v>
      </c>
      <c r="C482" s="5" t="s">
        <v>264</v>
      </c>
      <c r="D482" s="5" t="s">
        <v>265</v>
      </c>
      <c r="E482" s="12">
        <v>0</v>
      </c>
      <c r="H482" s="12" t="e">
        <f>#REF!+F482</f>
        <v>#REF!</v>
      </c>
      <c r="I482" s="6" t="e">
        <f>E482-H482</f>
        <v>#REF!</v>
      </c>
      <c r="J482" s="7">
        <f>IFERROR(H482/E482,0)</f>
        <v>0</v>
      </c>
      <c r="K482" s="5" t="str">
        <f>IF(E482=0,"Sin Plan",IF(J482&gt;=1,"Completado",IF(J482&gt;0.001,"En Progreso","Pendiente de ejecutar")))</f>
        <v>Sin Plan</v>
      </c>
    </row>
    <row r="483" spans="1:11" x14ac:dyDescent="0.35">
      <c r="A483" s="25" t="s">
        <v>84</v>
      </c>
      <c r="B483" s="20" t="s">
        <v>46</v>
      </c>
      <c r="C483" s="20" t="s">
        <v>16</v>
      </c>
      <c r="D483" s="20" t="s">
        <v>17</v>
      </c>
      <c r="E483" s="21">
        <v>480000</v>
      </c>
      <c r="F483" s="21">
        <v>0</v>
      </c>
      <c r="G483" s="21">
        <v>0</v>
      </c>
      <c r="H483" s="21">
        <f>F483+G483</f>
        <v>0</v>
      </c>
      <c r="I483" s="3">
        <f>E483-H483</f>
        <v>480000</v>
      </c>
      <c r="J483" s="4">
        <f>IFERROR(H483/E483,0)</f>
        <v>0</v>
      </c>
      <c r="K483" s="2" t="str">
        <f>IF(E483=0,"Sin Plan",IF(J483&gt;=1,"Completado",IF(J483&gt;0.001,"En Progreso","Pendiente de ejecutar")))</f>
        <v>Pendiente de ejecutar</v>
      </c>
    </row>
    <row r="484" spans="1:11" x14ac:dyDescent="0.35">
      <c r="A484" s="5" t="s">
        <v>122</v>
      </c>
      <c r="B484" s="5" t="s">
        <v>53</v>
      </c>
      <c r="C484" s="5" t="s">
        <v>242</v>
      </c>
      <c r="D484" s="5" t="s">
        <v>243</v>
      </c>
      <c r="E484" s="12">
        <v>0</v>
      </c>
      <c r="F484" s="26">
        <v>4800</v>
      </c>
      <c r="G484" s="12">
        <v>0</v>
      </c>
      <c r="H484" s="12">
        <f>F484+G484</f>
        <v>4800</v>
      </c>
      <c r="I484" s="6">
        <f>E484-H484</f>
        <v>-4800</v>
      </c>
      <c r="J484" s="7">
        <f>IFERROR(H484/E484,0)</f>
        <v>0</v>
      </c>
      <c r="K484" s="5" t="str">
        <f>IF(E484=0,"Sin Plan",IF(J484&gt;=1,"Completado",IF(J484&gt;0.001,"En Progreso","Pendiente de ejecutar")))</f>
        <v>Sin Plan</v>
      </c>
    </row>
    <row r="485" spans="1:11" x14ac:dyDescent="0.35">
      <c r="A485" s="24" t="s">
        <v>84</v>
      </c>
      <c r="B485" s="22" t="s">
        <v>46</v>
      </c>
      <c r="C485" s="22" t="s">
        <v>162</v>
      </c>
      <c r="D485" s="22" t="s">
        <v>163</v>
      </c>
      <c r="E485" s="21">
        <v>17500</v>
      </c>
      <c r="F485" s="21">
        <v>0</v>
      </c>
      <c r="G485" s="21">
        <v>0</v>
      </c>
      <c r="H485" s="21">
        <f>F485+G485</f>
        <v>0</v>
      </c>
      <c r="I485" s="3">
        <f>E485-H485</f>
        <v>17500</v>
      </c>
      <c r="J485" s="7">
        <f>IFERROR(H485/E485,0)</f>
        <v>0</v>
      </c>
      <c r="K485" s="5" t="str">
        <f>IF(E485=0,"Sin Plan",IF(J485&gt;=1,"Completado",IF(J485&gt;0.001,"En Progreso","Pendiente de ejecutar")))</f>
        <v>Pendiente de ejecutar</v>
      </c>
    </row>
    <row r="486" spans="1:11" x14ac:dyDescent="0.35">
      <c r="A486" s="5" t="s">
        <v>137</v>
      </c>
      <c r="B486" s="5" t="s">
        <v>44</v>
      </c>
      <c r="C486" s="5" t="s">
        <v>205</v>
      </c>
      <c r="D486" s="5" t="s">
        <v>206</v>
      </c>
      <c r="E486" s="12">
        <v>52000</v>
      </c>
      <c r="F486" s="12">
        <v>0</v>
      </c>
      <c r="G486" s="12">
        <v>0</v>
      </c>
      <c r="H486" s="12">
        <f>F486+G486</f>
        <v>0</v>
      </c>
      <c r="I486" s="3">
        <f>E486-H486</f>
        <v>52000</v>
      </c>
      <c r="J486" s="7">
        <f>IFERROR(H486/E486,0)</f>
        <v>0</v>
      </c>
      <c r="K486" s="5" t="str">
        <f>IF(E486=0,"Sin Plan",IF(J486&gt;=1,"Completado",IF(J486&gt;0.001,"En Progreso","Pendiente de ejecutar")))</f>
        <v>Pendiente de ejecutar</v>
      </c>
    </row>
    <row r="487" spans="1:11" x14ac:dyDescent="0.35">
      <c r="A487" s="2" t="s">
        <v>137</v>
      </c>
      <c r="B487" s="2" t="s">
        <v>44</v>
      </c>
      <c r="C487" s="2" t="s">
        <v>162</v>
      </c>
      <c r="D487" s="2" t="s">
        <v>163</v>
      </c>
      <c r="E487" s="12">
        <v>46000</v>
      </c>
      <c r="F487" s="12">
        <v>32286.92</v>
      </c>
      <c r="G487" s="12">
        <v>0</v>
      </c>
      <c r="H487" s="12">
        <f>F487+G487</f>
        <v>32286.92</v>
      </c>
      <c r="I487" s="3">
        <f>E487-H487</f>
        <v>13713.080000000002</v>
      </c>
      <c r="J487" s="4">
        <f>IFERROR(H487/E487,0)</f>
        <v>0.70188956521739132</v>
      </c>
      <c r="K487" s="2" t="str">
        <f>IF(E487=0,"Sin Plan",IF(J487&gt;=1,"Completado",IF(J487&gt;0.001,"En Progreso","Pendiente de ejecutar")))</f>
        <v>En Progreso</v>
      </c>
    </row>
    <row r="488" spans="1:11" x14ac:dyDescent="0.35">
      <c r="A488" s="5" t="s">
        <v>39</v>
      </c>
      <c r="B488" s="5" t="s">
        <v>40</v>
      </c>
      <c r="C488" s="5" t="s">
        <v>198</v>
      </c>
      <c r="D488" s="5" t="s">
        <v>199</v>
      </c>
      <c r="E488" s="12">
        <v>0</v>
      </c>
      <c r="F488" s="26">
        <v>189600</v>
      </c>
      <c r="G488" s="12">
        <v>0</v>
      </c>
      <c r="H488" s="12">
        <f>F488+G488</f>
        <v>189600</v>
      </c>
      <c r="I488" s="6">
        <f>E488-H488</f>
        <v>-189600</v>
      </c>
      <c r="J488" s="7">
        <f>IFERROR(H488/E488,0)</f>
        <v>0</v>
      </c>
      <c r="K488" s="5" t="str">
        <f>IF(E488=0,"Sin Plan",IF(J488&gt;=1,"Completado",IF(J488&gt;0.001,"En Progreso","Pendiente de ejecutar")))</f>
        <v>Sin Plan</v>
      </c>
    </row>
    <row r="489" spans="1:11" x14ac:dyDescent="0.35">
      <c r="A489" s="5" t="s">
        <v>177</v>
      </c>
      <c r="B489" s="5" t="s">
        <v>60</v>
      </c>
      <c r="C489" s="5" t="s">
        <v>9</v>
      </c>
      <c r="D489" s="5" t="s">
        <v>10</v>
      </c>
      <c r="E489" s="12">
        <v>462000</v>
      </c>
      <c r="F489" s="12">
        <v>323967.8</v>
      </c>
      <c r="G489" s="12">
        <v>0</v>
      </c>
      <c r="H489" s="12">
        <f>F489+G489</f>
        <v>323967.8</v>
      </c>
      <c r="I489" s="6">
        <f>E489-H489</f>
        <v>138032.20000000001</v>
      </c>
      <c r="J489" s="7">
        <f>IFERROR(H489/E489,0)</f>
        <v>0.70122900432900426</v>
      </c>
      <c r="K489" s="5" t="str">
        <f>IF(E489=0,"Sin Plan",IF(J489&gt;=1,"Completado",IF(J489&gt;0.001,"En Progreso","Pendiente de ejecutar")))</f>
        <v>En Progreso</v>
      </c>
    </row>
    <row r="490" spans="1:11" x14ac:dyDescent="0.35">
      <c r="A490" s="5" t="s">
        <v>122</v>
      </c>
      <c r="B490" s="5" t="s">
        <v>53</v>
      </c>
      <c r="C490" s="5" t="s">
        <v>200</v>
      </c>
      <c r="D490" s="5" t="s">
        <v>201</v>
      </c>
      <c r="E490" s="12">
        <v>0</v>
      </c>
      <c r="F490" s="26">
        <v>222616.9</v>
      </c>
      <c r="G490" s="12">
        <v>0</v>
      </c>
      <c r="H490" s="12">
        <f>F490+G490</f>
        <v>222616.9</v>
      </c>
      <c r="I490" s="6">
        <f>E490-H490</f>
        <v>-222616.9</v>
      </c>
      <c r="J490" s="7">
        <f>IFERROR(H490/E490,0)</f>
        <v>0</v>
      </c>
      <c r="K490" s="5" t="str">
        <f>IF(E490=0,"Sin Plan",IF(J490&gt;=1,"Completado",IF(J490&gt;0.001,"En Progreso","Pendiente de ejecutar")))</f>
        <v>Sin Plan</v>
      </c>
    </row>
    <row r="491" spans="1:11" x14ac:dyDescent="0.35">
      <c r="A491" s="2" t="s">
        <v>122</v>
      </c>
      <c r="B491" s="2" t="s">
        <v>53</v>
      </c>
      <c r="C491" s="2" t="s">
        <v>258</v>
      </c>
      <c r="D491" s="2" t="s">
        <v>259</v>
      </c>
      <c r="E491" s="12">
        <v>0</v>
      </c>
      <c r="F491" s="26">
        <v>243700</v>
      </c>
      <c r="G491" s="12">
        <v>0</v>
      </c>
      <c r="H491" s="12">
        <f>F491+G491</f>
        <v>243700</v>
      </c>
      <c r="I491" s="3">
        <f>E491-H491</f>
        <v>-243700</v>
      </c>
      <c r="J491" s="4">
        <f>IFERROR(H491/E491,0)</f>
        <v>0</v>
      </c>
      <c r="K491" s="2" t="str">
        <f>IF(E491=0,"Sin Plan",IF(J491&gt;=1,"Completado",IF(J491&gt;0.001,"En Progreso","Pendiente de ejecutar")))</f>
        <v>Sin Plan</v>
      </c>
    </row>
    <row r="492" spans="1:11" x14ac:dyDescent="0.35">
      <c r="A492" s="5" t="s">
        <v>177</v>
      </c>
      <c r="B492" s="5" t="s">
        <v>60</v>
      </c>
      <c r="C492" s="5" t="s">
        <v>3</v>
      </c>
      <c r="D492" s="5" t="s">
        <v>4</v>
      </c>
      <c r="E492" s="12">
        <v>176160</v>
      </c>
      <c r="F492" s="12">
        <v>235610.58</v>
      </c>
      <c r="G492" s="12">
        <v>0</v>
      </c>
      <c r="H492" s="12">
        <f>F492+G492</f>
        <v>235610.58</v>
      </c>
      <c r="I492" s="6">
        <f>E492-H492</f>
        <v>-59450.579999999987</v>
      </c>
      <c r="J492" s="7">
        <f>IFERROR(H492/E492,0)</f>
        <v>1.3374805858310626</v>
      </c>
      <c r="K492" s="5" t="str">
        <f>IF(E492=0,"Sin Plan",IF(J492&gt;=1,"Completado",IF(J492&gt;0.001,"En Progreso","Pendiente de ejecutar")))</f>
        <v>Completado</v>
      </c>
    </row>
    <row r="493" spans="1:11" x14ac:dyDescent="0.35">
      <c r="A493" s="2" t="s">
        <v>122</v>
      </c>
      <c r="B493" s="2" t="s">
        <v>53</v>
      </c>
      <c r="C493" s="2" t="s">
        <v>223</v>
      </c>
      <c r="D493" s="2" t="s">
        <v>224</v>
      </c>
      <c r="E493" s="12">
        <v>0</v>
      </c>
      <c r="F493" s="26">
        <v>49848.39</v>
      </c>
      <c r="G493" s="12">
        <v>0</v>
      </c>
      <c r="H493" s="12">
        <f>F493+G493</f>
        <v>49848.39</v>
      </c>
      <c r="I493" s="3">
        <f>E493-H493</f>
        <v>-49848.39</v>
      </c>
      <c r="J493" s="4">
        <f>IFERROR(H493/E493,0)</f>
        <v>0</v>
      </c>
      <c r="K493" s="2" t="str">
        <f>IF(E493=0,"Sin Plan",IF(J493&gt;=1,"Completado",IF(J493&gt;0.001,"En Progreso","Pendiente de ejecutar")))</f>
        <v>Sin Plan</v>
      </c>
    </row>
    <row r="494" spans="1:11" x14ac:dyDescent="0.35">
      <c r="A494" s="5" t="s">
        <v>137</v>
      </c>
      <c r="B494" s="5" t="s">
        <v>44</v>
      </c>
      <c r="C494" s="5" t="s">
        <v>195</v>
      </c>
      <c r="D494" s="5" t="s">
        <v>196</v>
      </c>
      <c r="E494" s="12">
        <v>17400</v>
      </c>
      <c r="F494" s="12">
        <v>0</v>
      </c>
      <c r="G494" s="12">
        <v>0</v>
      </c>
      <c r="H494" s="12">
        <f>F494+G494</f>
        <v>0</v>
      </c>
      <c r="I494" s="3">
        <f>E494-H494</f>
        <v>17400</v>
      </c>
      <c r="J494" s="7">
        <f>IFERROR(H494/E494,0)</f>
        <v>0</v>
      </c>
      <c r="K494" s="5" t="str">
        <f>IF(E494=0,"Sin Plan",IF(J494&gt;=1,"Completado",IF(J494&gt;0.001,"En Progreso","Pendiente de ejecutar")))</f>
        <v>Pendiente de ejecutar</v>
      </c>
    </row>
    <row r="495" spans="1:11" x14ac:dyDescent="0.35">
      <c r="A495" s="5" t="s">
        <v>177</v>
      </c>
      <c r="B495" s="5" t="s">
        <v>60</v>
      </c>
      <c r="C495" s="5" t="s">
        <v>22</v>
      </c>
      <c r="D495" s="5" t="s">
        <v>23</v>
      </c>
      <c r="E495" s="12">
        <v>132300</v>
      </c>
      <c r="F495" s="12">
        <v>136751.45000000001</v>
      </c>
      <c r="G495" s="12">
        <v>0</v>
      </c>
      <c r="H495" s="12">
        <f>F495+G495</f>
        <v>136751.45000000001</v>
      </c>
      <c r="I495" s="6">
        <f>E495-H495</f>
        <v>-4451.4500000000116</v>
      </c>
      <c r="J495" s="7">
        <f>IFERROR(H495/E495,0)</f>
        <v>1.0336466364323509</v>
      </c>
      <c r="K495" s="5" t="str">
        <f>IF(E495=0,"Sin Plan",IF(J495&gt;=1,"Completado",IF(J495&gt;0.001,"En Progreso","Pendiente de ejecutar")))</f>
        <v>Completado</v>
      </c>
    </row>
    <row r="496" spans="1:11" x14ac:dyDescent="0.35">
      <c r="A496" s="2" t="s">
        <v>177</v>
      </c>
      <c r="B496" s="2" t="s">
        <v>60</v>
      </c>
      <c r="C496" s="2" t="s">
        <v>26</v>
      </c>
      <c r="D496" s="2" t="s">
        <v>27</v>
      </c>
      <c r="E496" s="12">
        <v>112000</v>
      </c>
      <c r="F496" s="12">
        <v>132990.26</v>
      </c>
      <c r="G496" s="12">
        <v>0</v>
      </c>
      <c r="H496" s="12">
        <f>F496+G496</f>
        <v>132990.26</v>
      </c>
      <c r="I496" s="3">
        <f>E496-H496</f>
        <v>-20990.260000000009</v>
      </c>
      <c r="J496" s="4">
        <f>IFERROR(H496/E496,0)</f>
        <v>1.1874130357142858</v>
      </c>
      <c r="K496" s="2" t="str">
        <f>IF(E496=0,"Sin Plan",IF(J496&gt;=1,"Completado",IF(J496&gt;0.001,"En Progreso","Pendiente de ejecutar")))</f>
        <v>Completado</v>
      </c>
    </row>
    <row r="497" spans="1:11" x14ac:dyDescent="0.35">
      <c r="A497" s="5" t="s">
        <v>137</v>
      </c>
      <c r="B497" s="5" t="s">
        <v>44</v>
      </c>
      <c r="C497" s="5" t="s">
        <v>118</v>
      </c>
      <c r="D497" s="5" t="s">
        <v>119</v>
      </c>
      <c r="E497" s="12">
        <v>0</v>
      </c>
      <c r="F497" s="12">
        <v>40400</v>
      </c>
      <c r="G497" s="12">
        <v>0</v>
      </c>
      <c r="H497" s="12">
        <f>F497+G497</f>
        <v>40400</v>
      </c>
      <c r="I497" s="3">
        <f>E497-H497</f>
        <v>-40400</v>
      </c>
      <c r="J497" s="7">
        <f>IFERROR(H497/E497,0)</f>
        <v>0</v>
      </c>
      <c r="K497" s="5" t="str">
        <f>IF(E497=0,"Sin Plan",IF(J497&gt;=1,"Completado",IF(J497&gt;0.001,"En Progreso","Pendiente de ejecutar")))</f>
        <v>Sin Plan</v>
      </c>
    </row>
    <row r="498" spans="1:11" x14ac:dyDescent="0.35">
      <c r="A498" s="2" t="s">
        <v>137</v>
      </c>
      <c r="B498" s="2" t="s">
        <v>44</v>
      </c>
      <c r="C498" s="2" t="s">
        <v>18</v>
      </c>
      <c r="D498" s="2" t="s">
        <v>19</v>
      </c>
      <c r="E498" s="12">
        <v>0</v>
      </c>
      <c r="F498" s="12">
        <v>95500</v>
      </c>
      <c r="G498" s="12">
        <v>0</v>
      </c>
      <c r="H498" s="12">
        <f>F498+G498</f>
        <v>95500</v>
      </c>
      <c r="I498" s="3">
        <f>E498-H498</f>
        <v>-95500</v>
      </c>
      <c r="J498" s="4">
        <f>IFERROR(H498/E498,0)</f>
        <v>0</v>
      </c>
      <c r="K498" s="2" t="str">
        <f>IF(E498=0,"Sin Plan",IF(J498&gt;=1,"Completado",IF(J498&gt;0.001,"En Progreso","Pendiente de ejecutar")))</f>
        <v>Sin Plan</v>
      </c>
    </row>
    <row r="499" spans="1:11" x14ac:dyDescent="0.35">
      <c r="A499" s="2" t="s">
        <v>85</v>
      </c>
      <c r="B499" s="2" t="s">
        <v>74</v>
      </c>
      <c r="C499" s="2" t="s">
        <v>262</v>
      </c>
      <c r="D499" s="2" t="s">
        <v>263</v>
      </c>
      <c r="E499" s="12">
        <v>0</v>
      </c>
      <c r="F499" s="12">
        <v>282397</v>
      </c>
      <c r="G499" s="12">
        <v>0</v>
      </c>
      <c r="H499" s="12">
        <f>F499+G499</f>
        <v>282397</v>
      </c>
      <c r="I499" s="3">
        <f>E499-H499</f>
        <v>-282397</v>
      </c>
      <c r="J499" s="4">
        <f>IFERROR(H499/E499,0)</f>
        <v>0</v>
      </c>
      <c r="K499" s="2" t="str">
        <f>IF(E499=0,"Sin Plan",IF(J499&gt;=1,"Completado",IF(J499&gt;0.001,"En Progreso","Pendiente de ejecutar")))</f>
        <v>Sin Plan</v>
      </c>
    </row>
    <row r="500" spans="1:11" x14ac:dyDescent="0.35">
      <c r="A500" s="2" t="s">
        <v>191</v>
      </c>
      <c r="B500" s="2" t="s">
        <v>51</v>
      </c>
      <c r="C500" s="2" t="s">
        <v>189</v>
      </c>
      <c r="D500" s="2" t="s">
        <v>190</v>
      </c>
      <c r="E500" s="12">
        <v>363000</v>
      </c>
      <c r="F500" s="12">
        <v>105550</v>
      </c>
      <c r="G500" s="12">
        <v>0</v>
      </c>
      <c r="H500" s="12">
        <f>F500+G500</f>
        <v>105550</v>
      </c>
      <c r="I500" s="3">
        <f>E500-H500</f>
        <v>257450</v>
      </c>
      <c r="J500" s="4">
        <f>IFERROR(H500/E500,0)</f>
        <v>0.29077134986225894</v>
      </c>
      <c r="K500" s="2" t="str">
        <f>IF(E500=0,"Sin Plan",IF(J500&gt;=1,"Completado",IF(J500&gt;0.001,"En Progreso","Pendiente de ejecutar")))</f>
        <v>En Progreso</v>
      </c>
    </row>
    <row r="501" spans="1:11" x14ac:dyDescent="0.35">
      <c r="A501" s="2" t="s">
        <v>41</v>
      </c>
      <c r="B501" s="2" t="s">
        <v>42</v>
      </c>
      <c r="C501" s="2" t="s">
        <v>264</v>
      </c>
      <c r="D501" s="2" t="s">
        <v>265</v>
      </c>
      <c r="E501" s="12">
        <v>0</v>
      </c>
      <c r="F501" s="12">
        <v>640373.97</v>
      </c>
      <c r="G501" s="12">
        <v>1685274.63</v>
      </c>
      <c r="H501" s="12">
        <f>F501+G501</f>
        <v>2325648.5999999996</v>
      </c>
      <c r="I501" s="3">
        <f>E501-H501</f>
        <v>-2325648.5999999996</v>
      </c>
      <c r="J501" s="4">
        <f>IFERROR(H501/E501,0)</f>
        <v>0</v>
      </c>
      <c r="K501" s="2" t="str">
        <f>IF(E501=0,"Sin Plan",IF(J501&gt;=1,"Completado",IF(J501&gt;0.001,"En Progreso","Pendiente de ejecutar")))</f>
        <v>Sin Plan</v>
      </c>
    </row>
    <row r="502" spans="1:11" x14ac:dyDescent="0.35">
      <c r="A502" s="5" t="s">
        <v>137</v>
      </c>
      <c r="B502" s="5" t="s">
        <v>44</v>
      </c>
      <c r="C502" s="5" t="s">
        <v>13</v>
      </c>
      <c r="D502" s="5" t="s">
        <v>14</v>
      </c>
      <c r="E502" s="12">
        <v>0</v>
      </c>
      <c r="F502" s="12">
        <v>0</v>
      </c>
      <c r="G502" s="12">
        <v>108227.37</v>
      </c>
      <c r="H502" s="12">
        <f>F502+G502</f>
        <v>108227.37</v>
      </c>
      <c r="I502" s="3">
        <f>E502-H502</f>
        <v>-108227.37</v>
      </c>
      <c r="J502" s="7">
        <f>IFERROR(H502/E502,0)</f>
        <v>0</v>
      </c>
      <c r="K502" s="5" t="str">
        <f>IF(E502=0,"Sin Plan",IF(J502&gt;=1,"Completado",IF(J502&gt;0.001,"En Progreso","Pendiente de ejecutar")))</f>
        <v>Sin Plan</v>
      </c>
    </row>
    <row r="503" spans="1:11" x14ac:dyDescent="0.35">
      <c r="A503" s="25" t="s">
        <v>84</v>
      </c>
      <c r="B503" s="20" t="s">
        <v>46</v>
      </c>
      <c r="C503" s="20" t="s">
        <v>240</v>
      </c>
      <c r="D503" s="20" t="s">
        <v>241</v>
      </c>
      <c r="E503" s="21">
        <v>0</v>
      </c>
      <c r="F503" s="26">
        <v>283694</v>
      </c>
      <c r="G503" s="21">
        <v>0</v>
      </c>
      <c r="H503" s="21">
        <f>F503+G503</f>
        <v>283694</v>
      </c>
      <c r="I503" s="3">
        <f>E503-H503</f>
        <v>-283694</v>
      </c>
      <c r="J503" s="4">
        <f>IFERROR(H503/E503,0)</f>
        <v>0</v>
      </c>
      <c r="K503" s="2" t="str">
        <f>IF(E503=0,"Sin Plan",IF(J503&gt;=1,"Completado",IF(J503&gt;0.001,"En Progreso","Pendiente de ejecutar")))</f>
        <v>Sin Plan</v>
      </c>
    </row>
    <row r="504" spans="1:11" x14ac:dyDescent="0.35">
      <c r="A504" s="5" t="s">
        <v>39</v>
      </c>
      <c r="B504" s="5" t="s">
        <v>40</v>
      </c>
      <c r="C504" s="5" t="s">
        <v>120</v>
      </c>
      <c r="D504" s="5" t="s">
        <v>121</v>
      </c>
      <c r="E504" s="12">
        <v>0</v>
      </c>
      <c r="F504" s="12">
        <v>108060</v>
      </c>
      <c r="G504" s="26">
        <v>44000</v>
      </c>
      <c r="H504" s="12">
        <f>F504+G504</f>
        <v>152060</v>
      </c>
      <c r="I504" s="6">
        <f>E504-H504</f>
        <v>-152060</v>
      </c>
      <c r="J504" s="7">
        <f>IFERROR(H504/E504,0)</f>
        <v>0</v>
      </c>
      <c r="K504" s="5" t="str">
        <f>IF(E504=0,"Sin Plan",IF(J504&gt;=1,"Completado",IF(J504&gt;0.001,"En Progreso","Pendiente de ejecutar")))</f>
        <v>Sin Plan</v>
      </c>
    </row>
    <row r="505" spans="1:11" x14ac:dyDescent="0.35">
      <c r="A505" s="2" t="s">
        <v>81</v>
      </c>
      <c r="B505" s="2" t="s">
        <v>55</v>
      </c>
      <c r="C505" s="2" t="s">
        <v>7</v>
      </c>
      <c r="D505" s="2" t="s">
        <v>8</v>
      </c>
      <c r="E505" s="12">
        <v>350000</v>
      </c>
      <c r="F505" s="12">
        <v>0</v>
      </c>
      <c r="G505" s="12">
        <v>0</v>
      </c>
      <c r="H505" s="12">
        <f>F505+G505</f>
        <v>0</v>
      </c>
      <c r="I505" s="3">
        <f>E505-H505</f>
        <v>350000</v>
      </c>
      <c r="J505" s="4">
        <f>IFERROR(H505/E505,0)</f>
        <v>0</v>
      </c>
      <c r="K505" s="2" t="str">
        <f>IF(E505=0,"Sin Plan",IF(J505&gt;=1,"Completado",IF(J505&gt;0.001,"En Progreso","Pendiente de ejecutar")))</f>
        <v>Pendiente de ejecutar</v>
      </c>
    </row>
    <row r="506" spans="1:11" x14ac:dyDescent="0.35">
      <c r="A506" s="5" t="s">
        <v>81</v>
      </c>
      <c r="B506" s="5" t="s">
        <v>55</v>
      </c>
      <c r="C506" s="5" t="s">
        <v>162</v>
      </c>
      <c r="D506" s="5" t="s">
        <v>163</v>
      </c>
      <c r="E506" s="12">
        <v>217000</v>
      </c>
      <c r="F506" s="12">
        <v>226008.44</v>
      </c>
      <c r="G506" s="12">
        <v>0</v>
      </c>
      <c r="H506" s="12">
        <f>F506+G506</f>
        <v>226008.44</v>
      </c>
      <c r="I506" s="3">
        <f>E506-H506</f>
        <v>-9008.4400000000023</v>
      </c>
      <c r="J506" s="7">
        <f>IFERROR(H506/E506,0)</f>
        <v>1.0415135483870968</v>
      </c>
      <c r="K506" s="5" t="str">
        <f>IF(E506=0,"Sin Plan",IF(J506&gt;=1,"Completado",IF(J506&gt;0.001,"En Progreso","Pendiente de ejecutar")))</f>
        <v>Completado</v>
      </c>
    </row>
    <row r="507" spans="1:11" x14ac:dyDescent="0.35">
      <c r="A507" s="2" t="s">
        <v>122</v>
      </c>
      <c r="B507" s="2" t="s">
        <v>53</v>
      </c>
      <c r="C507" s="2" t="s">
        <v>185</v>
      </c>
      <c r="D507" s="11" t="s">
        <v>319</v>
      </c>
      <c r="E507" s="12">
        <v>0</v>
      </c>
      <c r="F507" s="12">
        <v>160264.1</v>
      </c>
      <c r="G507" s="12">
        <v>0</v>
      </c>
      <c r="H507" s="12">
        <f>F507+G507</f>
        <v>160264.1</v>
      </c>
      <c r="I507" s="3">
        <f>E507-H507</f>
        <v>-160264.1</v>
      </c>
      <c r="J507" s="4">
        <f>IFERROR(H507/E507,0)</f>
        <v>0</v>
      </c>
      <c r="K507" s="2" t="str">
        <f>IF(E507=0,"Sin Plan",IF(J507&gt;=1,"Completado",IF(J507&gt;0.001,"En Progreso","Pendiente de ejecutar")))</f>
        <v>Sin Plan</v>
      </c>
    </row>
    <row r="508" spans="1:11" x14ac:dyDescent="0.35">
      <c r="A508" s="2" t="s">
        <v>122</v>
      </c>
      <c r="B508" s="2" t="s">
        <v>53</v>
      </c>
      <c r="C508" s="2" t="s">
        <v>2</v>
      </c>
      <c r="D508" s="2" t="s">
        <v>299</v>
      </c>
      <c r="E508" s="12">
        <v>0</v>
      </c>
      <c r="F508" s="12">
        <v>0</v>
      </c>
      <c r="G508" s="12">
        <v>22033.89</v>
      </c>
      <c r="H508" s="12">
        <f>F508+G508</f>
        <v>22033.89</v>
      </c>
      <c r="I508" s="3">
        <f>E508-H508</f>
        <v>-22033.89</v>
      </c>
      <c r="J508" s="4">
        <f>IFERROR(H508/E508,0)</f>
        <v>0</v>
      </c>
      <c r="K508" s="2" t="str">
        <f>IF(E508=0,"Sin Plan",IF(J508&gt;=1,"Completado",IF(J508&gt;0.001,"En Progreso","Pendiente de ejecutar")))</f>
        <v>Sin Plan</v>
      </c>
    </row>
    <row r="509" spans="1:11" x14ac:dyDescent="0.35">
      <c r="A509" s="2" t="s">
        <v>191</v>
      </c>
      <c r="B509" s="2" t="s">
        <v>51</v>
      </c>
      <c r="C509" s="2" t="s">
        <v>22</v>
      </c>
      <c r="D509" s="2" t="s">
        <v>23</v>
      </c>
      <c r="E509" s="12">
        <v>132300</v>
      </c>
      <c r="F509" s="12">
        <v>0</v>
      </c>
      <c r="G509" s="12">
        <v>246624.75</v>
      </c>
      <c r="H509" s="12">
        <f>F509+G509</f>
        <v>246624.75</v>
      </c>
      <c r="I509" s="3">
        <f>E509-H509</f>
        <v>-114324.75</v>
      </c>
      <c r="J509" s="4">
        <f>IFERROR(H509/E509,0)</f>
        <v>1.8641326530612246</v>
      </c>
      <c r="K509" s="2" t="str">
        <f>IF(E509=0,"Sin Plan",IF(J509&gt;=1,"Completado",IF(J509&gt;0.001,"En Progreso","Pendiente de ejecutar")))</f>
        <v>Completado</v>
      </c>
    </row>
    <row r="510" spans="1:11" x14ac:dyDescent="0.35">
      <c r="A510" s="2" t="s">
        <v>39</v>
      </c>
      <c r="B510" s="2" t="s">
        <v>40</v>
      </c>
      <c r="C510" s="2" t="s">
        <v>236</v>
      </c>
      <c r="D510" s="2" t="s">
        <v>237</v>
      </c>
      <c r="E510" s="12">
        <v>0</v>
      </c>
      <c r="F510" s="12">
        <v>230400</v>
      </c>
      <c r="G510" s="26">
        <v>345600</v>
      </c>
      <c r="H510" s="12">
        <f>F510+G510</f>
        <v>576000</v>
      </c>
      <c r="I510" s="3">
        <f>E510-H510</f>
        <v>-576000</v>
      </c>
      <c r="J510" s="4">
        <f>IFERROR(H510/E510,0)</f>
        <v>0</v>
      </c>
      <c r="K510" s="2" t="str">
        <f>IF(E510=0,"Sin Plan",IF(J510&gt;=1,"Completado",IF(J510&gt;0.001,"En Progreso","Pendiente de ejecutar")))</f>
        <v>Sin Plan</v>
      </c>
    </row>
    <row r="511" spans="1:11" x14ac:dyDescent="0.35">
      <c r="A511" s="2" t="s">
        <v>140</v>
      </c>
      <c r="B511" s="2" t="s">
        <v>53</v>
      </c>
      <c r="C511" s="2" t="s">
        <v>103</v>
      </c>
      <c r="D511" s="2" t="s">
        <v>104</v>
      </c>
      <c r="E511" s="12">
        <v>820000</v>
      </c>
      <c r="F511" s="12">
        <v>0</v>
      </c>
      <c r="G511" s="12">
        <v>0</v>
      </c>
      <c r="H511" s="12">
        <f>F511+G511</f>
        <v>0</v>
      </c>
      <c r="I511" s="3">
        <f>E511-H511</f>
        <v>820000</v>
      </c>
      <c r="J511" s="4">
        <f>IFERROR(H511/E511,0)</f>
        <v>0</v>
      </c>
      <c r="K511" s="2" t="str">
        <f>IF(E511=0,"Sin Plan",IF(J511&gt;=1,"Completado",IF(J511&gt;0.001,"En Progreso","Pendiente de ejecutar")))</f>
        <v>Pendiente de ejecutar</v>
      </c>
    </row>
    <row r="512" spans="1:11" x14ac:dyDescent="0.35">
      <c r="A512" s="2" t="s">
        <v>81</v>
      </c>
      <c r="B512" s="2" t="s">
        <v>55</v>
      </c>
      <c r="C512" s="2" t="s">
        <v>2</v>
      </c>
      <c r="D512" s="2" t="s">
        <v>299</v>
      </c>
      <c r="E512" s="12">
        <v>0</v>
      </c>
      <c r="F512" s="12">
        <v>311400</v>
      </c>
      <c r="G512" s="12">
        <v>0</v>
      </c>
      <c r="H512" s="12">
        <f>F512+G512</f>
        <v>311400</v>
      </c>
      <c r="I512" s="3">
        <f>E512-H512</f>
        <v>-311400</v>
      </c>
      <c r="J512" s="4">
        <f>IFERROR(H512/E512,0)</f>
        <v>0</v>
      </c>
      <c r="K512" s="2" t="str">
        <f>IF(E512=0,"Sin Plan",IF(J512&gt;=1,"Completado",IF(J512&gt;0.001,"En Progreso","Pendiente de ejecutar")))</f>
        <v>Sin Plan</v>
      </c>
    </row>
    <row r="513" spans="1:11" s="16" customFormat="1" x14ac:dyDescent="0.35">
      <c r="A513" s="17" t="s">
        <v>137</v>
      </c>
      <c r="B513" s="17" t="s">
        <v>44</v>
      </c>
      <c r="C513" s="17" t="s">
        <v>22</v>
      </c>
      <c r="D513" s="17" t="s">
        <v>23</v>
      </c>
      <c r="E513" s="12">
        <v>0</v>
      </c>
      <c r="F513" s="12">
        <v>0</v>
      </c>
      <c r="G513" s="12">
        <v>246624.75</v>
      </c>
      <c r="H513" s="12">
        <f>F513+G513</f>
        <v>246624.75</v>
      </c>
      <c r="I513" s="3">
        <f>E513-H513</f>
        <v>-246624.75</v>
      </c>
      <c r="J513" s="19">
        <f>IFERROR(H513/E513,0)</f>
        <v>0</v>
      </c>
      <c r="K513" s="17" t="str">
        <f>IF(E513=0,"Sin Plan",IF(J513&gt;=1,"Completado",IF(J513&gt;0.001,"En Progreso","Pendiente de ejecutar")))</f>
        <v>Sin Plan</v>
      </c>
    </row>
    <row r="514" spans="1:11" x14ac:dyDescent="0.35">
      <c r="A514" s="2" t="s">
        <v>39</v>
      </c>
      <c r="B514" s="2" t="s">
        <v>40</v>
      </c>
      <c r="C514" s="2" t="s">
        <v>185</v>
      </c>
      <c r="D514" s="2" t="s">
        <v>186</v>
      </c>
      <c r="E514" s="12">
        <v>0</v>
      </c>
      <c r="F514" s="26">
        <v>1137172.5</v>
      </c>
      <c r="G514" s="12">
        <v>0</v>
      </c>
      <c r="H514" s="12">
        <f>F514+G514</f>
        <v>1137172.5</v>
      </c>
      <c r="I514" s="3">
        <f>E514-H514</f>
        <v>-1137172.5</v>
      </c>
      <c r="J514" s="4">
        <f>IFERROR(H514/E514,0)</f>
        <v>0</v>
      </c>
      <c r="K514" s="2" t="str">
        <f>IF(E514=0,"Sin Plan",IF(J514&gt;=1,"Completado",IF(J514&gt;0.001,"En Progreso","Pendiente de ejecutar")))</f>
        <v>Sin Plan</v>
      </c>
    </row>
    <row r="515" spans="1:11" x14ac:dyDescent="0.35">
      <c r="A515" s="5" t="s">
        <v>270</v>
      </c>
      <c r="B515" s="5" t="s">
        <v>74</v>
      </c>
      <c r="C515" s="5" t="s">
        <v>185</v>
      </c>
      <c r="D515" s="5" t="s">
        <v>186</v>
      </c>
      <c r="E515" s="12">
        <v>0</v>
      </c>
      <c r="F515" s="12">
        <v>644397.75</v>
      </c>
      <c r="G515" s="12">
        <v>0</v>
      </c>
      <c r="H515" s="12">
        <f>F515+G515</f>
        <v>644397.75</v>
      </c>
      <c r="I515" s="6">
        <f>E515-H515</f>
        <v>-644397.75</v>
      </c>
      <c r="J515" s="7">
        <f>IFERROR(H515/E515,0)</f>
        <v>0</v>
      </c>
      <c r="K515" s="5" t="str">
        <f>IF(E515=0,"Sin Plan",IF(J515&gt;=1,"Completado",IF(J515&gt;0.001,"En Progreso","Pendiente de ejecutar")))</f>
        <v>Sin Plan</v>
      </c>
    </row>
    <row r="516" spans="1:11" x14ac:dyDescent="0.35">
      <c r="A516" s="5" t="s">
        <v>113</v>
      </c>
      <c r="B516" s="5" t="s">
        <v>44</v>
      </c>
      <c r="C516" s="5" t="s">
        <v>20</v>
      </c>
      <c r="D516" s="5" t="s">
        <v>21</v>
      </c>
      <c r="E516" s="12">
        <v>2000000</v>
      </c>
      <c r="F516" s="12">
        <v>0</v>
      </c>
      <c r="G516" s="12">
        <v>0</v>
      </c>
      <c r="H516" s="12">
        <f>F516+G516</f>
        <v>0</v>
      </c>
      <c r="I516" s="3">
        <f>E516-H516</f>
        <v>2000000</v>
      </c>
      <c r="J516" s="7">
        <f>IFERROR(H516/E516,0)</f>
        <v>0</v>
      </c>
      <c r="K516" s="5" t="str">
        <f>IF(E516=0,"Sin Plan",IF(J516&gt;=1,"Completado",IF(J516&gt;0.001,"En Progreso","Pendiente de ejecutar")))</f>
        <v>Pendiente de ejecutar</v>
      </c>
    </row>
    <row r="517" spans="1:11" x14ac:dyDescent="0.35">
      <c r="A517" s="5" t="s">
        <v>132</v>
      </c>
      <c r="B517" s="5" t="s">
        <v>55</v>
      </c>
      <c r="C517" s="5" t="s">
        <v>13</v>
      </c>
      <c r="D517" s="5" t="s">
        <v>14</v>
      </c>
      <c r="E517" s="12">
        <v>1250000</v>
      </c>
      <c r="F517" s="12">
        <v>0</v>
      </c>
      <c r="G517" s="12">
        <v>721415.83</v>
      </c>
      <c r="H517" s="12">
        <f>F517+G517</f>
        <v>721415.83</v>
      </c>
      <c r="I517" s="3">
        <f>E517-H517</f>
        <v>528584.17000000004</v>
      </c>
      <c r="J517" s="7">
        <f>IFERROR(H517/E517,0)</f>
        <v>0.57713266399999996</v>
      </c>
      <c r="K517" s="5" t="str">
        <f>IF(E517=0,"Sin Plan",IF(J517&gt;=1,"Completado",IF(J517&gt;0.001,"En Progreso","Pendiente de ejecutar")))</f>
        <v>En Progreso</v>
      </c>
    </row>
    <row r="518" spans="1:11" x14ac:dyDescent="0.35">
      <c r="A518" s="2" t="s">
        <v>140</v>
      </c>
      <c r="B518" s="2" t="s">
        <v>53</v>
      </c>
      <c r="C518" s="2" t="s">
        <v>94</v>
      </c>
      <c r="D518" s="2" t="s">
        <v>95</v>
      </c>
      <c r="E518" s="12">
        <v>630000</v>
      </c>
      <c r="F518" s="12">
        <v>0</v>
      </c>
      <c r="G518" s="12">
        <v>0</v>
      </c>
      <c r="H518" s="12">
        <f>F518+G518</f>
        <v>0</v>
      </c>
      <c r="I518" s="3">
        <f>E518-H518</f>
        <v>630000</v>
      </c>
      <c r="J518" s="4">
        <f>IFERROR(H518/E518,0)</f>
        <v>0</v>
      </c>
      <c r="K518" s="2" t="str">
        <f>IF(E518=0,"Sin Plan",IF(J518&gt;=1,"Completado",IF(J518&gt;0.001,"En Progreso","Pendiente de ejecutar")))</f>
        <v>Pendiente de ejecutar</v>
      </c>
    </row>
    <row r="519" spans="1:11" x14ac:dyDescent="0.35">
      <c r="A519" s="5" t="s">
        <v>39</v>
      </c>
      <c r="B519" s="5" t="s">
        <v>40</v>
      </c>
      <c r="C519" s="5" t="s">
        <v>18</v>
      </c>
      <c r="D519" s="5" t="s">
        <v>19</v>
      </c>
      <c r="E519" s="12">
        <v>0</v>
      </c>
      <c r="F519" s="26">
        <v>93260</v>
      </c>
      <c r="G519" s="12">
        <v>0</v>
      </c>
      <c r="H519" s="12">
        <f>F519+G519</f>
        <v>93260</v>
      </c>
      <c r="I519" s="6">
        <f>E519-H519</f>
        <v>-93260</v>
      </c>
      <c r="J519" s="7">
        <f>IFERROR(H519/E519,0)</f>
        <v>0</v>
      </c>
      <c r="K519" s="5" t="str">
        <f>IF(E519=0,"Sin Plan",IF(J519&gt;=1,"Completado",IF(J519&gt;0.001,"En Progreso","Pendiente de ejecutar")))</f>
        <v>Sin Plan</v>
      </c>
    </row>
    <row r="520" spans="1:11" x14ac:dyDescent="0.35">
      <c r="A520" s="2" t="s">
        <v>105</v>
      </c>
      <c r="B520" s="2" t="s">
        <v>74</v>
      </c>
      <c r="C520" s="2" t="s">
        <v>18</v>
      </c>
      <c r="D520" s="2" t="s">
        <v>19</v>
      </c>
      <c r="E520" s="12">
        <v>0</v>
      </c>
      <c r="F520" s="12">
        <v>40940</v>
      </c>
      <c r="G520" s="12">
        <v>0</v>
      </c>
      <c r="H520" s="12">
        <f>F520+G520</f>
        <v>40940</v>
      </c>
      <c r="I520" s="3">
        <f>E520-H520</f>
        <v>-40940</v>
      </c>
      <c r="J520" s="4">
        <f>IFERROR(H520/E520,0)</f>
        <v>0</v>
      </c>
      <c r="K520" s="2" t="str">
        <f>IF(E520=0,"Sin Plan",IF(J520&gt;=1,"Completado",IF(J520&gt;0.001,"En Progreso","Pendiente de ejecutar")))</f>
        <v>Sin Plan</v>
      </c>
    </row>
    <row r="521" spans="1:11" x14ac:dyDescent="0.35">
      <c r="A521" s="5" t="s">
        <v>184</v>
      </c>
      <c r="B521" s="5" t="s">
        <v>74</v>
      </c>
      <c r="C521" s="5" t="s">
        <v>18</v>
      </c>
      <c r="D521" s="5" t="s">
        <v>19</v>
      </c>
      <c r="E521" s="12">
        <v>0</v>
      </c>
      <c r="F521" s="12">
        <v>12000</v>
      </c>
      <c r="G521" s="12">
        <v>0</v>
      </c>
      <c r="H521" s="12">
        <f>F521+G521</f>
        <v>12000</v>
      </c>
      <c r="I521" s="6">
        <f>E521-H521</f>
        <v>-12000</v>
      </c>
      <c r="J521" s="7">
        <f>IFERROR(H521/E521,0)</f>
        <v>0</v>
      </c>
      <c r="K521" s="5" t="str">
        <f>IF(E521=0,"Sin Plan",IF(J521&gt;=1,"Completado",IF(J521&gt;0.001,"En Progreso","Pendiente de ejecutar")))</f>
        <v>Sin Plan</v>
      </c>
    </row>
    <row r="522" spans="1:11" x14ac:dyDescent="0.35">
      <c r="A522" s="25" t="s">
        <v>84</v>
      </c>
      <c r="B522" s="20" t="s">
        <v>46</v>
      </c>
      <c r="C522" s="20"/>
      <c r="D522" s="20" t="s">
        <v>374</v>
      </c>
      <c r="E522" s="21">
        <v>0</v>
      </c>
      <c r="F522" s="26">
        <v>27160</v>
      </c>
      <c r="G522" s="21"/>
      <c r="H522" s="21">
        <f>F522+G522</f>
        <v>27160</v>
      </c>
      <c r="I522" s="3">
        <f>E522-H522</f>
        <v>-27160</v>
      </c>
      <c r="J522" s="4">
        <f>IFERROR(H522/E522,0)</f>
        <v>0</v>
      </c>
      <c r="K522" s="2" t="str">
        <f>IF(E522=0,"Sin Plan",IF(J522&gt;=1,"Completado",IF(J522&gt;0.001,"En Progreso","Pendiente de ejecutar")))</f>
        <v>Sin Plan</v>
      </c>
    </row>
    <row r="523" spans="1:11" x14ac:dyDescent="0.35">
      <c r="A523" s="25" t="s">
        <v>84</v>
      </c>
      <c r="B523" s="20" t="s">
        <v>46</v>
      </c>
      <c r="C523" s="20" t="s">
        <v>258</v>
      </c>
      <c r="D523" s="20" t="s">
        <v>259</v>
      </c>
      <c r="E523" s="21">
        <v>0</v>
      </c>
      <c r="F523" s="26">
        <v>243700</v>
      </c>
      <c r="G523" s="21">
        <v>0</v>
      </c>
      <c r="H523" s="21">
        <f>F523+G523</f>
        <v>243700</v>
      </c>
      <c r="I523" s="3">
        <f>E523-H523</f>
        <v>-243700</v>
      </c>
      <c r="J523" s="4">
        <f>IFERROR(H523/E523,0)</f>
        <v>0</v>
      </c>
      <c r="K523" s="2" t="str">
        <f>IF(E523=0,"Sin Plan",IF(J523&gt;=1,"Completado",IF(J523&gt;0.001,"En Progreso","Pendiente de ejecutar")))</f>
        <v>Sin Plan</v>
      </c>
    </row>
    <row r="524" spans="1:11" x14ac:dyDescent="0.35">
      <c r="A524" s="2" t="s">
        <v>132</v>
      </c>
      <c r="B524" s="2" t="s">
        <v>55</v>
      </c>
      <c r="C524" s="2" t="s">
        <v>3</v>
      </c>
      <c r="D524" s="2" t="s">
        <v>4</v>
      </c>
      <c r="E524" s="12">
        <v>715000</v>
      </c>
      <c r="F524" s="12">
        <v>0</v>
      </c>
      <c r="G524" s="12">
        <v>0</v>
      </c>
      <c r="H524" s="12">
        <f>F524+G524</f>
        <v>0</v>
      </c>
      <c r="I524" s="3">
        <f>E524-H524</f>
        <v>715000</v>
      </c>
      <c r="J524" s="4">
        <f>IFERROR(H524/E524,0)</f>
        <v>0</v>
      </c>
      <c r="K524" s="2" t="str">
        <f>IF(E524=0,"Sin Plan",IF(J524&gt;=1,"Completado",IF(J524&gt;0.001,"En Progreso","Pendiente de ejecutar")))</f>
        <v>Pendiente de ejecutar</v>
      </c>
    </row>
    <row r="525" spans="1:11" x14ac:dyDescent="0.35">
      <c r="A525" s="5" t="s">
        <v>191</v>
      </c>
      <c r="B525" s="5" t="s">
        <v>51</v>
      </c>
      <c r="C525" s="5" t="s">
        <v>185</v>
      </c>
      <c r="D525" s="5" t="s">
        <v>186</v>
      </c>
      <c r="E525" s="12">
        <v>0</v>
      </c>
      <c r="F525" s="12">
        <v>0</v>
      </c>
      <c r="G525" s="12">
        <v>163408.31</v>
      </c>
      <c r="H525" s="12">
        <f>F525+G525</f>
        <v>163408.31</v>
      </c>
      <c r="I525" s="6">
        <f>E525-H525</f>
        <v>-163408.31</v>
      </c>
      <c r="J525" s="7">
        <f>IFERROR(H525/E525,0)</f>
        <v>0</v>
      </c>
      <c r="K525" s="5" t="str">
        <f>IF(E525=0,"Sin Plan",IF(J525&gt;=1,"Completado",IF(J525&gt;0.001,"En Progreso","Pendiente de ejecutar")))</f>
        <v>Sin Plan</v>
      </c>
    </row>
    <row r="526" spans="1:11" x14ac:dyDescent="0.35">
      <c r="A526" s="2" t="s">
        <v>152</v>
      </c>
      <c r="B526" s="2" t="s">
        <v>65</v>
      </c>
      <c r="C526" s="2" t="s">
        <v>18</v>
      </c>
      <c r="D526" s="2" t="s">
        <v>19</v>
      </c>
      <c r="E526" s="12">
        <v>685000</v>
      </c>
      <c r="F526" s="12">
        <v>0</v>
      </c>
      <c r="G526" s="12">
        <v>754100</v>
      </c>
      <c r="H526" s="12">
        <f>F526+G526</f>
        <v>754100</v>
      </c>
      <c r="I526" s="3">
        <f>E526-H526</f>
        <v>-69100</v>
      </c>
      <c r="J526" s="4">
        <f>IFERROR(H526/E526,0)</f>
        <v>1.100875912408759</v>
      </c>
      <c r="K526" s="2" t="str">
        <f>IF(E526=0,"Sin Plan",IF(J526&gt;=1,"Completado",IF(J526&gt;0.001,"En Progreso","Pendiente de ejecutar")))</f>
        <v>Completado</v>
      </c>
    </row>
    <row r="527" spans="1:11" x14ac:dyDescent="0.35">
      <c r="A527" s="5" t="s">
        <v>140</v>
      </c>
      <c r="B527" s="5" t="s">
        <v>53</v>
      </c>
      <c r="C527" s="5" t="s">
        <v>138</v>
      </c>
      <c r="D527" s="5" t="s">
        <v>139</v>
      </c>
      <c r="E527" s="12">
        <v>305000</v>
      </c>
      <c r="F527" s="12">
        <v>0</v>
      </c>
      <c r="G527" s="12">
        <v>0</v>
      </c>
      <c r="H527" s="12">
        <f>F527+G527</f>
        <v>0</v>
      </c>
      <c r="I527" s="6">
        <f>E527-H527</f>
        <v>305000</v>
      </c>
      <c r="J527" s="7">
        <f>IFERROR(H527/E527,0)</f>
        <v>0</v>
      </c>
      <c r="K527" s="5" t="str">
        <f>IF(E527=0,"Sin Plan",IF(J527&gt;=1,"Completado",IF(J527&gt;0.001,"En Progreso","Pendiente de ejecutar")))</f>
        <v>Pendiente de ejecutar</v>
      </c>
    </row>
    <row r="528" spans="1:11" x14ac:dyDescent="0.35">
      <c r="A528" s="2" t="s">
        <v>113</v>
      </c>
      <c r="B528" s="2" t="s">
        <v>44</v>
      </c>
      <c r="C528" s="2" t="s">
        <v>219</v>
      </c>
      <c r="D528" s="2" t="s">
        <v>220</v>
      </c>
      <c r="E528" s="12">
        <v>115000</v>
      </c>
      <c r="F528" s="12">
        <v>0</v>
      </c>
      <c r="G528" s="12">
        <v>0</v>
      </c>
      <c r="H528" s="12">
        <f>F528+G528</f>
        <v>0</v>
      </c>
      <c r="I528" s="3">
        <f>E528-H528</f>
        <v>115000</v>
      </c>
      <c r="J528" s="4">
        <f>IFERROR(H528/E528,0)</f>
        <v>0</v>
      </c>
      <c r="K528" s="2" t="str">
        <f>IF(E528=0,"Sin Plan",IF(J528&gt;=1,"Completado",IF(J528&gt;0.001,"En Progreso","Pendiente de ejecutar")))</f>
        <v>Pendiente de ejecutar</v>
      </c>
    </row>
    <row r="529" spans="1:23" x14ac:dyDescent="0.35">
      <c r="A529" s="5" t="s">
        <v>152</v>
      </c>
      <c r="B529" s="5" t="s">
        <v>65</v>
      </c>
      <c r="C529" s="5" t="s">
        <v>22</v>
      </c>
      <c r="D529" s="5" t="s">
        <v>23</v>
      </c>
      <c r="E529" s="12">
        <v>126000</v>
      </c>
      <c r="F529" s="12">
        <v>0</v>
      </c>
      <c r="G529" s="12">
        <v>246624.75</v>
      </c>
      <c r="H529" s="12">
        <f>F529+G529</f>
        <v>246624.75</v>
      </c>
      <c r="I529" s="6">
        <f>E529-H529</f>
        <v>-120624.75</v>
      </c>
      <c r="J529" s="7">
        <f>IFERROR(H529/E529,0)</f>
        <v>1.9573392857142857</v>
      </c>
      <c r="K529" s="5" t="str">
        <f>IF(E529=0,"Sin Plan",IF(J529&gt;=1,"Completado",IF(J529&gt;0.001,"En Progreso","Pendiente de ejecutar")))</f>
        <v>Completado</v>
      </c>
    </row>
    <row r="530" spans="1:23" x14ac:dyDescent="0.35">
      <c r="A530" s="2" t="s">
        <v>132</v>
      </c>
      <c r="B530" s="2" t="s">
        <v>55</v>
      </c>
      <c r="C530" s="2" t="s">
        <v>162</v>
      </c>
      <c r="D530" s="2" t="s">
        <v>163</v>
      </c>
      <c r="E530" s="12">
        <v>10000</v>
      </c>
      <c r="F530" s="12">
        <v>0</v>
      </c>
      <c r="G530" s="12">
        <v>0</v>
      </c>
      <c r="H530" s="12">
        <f>F530+G530</f>
        <v>0</v>
      </c>
      <c r="I530" s="3">
        <f>E530-H530</f>
        <v>10000</v>
      </c>
      <c r="J530" s="4">
        <f>IFERROR(H530/E530,0)</f>
        <v>0</v>
      </c>
      <c r="K530" s="2" t="str">
        <f>IF(E530=0,"Sin Plan",IF(J530&gt;=1,"Completado",IF(J530&gt;0.001,"En Progreso","Pendiente de ejecutar")))</f>
        <v>Pendiente de ejecutar</v>
      </c>
    </row>
    <row r="531" spans="1:23" x14ac:dyDescent="0.35">
      <c r="A531" s="2" t="s">
        <v>113</v>
      </c>
      <c r="B531" s="2" t="s">
        <v>44</v>
      </c>
      <c r="C531" s="2" t="s">
        <v>162</v>
      </c>
      <c r="D531" s="2" t="s">
        <v>163</v>
      </c>
      <c r="E531" s="12">
        <v>17500</v>
      </c>
      <c r="F531" s="12">
        <v>0</v>
      </c>
      <c r="G531" s="12">
        <v>0</v>
      </c>
      <c r="H531" s="12">
        <f>F531+G531</f>
        <v>0</v>
      </c>
      <c r="I531" s="3">
        <f>E531-H531</f>
        <v>17500</v>
      </c>
      <c r="J531" s="4">
        <f>IFERROR(H531/E531,0)</f>
        <v>0</v>
      </c>
      <c r="K531" s="2" t="str">
        <f>IF(E531=0,"Sin Plan",IF(J531&gt;=1,"Completado",IF(J531&gt;0.001,"En Progreso","Pendiente de ejecutar")))</f>
        <v>Pendiente de ejecutar</v>
      </c>
    </row>
    <row r="532" spans="1:23" x14ac:dyDescent="0.35">
      <c r="A532" s="5" t="s">
        <v>113</v>
      </c>
      <c r="B532" s="5" t="s">
        <v>44</v>
      </c>
      <c r="C532" s="5" t="s">
        <v>171</v>
      </c>
      <c r="D532" s="5" t="s">
        <v>172</v>
      </c>
      <c r="E532" s="12">
        <v>0</v>
      </c>
      <c r="F532" s="12">
        <v>308702.5</v>
      </c>
      <c r="G532" s="12">
        <v>0</v>
      </c>
      <c r="H532" s="12">
        <f>F532+G532</f>
        <v>308702.5</v>
      </c>
      <c r="I532" s="3">
        <f>E532-H532</f>
        <v>-308702.5</v>
      </c>
      <c r="J532" s="7">
        <f>IFERROR(H532/E532,0)</f>
        <v>0</v>
      </c>
      <c r="K532" s="5" t="str">
        <f>IF(E532=0,"Sin Plan",IF(J532&gt;=1,"Completado",IF(J532&gt;0.001,"En Progreso","Pendiente de ejecutar")))</f>
        <v>Sin Plan</v>
      </c>
    </row>
    <row r="533" spans="1:23" x14ac:dyDescent="0.35">
      <c r="A533" s="2" t="s">
        <v>39</v>
      </c>
      <c r="B533" s="2" t="s">
        <v>40</v>
      </c>
      <c r="C533" s="2" t="s">
        <v>162</v>
      </c>
      <c r="D533" s="2" t="s">
        <v>163</v>
      </c>
      <c r="E533" s="12">
        <v>0</v>
      </c>
      <c r="F533" s="26">
        <v>80250.25</v>
      </c>
      <c r="G533" s="12">
        <v>0</v>
      </c>
      <c r="H533" s="12">
        <f>F533+G533</f>
        <v>80250.25</v>
      </c>
      <c r="I533" s="3">
        <f>E533-H533</f>
        <v>-80250.25</v>
      </c>
      <c r="J533" s="4">
        <f>IFERROR(H533/E533,0)</f>
        <v>0</v>
      </c>
      <c r="K533" s="2" t="str">
        <f>IF(E533=0,"Sin Plan",IF(J533&gt;=1,"Completado",IF(J533&gt;0.001,"En Progreso","Pendiente de ejecutar")))</f>
        <v>Sin Plan</v>
      </c>
    </row>
    <row r="534" spans="1:23" x14ac:dyDescent="0.35">
      <c r="A534" s="5" t="s">
        <v>132</v>
      </c>
      <c r="B534" s="5" t="s">
        <v>55</v>
      </c>
      <c r="C534" s="5" t="s">
        <v>28</v>
      </c>
      <c r="D534" s="5" t="s">
        <v>29</v>
      </c>
      <c r="E534" s="12">
        <v>0</v>
      </c>
      <c r="F534" s="12">
        <v>86100</v>
      </c>
      <c r="G534" s="12">
        <v>0</v>
      </c>
      <c r="H534" s="12">
        <f>F534+G534</f>
        <v>86100</v>
      </c>
      <c r="I534" s="3">
        <f>E534-H534</f>
        <v>-86100</v>
      </c>
      <c r="J534" s="7">
        <f>IFERROR(H534/E534,0)</f>
        <v>0</v>
      </c>
      <c r="K534" s="5" t="str">
        <f>IF(E534=0,"Sin Plan",IF(J534&gt;=1,"Completado",IF(J534&gt;0.001,"En Progreso","Pendiente de ejecutar")))</f>
        <v>Sin Plan</v>
      </c>
    </row>
    <row r="535" spans="1:23" x14ac:dyDescent="0.35">
      <c r="A535" s="5" t="s">
        <v>153</v>
      </c>
      <c r="B535" s="5" t="s">
        <v>51</v>
      </c>
      <c r="C535" s="5" t="s">
        <v>18</v>
      </c>
      <c r="D535" s="5" t="s">
        <v>19</v>
      </c>
      <c r="E535" s="12">
        <v>685000</v>
      </c>
      <c r="F535" s="12">
        <v>0</v>
      </c>
      <c r="G535" s="12">
        <v>731000</v>
      </c>
      <c r="H535" s="12">
        <f>F535+G535</f>
        <v>731000</v>
      </c>
      <c r="I535" s="6">
        <f>E535-H535</f>
        <v>-46000</v>
      </c>
      <c r="J535" s="7">
        <f>IFERROR(H535/E535,0)</f>
        <v>1.0671532846715328</v>
      </c>
      <c r="K535" s="5" t="str">
        <f>IF(E535=0,"Sin Plan",IF(J535&gt;=1,"Completado",IF(J535&gt;0.001,"En Progreso","Pendiente de ejecutar")))</f>
        <v>Completado</v>
      </c>
    </row>
    <row r="536" spans="1:23" x14ac:dyDescent="0.35">
      <c r="A536" s="2" t="s">
        <v>132</v>
      </c>
      <c r="B536" s="2" t="s">
        <v>55</v>
      </c>
      <c r="C536" s="2" t="s">
        <v>16</v>
      </c>
      <c r="D536" s="2" t="s">
        <v>17</v>
      </c>
      <c r="E536" s="12">
        <v>0</v>
      </c>
      <c r="F536" s="12">
        <v>112945.64</v>
      </c>
      <c r="G536" s="12">
        <v>0</v>
      </c>
      <c r="H536" s="12">
        <f>F536+G536</f>
        <v>112945.64</v>
      </c>
      <c r="I536" s="3">
        <f>E536-H536</f>
        <v>-112945.64</v>
      </c>
      <c r="J536" s="4">
        <f>IFERROR(H536/E536,0)</f>
        <v>0</v>
      </c>
      <c r="K536" s="2" t="str">
        <f>IF(E536=0,"Sin Plan",IF(J536&gt;=1,"Completado",IF(J536&gt;0.001,"En Progreso","Pendiente de ejecutar")))</f>
        <v>Sin Plan</v>
      </c>
    </row>
    <row r="537" spans="1:23" x14ac:dyDescent="0.35">
      <c r="A537" s="5" t="s">
        <v>132</v>
      </c>
      <c r="B537" s="5" t="s">
        <v>55</v>
      </c>
      <c r="C537" s="5" t="s">
        <v>7</v>
      </c>
      <c r="D537" s="5" t="s">
        <v>8</v>
      </c>
      <c r="E537" s="12">
        <v>0</v>
      </c>
      <c r="F537" s="12">
        <v>0</v>
      </c>
      <c r="G537" s="12">
        <v>117608.07</v>
      </c>
      <c r="H537" s="12">
        <f>F537+G537</f>
        <v>117608.07</v>
      </c>
      <c r="I537" s="3">
        <f>E537-H537</f>
        <v>-117608.07</v>
      </c>
      <c r="J537" s="7">
        <f>IFERROR(H537/E537,0)</f>
        <v>0</v>
      </c>
      <c r="K537" s="5" t="str">
        <f>IF(E537=0,"Sin Plan",IF(J537&gt;=1,"Completado",IF(J537&gt;0.001,"En Progreso","Pendiente de ejecutar")))</f>
        <v>Sin Plan</v>
      </c>
    </row>
    <row r="538" spans="1:23" x14ac:dyDescent="0.35">
      <c r="A538" s="5" t="s">
        <v>113</v>
      </c>
      <c r="B538" s="5" t="s">
        <v>44</v>
      </c>
      <c r="C538" s="5" t="s">
        <v>208</v>
      </c>
      <c r="D538" s="5" t="s">
        <v>209</v>
      </c>
      <c r="E538" s="12">
        <v>0</v>
      </c>
      <c r="F538" s="12">
        <v>82670.600000000006</v>
      </c>
      <c r="G538" s="12">
        <v>0</v>
      </c>
      <c r="H538" s="12">
        <f>F538+G538</f>
        <v>82670.600000000006</v>
      </c>
      <c r="I538" s="3">
        <f>E538-H538</f>
        <v>-82670.600000000006</v>
      </c>
      <c r="J538" s="7">
        <f>IFERROR(H538/E538,0)</f>
        <v>0</v>
      </c>
      <c r="K538" s="5" t="str">
        <f>IF(E538=0,"Sin Plan",IF(J538&gt;=1,"Completado",IF(J538&gt;0.001,"En Progreso","Pendiente de ejecutar")))</f>
        <v>Sin Plan</v>
      </c>
    </row>
    <row r="539" spans="1:23" x14ac:dyDescent="0.35">
      <c r="A539" s="2" t="s">
        <v>153</v>
      </c>
      <c r="B539" s="2" t="s">
        <v>51</v>
      </c>
      <c r="C539" s="2" t="s">
        <v>9</v>
      </c>
      <c r="D539" s="2" t="s">
        <v>10</v>
      </c>
      <c r="E539" s="12">
        <v>462000</v>
      </c>
      <c r="F539" s="12">
        <v>9650</v>
      </c>
      <c r="G539" s="12">
        <v>0</v>
      </c>
      <c r="H539" s="12">
        <f>F539+G539</f>
        <v>9650</v>
      </c>
      <c r="I539" s="3">
        <f>E539-H539</f>
        <v>452350</v>
      </c>
      <c r="J539" s="4">
        <f>IFERROR(H539/E539,0)</f>
        <v>2.0887445887445889E-2</v>
      </c>
      <c r="K539" s="2" t="str">
        <f>IF(E539=0,"Sin Plan",IF(J539&gt;=1,"Completado",IF(J539&gt;0.001,"En Progreso","Pendiente de ejecutar")))</f>
        <v>En Progreso</v>
      </c>
    </row>
    <row r="540" spans="1:23" x14ac:dyDescent="0.35">
      <c r="A540" s="2" t="s">
        <v>153</v>
      </c>
      <c r="B540" s="2" t="s">
        <v>51</v>
      </c>
      <c r="C540" s="2" t="s">
        <v>13</v>
      </c>
      <c r="D540" s="2" t="s">
        <v>14</v>
      </c>
      <c r="E540" s="12">
        <v>232500</v>
      </c>
      <c r="F540" s="12">
        <v>131773.41</v>
      </c>
      <c r="G540" s="12">
        <v>101208.19</v>
      </c>
      <c r="H540" s="12">
        <f>F540+G540</f>
        <v>232981.6</v>
      </c>
      <c r="I540" s="3">
        <f>E540-H540</f>
        <v>-481.60000000000582</v>
      </c>
      <c r="J540" s="4">
        <f>IFERROR(H540/E540,0)</f>
        <v>1.0020713978494624</v>
      </c>
      <c r="K540" s="2" t="str">
        <f>IF(E540=0,"Sin Plan",IF(J540&gt;=1,"Completado",IF(J540&gt;0.001,"En Progreso","Pendiente de ejecutar")))</f>
        <v>Completado</v>
      </c>
    </row>
    <row r="541" spans="1:23" x14ac:dyDescent="0.35">
      <c r="A541" s="2" t="s">
        <v>39</v>
      </c>
      <c r="B541" s="2" t="s">
        <v>40</v>
      </c>
      <c r="C541" s="2" t="s">
        <v>22</v>
      </c>
      <c r="D541" s="2" t="s">
        <v>23</v>
      </c>
      <c r="E541" s="12">
        <v>0</v>
      </c>
      <c r="F541" s="12">
        <v>0</v>
      </c>
      <c r="G541" s="26">
        <v>9180612.4600000009</v>
      </c>
      <c r="H541" s="12">
        <f>F541+G541</f>
        <v>9180612.4600000009</v>
      </c>
      <c r="I541" s="3">
        <f>E541-H541</f>
        <v>-9180612.4600000009</v>
      </c>
      <c r="J541" s="4">
        <f>IFERROR(H541/E541,0)</f>
        <v>0</v>
      </c>
      <c r="K541" s="2" t="str">
        <f>IF(E541=0,"Sin Plan",IF(J541&gt;=1,"Completado",IF(J541&gt;0.001,"En Progreso","Pendiente de ejecutar")))</f>
        <v>Sin Plan</v>
      </c>
    </row>
    <row r="542" spans="1:23" x14ac:dyDescent="0.35">
      <c r="A542" s="17"/>
      <c r="B542" s="17" t="s">
        <v>372</v>
      </c>
      <c r="C542" s="13"/>
      <c r="D542" s="13" t="s">
        <v>301</v>
      </c>
      <c r="F542" s="12">
        <v>595573.16</v>
      </c>
      <c r="I542" s="3">
        <f>E542-H542</f>
        <v>0</v>
      </c>
      <c r="J542" s="4"/>
      <c r="K542" s="2"/>
    </row>
    <row r="543" spans="1:23" x14ac:dyDescent="0.35">
      <c r="A543" s="17"/>
      <c r="B543" s="17" t="s">
        <v>372</v>
      </c>
      <c r="C543" s="13"/>
      <c r="D543" s="13" t="s">
        <v>302</v>
      </c>
      <c r="F543" s="12">
        <v>60474.46</v>
      </c>
      <c r="I543" s="3">
        <f>E543-H543</f>
        <v>0</v>
      </c>
      <c r="J543" s="4"/>
      <c r="K543" s="2"/>
    </row>
    <row r="544" spans="1:23" s="16" customFormat="1" x14ac:dyDescent="0.35">
      <c r="A544" s="25" t="s">
        <v>84</v>
      </c>
      <c r="B544" s="20" t="s">
        <v>46</v>
      </c>
      <c r="C544" s="20" t="s">
        <v>208</v>
      </c>
      <c r="D544" s="20" t="s">
        <v>209</v>
      </c>
      <c r="E544" s="21">
        <v>0</v>
      </c>
      <c r="F544" s="21">
        <v>0</v>
      </c>
      <c r="G544" s="21">
        <v>120344</v>
      </c>
      <c r="H544" s="21">
        <f>F544+G544</f>
        <v>120344</v>
      </c>
      <c r="I544" s="3">
        <f>E544-H544</f>
        <v>-120344</v>
      </c>
      <c r="J544" s="15">
        <f>IFERROR(H544/E544,0)</f>
        <v>0</v>
      </c>
      <c r="K544" s="20" t="str">
        <f>IF(E544=0,"Sin Plan",IF(J544&gt;=1,"Completado",IF(J544&gt;0.001,"En Progreso","Pendiente de ejecutar")))</f>
        <v>Sin Plan</v>
      </c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spans="1:11" x14ac:dyDescent="0.35">
      <c r="A545" s="5" t="s">
        <v>101</v>
      </c>
      <c r="B545" s="5" t="s">
        <v>46</v>
      </c>
      <c r="C545" s="5" t="s">
        <v>28</v>
      </c>
      <c r="D545" s="5" t="s">
        <v>29</v>
      </c>
      <c r="E545" s="12">
        <v>2945000</v>
      </c>
      <c r="F545" s="12">
        <v>0</v>
      </c>
      <c r="G545" s="12">
        <v>0</v>
      </c>
      <c r="H545" s="12">
        <f>F545+G545</f>
        <v>0</v>
      </c>
      <c r="I545" s="3">
        <f>E545-H545</f>
        <v>2945000</v>
      </c>
      <c r="J545" s="7">
        <f>IFERROR(H545/E545,0)</f>
        <v>0</v>
      </c>
      <c r="K545" s="5" t="str">
        <f>IF(E545=0,"Sin Plan",IF(J545&gt;=1,"Completado",IF(J545&gt;0.001,"En Progreso","Pendiente de ejecutar")))</f>
        <v>Pendiente de ejecutar</v>
      </c>
    </row>
    <row r="546" spans="1:11" x14ac:dyDescent="0.35">
      <c r="A546" s="5" t="s">
        <v>101</v>
      </c>
      <c r="B546" s="5" t="s">
        <v>46</v>
      </c>
      <c r="C546" s="5" t="s">
        <v>7</v>
      </c>
      <c r="D546" s="5" t="s">
        <v>8</v>
      </c>
      <c r="E546" s="12">
        <v>760000</v>
      </c>
      <c r="F546" s="12">
        <v>0</v>
      </c>
      <c r="G546" s="12">
        <v>0</v>
      </c>
      <c r="H546" s="12">
        <f>F546+G546</f>
        <v>0</v>
      </c>
      <c r="I546" s="3">
        <f>E546-H546</f>
        <v>760000</v>
      </c>
      <c r="J546" s="7">
        <f>IFERROR(H546/E546,0)</f>
        <v>0</v>
      </c>
      <c r="K546" s="5" t="str">
        <f>IF(E546=0,"Sin Plan",IF(J546&gt;=1,"Completado",IF(J546&gt;0.001,"En Progreso","Pendiente de ejecutar")))</f>
        <v>Pendiente de ejecutar</v>
      </c>
    </row>
    <row r="547" spans="1:11" x14ac:dyDescent="0.35">
      <c r="A547" s="2" t="s">
        <v>39</v>
      </c>
      <c r="B547" s="2" t="s">
        <v>40</v>
      </c>
      <c r="C547" s="2" t="s">
        <v>221</v>
      </c>
      <c r="D547" s="2" t="s">
        <v>222</v>
      </c>
      <c r="E547" s="12">
        <v>0</v>
      </c>
      <c r="F547" s="12">
        <v>0</v>
      </c>
      <c r="G547" s="26">
        <v>2735718.35</v>
      </c>
      <c r="H547" s="12">
        <f>F547+G547</f>
        <v>2735718.35</v>
      </c>
      <c r="I547" s="3">
        <f>E547-H547</f>
        <v>-2735718.35</v>
      </c>
      <c r="J547" s="4">
        <f>IFERROR(H547/E547,0)</f>
        <v>0</v>
      </c>
      <c r="K547" s="2" t="str">
        <f>IF(E547=0,"Sin Plan",IF(J547&gt;=1,"Completado",IF(J547&gt;0.001,"En Progreso","Pendiente de ejecutar")))</f>
        <v>Sin Plan</v>
      </c>
    </row>
    <row r="548" spans="1:11" x14ac:dyDescent="0.35">
      <c r="A548" s="5" t="s">
        <v>132</v>
      </c>
      <c r="B548" s="5" t="s">
        <v>55</v>
      </c>
      <c r="C548" s="5" t="s">
        <v>167</v>
      </c>
      <c r="D548" s="5" t="s">
        <v>168</v>
      </c>
      <c r="E548" s="12">
        <v>0</v>
      </c>
      <c r="F548" s="12">
        <v>0</v>
      </c>
      <c r="G548" s="12">
        <v>170059.44</v>
      </c>
      <c r="H548" s="12">
        <f>F548+G548</f>
        <v>170059.44</v>
      </c>
      <c r="I548" s="3">
        <f>E548-H548</f>
        <v>-170059.44</v>
      </c>
      <c r="J548" s="7">
        <f>IFERROR(H548/E548,0)</f>
        <v>0</v>
      </c>
      <c r="K548" s="5" t="str">
        <f>IF(E548=0,"Sin Plan",IF(J548&gt;=1,"Completado",IF(J548&gt;0.001,"En Progreso","Pendiente de ejecutar")))</f>
        <v>Sin Plan</v>
      </c>
    </row>
    <row r="549" spans="1:11" x14ac:dyDescent="0.35">
      <c r="A549" s="2" t="s">
        <v>39</v>
      </c>
      <c r="B549" s="2" t="s">
        <v>40</v>
      </c>
      <c r="C549" s="2" t="s">
        <v>171</v>
      </c>
      <c r="D549" s="2" t="s">
        <v>172</v>
      </c>
      <c r="E549" s="12">
        <v>0</v>
      </c>
      <c r="F549" s="12">
        <v>230400</v>
      </c>
      <c r="G549" s="26">
        <v>265688.86</v>
      </c>
      <c r="H549" s="12">
        <f>F549+G549</f>
        <v>496088.86</v>
      </c>
      <c r="I549" s="3">
        <f>E549-H549</f>
        <v>-496088.86</v>
      </c>
      <c r="J549" s="4">
        <f>IFERROR(H549/E549,0)</f>
        <v>0</v>
      </c>
      <c r="K549" s="2" t="str">
        <f>IF(E549=0,"Sin Plan",IF(J549&gt;=1,"Completado",IF(J549&gt;0.001,"En Progreso","Pendiente de ejecutar")))</f>
        <v>Sin Plan</v>
      </c>
    </row>
    <row r="550" spans="1:11" x14ac:dyDescent="0.35">
      <c r="A550" s="5" t="s">
        <v>73</v>
      </c>
      <c r="B550" s="5" t="s">
        <v>74</v>
      </c>
      <c r="C550" s="5" t="s">
        <v>275</v>
      </c>
      <c r="D550" s="5" t="s">
        <v>276</v>
      </c>
      <c r="E550" s="12">
        <v>0</v>
      </c>
      <c r="F550" s="12">
        <v>0</v>
      </c>
      <c r="G550" s="12">
        <v>67164.41</v>
      </c>
      <c r="H550" s="12">
        <f>F550+G550</f>
        <v>67164.41</v>
      </c>
      <c r="I550" s="6">
        <f>E550-H550</f>
        <v>-67164.41</v>
      </c>
      <c r="J550" s="7">
        <f>IFERROR(H550/E550,0)</f>
        <v>0</v>
      </c>
      <c r="K550" s="5" t="str">
        <f>IF(E550=0,"Sin Plan",IF(J550&gt;=1,"Completado",IF(J550&gt;0.001,"En Progreso","Pendiente de ejecutar")))</f>
        <v>Sin Plan</v>
      </c>
    </row>
    <row r="551" spans="1:11" x14ac:dyDescent="0.35">
      <c r="A551" s="24" t="s">
        <v>77</v>
      </c>
      <c r="B551" s="24" t="s">
        <v>55</v>
      </c>
      <c r="C551" s="24" t="s">
        <v>2</v>
      </c>
      <c r="D551" s="25" t="s">
        <v>299</v>
      </c>
      <c r="E551" s="26">
        <v>7000000</v>
      </c>
      <c r="F551" s="26">
        <v>1654550.4400000004</v>
      </c>
      <c r="G551" s="26">
        <v>0</v>
      </c>
      <c r="H551" s="12">
        <f>F551+G551</f>
        <v>1654550.4400000004</v>
      </c>
      <c r="I551" s="3">
        <f>E551-H551</f>
        <v>5345449.5599999996</v>
      </c>
      <c r="J551" s="7">
        <f>IFERROR(H551/E551,0)</f>
        <v>0.23636434857142863</v>
      </c>
      <c r="K551" s="5" t="str">
        <f>IF(E551=0,"Sin Plan",IF(J551&gt;=1,"Completado",IF(J551&gt;0.001,"En Progreso","Pendiente de ejecutar")))</f>
        <v>En Progreso</v>
      </c>
    </row>
    <row r="552" spans="1:11" x14ac:dyDescent="0.35">
      <c r="A552" s="5" t="s">
        <v>113</v>
      </c>
      <c r="B552" s="5" t="s">
        <v>44</v>
      </c>
      <c r="C552" s="5" t="s">
        <v>273</v>
      </c>
      <c r="D552" s="5" t="s">
        <v>274</v>
      </c>
      <c r="E552" s="12">
        <v>0</v>
      </c>
      <c r="F552" s="12">
        <v>226771</v>
      </c>
      <c r="G552" s="12">
        <v>0</v>
      </c>
      <c r="H552" s="12">
        <f>F552+G552</f>
        <v>226771</v>
      </c>
      <c r="I552" s="3">
        <f>E552-H552</f>
        <v>-226771</v>
      </c>
      <c r="J552" s="7">
        <f>IFERROR(H552/E552,0)</f>
        <v>0</v>
      </c>
      <c r="K552" s="5" t="str">
        <f>IF(E552=0,"Sin Plan",IF(J552&gt;=1,"Completado",IF(J552&gt;0.001,"En Progreso","Pendiente de ejecutar")))</f>
        <v>Sin Plan</v>
      </c>
    </row>
    <row r="553" spans="1:11" x14ac:dyDescent="0.35">
      <c r="A553" s="2" t="s">
        <v>153</v>
      </c>
      <c r="B553" s="2" t="s">
        <v>51</v>
      </c>
      <c r="C553" s="2" t="s">
        <v>22</v>
      </c>
      <c r="D553" s="2" t="s">
        <v>23</v>
      </c>
      <c r="E553" s="12">
        <v>126000</v>
      </c>
      <c r="F553" s="12">
        <v>0</v>
      </c>
      <c r="G553" s="12">
        <v>137843.10999999999</v>
      </c>
      <c r="H553" s="12">
        <f>F553+G553</f>
        <v>137843.10999999999</v>
      </c>
      <c r="I553" s="3">
        <f>E553-H553</f>
        <v>-11843.109999999986</v>
      </c>
      <c r="J553" s="4">
        <f>IFERROR(H553/E553,0)</f>
        <v>1.0939929365079364</v>
      </c>
      <c r="K553" s="2" t="str">
        <f>IF(E553=0,"Sin Plan",IF(J553&gt;=1,"Completado",IF(J553&gt;0.001,"En Progreso","Pendiente de ejecutar")))</f>
        <v>Completado</v>
      </c>
    </row>
    <row r="554" spans="1:11" x14ac:dyDescent="0.35">
      <c r="A554" s="5" t="s">
        <v>41</v>
      </c>
      <c r="B554" s="5" t="s">
        <v>42</v>
      </c>
      <c r="C554" s="5" t="s">
        <v>167</v>
      </c>
      <c r="D554" s="5" t="s">
        <v>168</v>
      </c>
      <c r="E554" s="12">
        <v>0</v>
      </c>
      <c r="F554" s="12">
        <v>0</v>
      </c>
      <c r="G554" s="12">
        <v>0</v>
      </c>
      <c r="H554" s="12">
        <f>F554+G554</f>
        <v>0</v>
      </c>
      <c r="I554" s="6">
        <f>E554-H554</f>
        <v>0</v>
      </c>
      <c r="J554" s="7">
        <f>IFERROR(H554/E554,0)</f>
        <v>0</v>
      </c>
      <c r="K554" s="5" t="str">
        <f>IF(E554=0,"Sin Plan",IF(J554&gt;=1,"Completado",IF(J554&gt;0.001,"En Progreso","Pendiente de ejecutar")))</f>
        <v>Sin Plan</v>
      </c>
    </row>
    <row r="555" spans="1:11" x14ac:dyDescent="0.35">
      <c r="A555" s="2" t="s">
        <v>140</v>
      </c>
      <c r="B555" s="2" t="s">
        <v>53</v>
      </c>
      <c r="C555" s="2" t="s">
        <v>213</v>
      </c>
      <c r="D555" s="2" t="s">
        <v>214</v>
      </c>
      <c r="E555" s="12">
        <v>165000</v>
      </c>
      <c r="F555" s="12">
        <v>0</v>
      </c>
      <c r="G555" s="12">
        <v>0</v>
      </c>
      <c r="H555" s="12">
        <f>F555+G555</f>
        <v>0</v>
      </c>
      <c r="I555" s="3">
        <f>E555-H555</f>
        <v>165000</v>
      </c>
      <c r="J555" s="4">
        <f>IFERROR(H555/E555,0)</f>
        <v>0</v>
      </c>
      <c r="K555" s="2" t="str">
        <f>IF(E555=0,"Sin Plan",IF(J555&gt;=1,"Completado",IF(J555&gt;0.001,"En Progreso","Pendiente de ejecutar")))</f>
        <v>Pendiente de ejecutar</v>
      </c>
    </row>
    <row r="556" spans="1:11" x14ac:dyDescent="0.35">
      <c r="A556" s="2" t="s">
        <v>153</v>
      </c>
      <c r="B556" s="2" t="s">
        <v>51</v>
      </c>
      <c r="C556" s="2" t="s">
        <v>2</v>
      </c>
      <c r="D556" s="2" t="s">
        <v>299</v>
      </c>
      <c r="E556" s="12">
        <v>63000</v>
      </c>
      <c r="F556" s="12">
        <v>0</v>
      </c>
      <c r="G556" s="12">
        <v>0</v>
      </c>
      <c r="H556" s="12">
        <f>F556+G556</f>
        <v>0</v>
      </c>
      <c r="I556" s="3">
        <f>E556-H556</f>
        <v>63000</v>
      </c>
      <c r="J556" s="4">
        <f>IFERROR(H556/E556,0)</f>
        <v>0</v>
      </c>
      <c r="K556" s="2" t="str">
        <f>IF(E556=0,"Sin Plan",IF(J556&gt;=1,"Completado",IF(J556&gt;0.001,"En Progreso","Pendiente de ejecutar")))</f>
        <v>Pendiente de ejecutar</v>
      </c>
    </row>
    <row r="557" spans="1:11" x14ac:dyDescent="0.35">
      <c r="A557" s="5" t="s">
        <v>140</v>
      </c>
      <c r="B557" s="5" t="s">
        <v>53</v>
      </c>
      <c r="C557" s="5" t="s">
        <v>162</v>
      </c>
      <c r="D557" s="5" t="s">
        <v>163</v>
      </c>
      <c r="E557" s="12">
        <v>160000</v>
      </c>
      <c r="F557" s="12">
        <v>0</v>
      </c>
      <c r="G557" s="12">
        <v>161434.6</v>
      </c>
      <c r="H557" s="12">
        <f>F557+G557</f>
        <v>161434.6</v>
      </c>
      <c r="I557" s="6">
        <f>E557-H557</f>
        <v>-1434.6000000000058</v>
      </c>
      <c r="J557" s="7">
        <f>IFERROR(H557/E557,0)</f>
        <v>1.0089662500000001</v>
      </c>
      <c r="K557" s="5" t="str">
        <f>IF(E557=0,"Sin Plan",IF(J557&gt;=1,"Completado",IF(J557&gt;0.001,"En Progreso","Pendiente de ejecutar")))</f>
        <v>Completado</v>
      </c>
    </row>
    <row r="558" spans="1:11" x14ac:dyDescent="0.35">
      <c r="A558" s="5" t="s">
        <v>153</v>
      </c>
      <c r="B558" s="5" t="s">
        <v>51</v>
      </c>
      <c r="C558" s="5" t="s">
        <v>185</v>
      </c>
      <c r="D558" s="5" t="s">
        <v>186</v>
      </c>
      <c r="E558" s="12">
        <v>0</v>
      </c>
      <c r="F558" s="12">
        <v>134910.60999999999</v>
      </c>
      <c r="G558" s="12">
        <v>0</v>
      </c>
      <c r="H558" s="12">
        <f>F558+G558</f>
        <v>134910.60999999999</v>
      </c>
      <c r="I558" s="6">
        <f>E558-H558</f>
        <v>-134910.60999999999</v>
      </c>
      <c r="J558" s="7">
        <f>IFERROR(H558/E558,0)</f>
        <v>0</v>
      </c>
      <c r="K558" s="5" t="str">
        <f>IF(E558=0,"Sin Plan",IF(J558&gt;=1,"Completado",IF(J558&gt;0.001,"En Progreso","Pendiente de ejecutar")))</f>
        <v>Sin Plan</v>
      </c>
    </row>
    <row r="559" spans="1:11" x14ac:dyDescent="0.35">
      <c r="A559" s="2" t="s">
        <v>73</v>
      </c>
      <c r="B559" s="2" t="s">
        <v>74</v>
      </c>
      <c r="C559" s="2" t="s">
        <v>234</v>
      </c>
      <c r="D559" s="2" t="s">
        <v>235</v>
      </c>
      <c r="E559" s="12">
        <v>0</v>
      </c>
      <c r="F559" s="12">
        <v>0</v>
      </c>
      <c r="G559" s="12">
        <v>1757443.38</v>
      </c>
      <c r="H559" s="12">
        <f>F559+G559</f>
        <v>1757443.38</v>
      </c>
      <c r="I559" s="3">
        <f>E559-H559</f>
        <v>-1757443.38</v>
      </c>
      <c r="J559" s="4">
        <f>IFERROR(H559/E559,0)</f>
        <v>0</v>
      </c>
      <c r="K559" s="2" t="str">
        <f>IF(E559=0,"Sin Plan",IF(J559&gt;=1,"Completado",IF(J559&gt;0.001,"En Progreso","Pendiente de ejecutar")))</f>
        <v>Sin Plan</v>
      </c>
    </row>
    <row r="560" spans="1:11" x14ac:dyDescent="0.35">
      <c r="A560" s="5" t="s">
        <v>39</v>
      </c>
      <c r="B560" s="5" t="s">
        <v>40</v>
      </c>
      <c r="C560" s="5" t="s">
        <v>252</v>
      </c>
      <c r="D560" s="5" t="s">
        <v>253</v>
      </c>
      <c r="E560" s="12">
        <v>0</v>
      </c>
      <c r="F560" s="12">
        <v>0</v>
      </c>
      <c r="G560" s="12">
        <v>1361516.7700000003</v>
      </c>
      <c r="H560" s="12">
        <f>F560+G560</f>
        <v>1361516.7700000003</v>
      </c>
      <c r="I560" s="6">
        <f>E560-H560</f>
        <v>-1361516.7700000003</v>
      </c>
      <c r="J560" s="7">
        <f>IFERROR(H560/E560,0)</f>
        <v>0</v>
      </c>
      <c r="K560" s="5" t="str">
        <f>IF(E560=0,"Sin Plan",IF(J560&gt;=1,"Completado",IF(J560&gt;0.001,"En Progreso","Pendiente de ejecutar")))</f>
        <v>Sin Plan</v>
      </c>
    </row>
    <row r="561" spans="1:11" x14ac:dyDescent="0.35">
      <c r="A561" s="2" t="s">
        <v>164</v>
      </c>
      <c r="B561" s="2" t="s">
        <v>46</v>
      </c>
      <c r="C561" s="2" t="s">
        <v>26</v>
      </c>
      <c r="D561" s="2" t="s">
        <v>27</v>
      </c>
      <c r="E561" s="12">
        <v>572000</v>
      </c>
      <c r="F561" s="12">
        <v>0</v>
      </c>
      <c r="G561" s="12">
        <v>940359.18</v>
      </c>
      <c r="H561" s="12">
        <f>F561+G561</f>
        <v>940359.18</v>
      </c>
      <c r="I561" s="3">
        <f>E561-H561</f>
        <v>-368359.18000000005</v>
      </c>
      <c r="J561" s="4">
        <f>IFERROR(H561/E561,0)</f>
        <v>1.6439845804195805</v>
      </c>
      <c r="K561" s="2" t="str">
        <f>IF(E561=0,"Sin Plan",IF(J561&gt;=1,"Completado",IF(J561&gt;0.001,"En Progreso","Pendiente de ejecutar")))</f>
        <v>Completado</v>
      </c>
    </row>
    <row r="562" spans="1:11" x14ac:dyDescent="0.35">
      <c r="A562" s="2" t="s">
        <v>154</v>
      </c>
      <c r="B562" s="2" t="s">
        <v>51</v>
      </c>
      <c r="C562" s="2" t="s">
        <v>18</v>
      </c>
      <c r="D562" s="2" t="s">
        <v>19</v>
      </c>
      <c r="E562" s="12">
        <v>685000</v>
      </c>
      <c r="F562" s="12">
        <v>0</v>
      </c>
      <c r="G562" s="12">
        <v>724100</v>
      </c>
      <c r="H562" s="12">
        <f>F562+G562</f>
        <v>724100</v>
      </c>
      <c r="I562" s="3">
        <f>E562-H562</f>
        <v>-39100</v>
      </c>
      <c r="J562" s="4">
        <f>IFERROR(H562/E562,0)</f>
        <v>1.0570802919708029</v>
      </c>
      <c r="K562" s="2" t="str">
        <f>IF(E562=0,"Sin Plan",IF(J562&gt;=1,"Completado",IF(J562&gt;0.001,"En Progreso","Pendiente de ejecutar")))</f>
        <v>Completado</v>
      </c>
    </row>
    <row r="563" spans="1:11" x14ac:dyDescent="0.35">
      <c r="A563" s="5" t="s">
        <v>154</v>
      </c>
      <c r="B563" s="5" t="s">
        <v>51</v>
      </c>
      <c r="C563" s="5" t="s">
        <v>9</v>
      </c>
      <c r="D563" s="5" t="s">
        <v>10</v>
      </c>
      <c r="E563" s="12">
        <v>462000</v>
      </c>
      <c r="F563" s="12">
        <v>583375.01</v>
      </c>
      <c r="G563" s="12">
        <v>0</v>
      </c>
      <c r="H563" s="12">
        <f>F563+G563</f>
        <v>583375.01</v>
      </c>
      <c r="I563" s="6">
        <f>E563-H563</f>
        <v>-121375.01000000001</v>
      </c>
      <c r="J563" s="7">
        <f>IFERROR(H563/E563,0)</f>
        <v>1.2627164718614718</v>
      </c>
      <c r="K563" s="5" t="str">
        <f>IF(E563=0,"Sin Plan",IF(J563&gt;=1,"Completado",IF(J563&gt;0.001,"En Progreso","Pendiente de ejecutar")))</f>
        <v>Completado</v>
      </c>
    </row>
    <row r="564" spans="1:11" x14ac:dyDescent="0.35">
      <c r="A564" s="5" t="s">
        <v>154</v>
      </c>
      <c r="B564" s="5" t="s">
        <v>51</v>
      </c>
      <c r="C564" s="5" t="s">
        <v>167</v>
      </c>
      <c r="D564" s="5" t="s">
        <v>168</v>
      </c>
      <c r="E564" s="12">
        <v>220420</v>
      </c>
      <c r="F564" s="12">
        <v>110732.58</v>
      </c>
      <c r="G564" s="12">
        <v>0</v>
      </c>
      <c r="H564" s="12">
        <f>F564+G564</f>
        <v>110732.58</v>
      </c>
      <c r="I564" s="6">
        <f>E564-H564</f>
        <v>109687.42</v>
      </c>
      <c r="J564" s="7">
        <f>IFERROR(H564/E564,0)</f>
        <v>0.50237083749206057</v>
      </c>
      <c r="K564" s="5" t="str">
        <f>IF(E564=0,"Sin Plan",IF(J564&gt;=1,"Completado",IF(J564&gt;0.001,"En Progreso","Pendiente de ejecutar")))</f>
        <v>En Progreso</v>
      </c>
    </row>
    <row r="565" spans="1:11" x14ac:dyDescent="0.35">
      <c r="A565" s="5" t="s">
        <v>101</v>
      </c>
      <c r="B565" s="5" t="s">
        <v>46</v>
      </c>
      <c r="C565" s="5" t="s">
        <v>5</v>
      </c>
      <c r="D565" s="5" t="s">
        <v>6</v>
      </c>
      <c r="E565" s="12">
        <v>252000</v>
      </c>
      <c r="G565" s="12">
        <v>0</v>
      </c>
      <c r="H565" s="12">
        <f>F565+G565</f>
        <v>0</v>
      </c>
      <c r="I565" s="3">
        <f>E565-H565</f>
        <v>252000</v>
      </c>
      <c r="J565" s="7">
        <f>IFERROR(H565/E565,0)</f>
        <v>0</v>
      </c>
      <c r="K565" s="5" t="str">
        <f>IF(E565=0,"Sin Plan",IF(J565&gt;=1,"Completado",IF(J565&gt;0.001,"En Progreso","Pendiente de ejecutar")))</f>
        <v>Pendiente de ejecutar</v>
      </c>
    </row>
    <row r="566" spans="1:11" x14ac:dyDescent="0.35">
      <c r="A566" s="2" t="s">
        <v>113</v>
      </c>
      <c r="B566" s="2" t="s">
        <v>44</v>
      </c>
      <c r="C566" s="2" t="s">
        <v>7</v>
      </c>
      <c r="D566" s="2" t="s">
        <v>8</v>
      </c>
      <c r="E566" s="12">
        <v>0</v>
      </c>
      <c r="F566" s="12">
        <v>0</v>
      </c>
      <c r="G566" s="12">
        <v>1730318.11</v>
      </c>
      <c r="H566" s="12">
        <f>F566+G566</f>
        <v>1730318.11</v>
      </c>
      <c r="I566" s="3">
        <f>E566-H566</f>
        <v>-1730318.11</v>
      </c>
      <c r="J566" s="4">
        <f>IFERROR(H566/E566,0)</f>
        <v>0</v>
      </c>
      <c r="K566" s="2" t="str">
        <f>IF(E566=0,"Sin Plan",IF(J566&gt;=1,"Completado",IF(J566&gt;0.001,"En Progreso","Pendiente de ejecutar")))</f>
        <v>Sin Plan</v>
      </c>
    </row>
    <row r="567" spans="1:11" x14ac:dyDescent="0.35">
      <c r="A567" s="5" t="s">
        <v>164</v>
      </c>
      <c r="B567" s="5" t="s">
        <v>46</v>
      </c>
      <c r="C567" s="5" t="s">
        <v>120</v>
      </c>
      <c r="D567" s="5" t="s">
        <v>121</v>
      </c>
      <c r="E567" s="12">
        <v>213000</v>
      </c>
      <c r="F567" s="12">
        <v>0</v>
      </c>
      <c r="G567" s="12">
        <v>0</v>
      </c>
      <c r="H567" s="12">
        <f>F567+G567</f>
        <v>0</v>
      </c>
      <c r="I567" s="3">
        <f>E567-H567</f>
        <v>213000</v>
      </c>
      <c r="J567" s="7">
        <f>IFERROR(H567/E567,0)</f>
        <v>0</v>
      </c>
      <c r="K567" s="5" t="str">
        <f>IF(E567=0,"Sin Plan",IF(J567&gt;=1,"Completado",IF(J567&gt;0.001,"En Progreso","Pendiente de ejecutar")))</f>
        <v>Pendiente de ejecutar</v>
      </c>
    </row>
    <row r="568" spans="1:11" x14ac:dyDescent="0.35">
      <c r="A568" s="5" t="s">
        <v>82</v>
      </c>
      <c r="B568" s="5" t="s">
        <v>83</v>
      </c>
      <c r="C568" s="5" t="s">
        <v>279</v>
      </c>
      <c r="D568" s="5" t="s">
        <v>280</v>
      </c>
      <c r="E568" s="12">
        <v>0</v>
      </c>
      <c r="F568" s="12">
        <v>0</v>
      </c>
      <c r="G568" s="12">
        <v>452647.19</v>
      </c>
      <c r="H568" s="12">
        <f>F568+G568</f>
        <v>452647.19</v>
      </c>
      <c r="I568" s="6">
        <f>E568-H568</f>
        <v>-452647.19</v>
      </c>
      <c r="J568" s="7">
        <f>IFERROR(H568/E568,0)</f>
        <v>0</v>
      </c>
      <c r="K568" s="5" t="str">
        <f>IF(E568=0,"Sin Plan",IF(J568&gt;=1,"Completado",IF(J568&gt;0.001,"En Progreso","Pendiente de ejecutar")))</f>
        <v>Sin Plan</v>
      </c>
    </row>
    <row r="569" spans="1:11" x14ac:dyDescent="0.35">
      <c r="A569" s="2" t="s">
        <v>141</v>
      </c>
      <c r="B569" s="2" t="s">
        <v>83</v>
      </c>
      <c r="C569" s="2" t="s">
        <v>279</v>
      </c>
      <c r="D569" s="2" t="s">
        <v>280</v>
      </c>
      <c r="E569" s="12">
        <v>0</v>
      </c>
      <c r="F569" s="12">
        <v>0</v>
      </c>
      <c r="G569" s="12">
        <v>905294.38</v>
      </c>
      <c r="H569" s="12">
        <f>F569+G569</f>
        <v>905294.38</v>
      </c>
      <c r="I569" s="3">
        <f>E569-H569</f>
        <v>-905294.38</v>
      </c>
      <c r="J569" s="4">
        <f>IFERROR(H569/E569,0)</f>
        <v>0</v>
      </c>
      <c r="K569" s="2" t="str">
        <f>IF(E569=0,"Sin Plan",IF(J569&gt;=1,"Completado",IF(J569&gt;0.001,"En Progreso","Pendiente de ejecutar")))</f>
        <v>Sin Plan</v>
      </c>
    </row>
    <row r="570" spans="1:11" x14ac:dyDescent="0.35">
      <c r="A570" s="5" t="s">
        <v>108</v>
      </c>
      <c r="B570" s="5" t="s">
        <v>83</v>
      </c>
      <c r="C570" s="5" t="s">
        <v>281</v>
      </c>
      <c r="D570" s="5" t="s">
        <v>282</v>
      </c>
      <c r="E570" s="12">
        <v>0</v>
      </c>
      <c r="F570" s="12">
        <v>0</v>
      </c>
      <c r="G570" s="12">
        <v>0</v>
      </c>
      <c r="H570" s="12">
        <f>F570+G570</f>
        <v>0</v>
      </c>
      <c r="I570" s="6">
        <f>E570-H570</f>
        <v>0</v>
      </c>
      <c r="J570" s="7">
        <f>IFERROR(H570/E570,0)</f>
        <v>0</v>
      </c>
      <c r="K570" s="5" t="str">
        <f>IF(E570=0,"Sin Plan",IF(J570&gt;=1,"Completado",IF(J570&gt;0.001,"En Progreso","Pendiente de ejecutar")))</f>
        <v>Sin Plan</v>
      </c>
    </row>
    <row r="571" spans="1:11" x14ac:dyDescent="0.35">
      <c r="A571" s="2" t="s">
        <v>187</v>
      </c>
      <c r="B571" s="2" t="s">
        <v>83</v>
      </c>
      <c r="C571" s="2" t="s">
        <v>279</v>
      </c>
      <c r="D571" s="2" t="s">
        <v>280</v>
      </c>
      <c r="E571" s="12">
        <v>0</v>
      </c>
      <c r="F571" s="12">
        <v>0</v>
      </c>
      <c r="G571" s="12">
        <v>0</v>
      </c>
      <c r="H571" s="12">
        <f>F571+G571</f>
        <v>0</v>
      </c>
      <c r="I571" s="3">
        <f>E571-H571</f>
        <v>0</v>
      </c>
      <c r="J571" s="4">
        <f>IFERROR(H571/E571,0)</f>
        <v>0</v>
      </c>
      <c r="K571" s="2" t="str">
        <f>IF(E571=0,"Sin Plan",IF(J571&gt;=1,"Completado",IF(J571&gt;0.001,"En Progreso","Pendiente de ejecutar")))</f>
        <v>Sin Plan</v>
      </c>
    </row>
    <row r="572" spans="1:11" x14ac:dyDescent="0.35">
      <c r="A572" s="5" t="s">
        <v>188</v>
      </c>
      <c r="B572" s="5" t="s">
        <v>83</v>
      </c>
      <c r="C572" s="5" t="s">
        <v>279</v>
      </c>
      <c r="D572" s="5" t="s">
        <v>280</v>
      </c>
      <c r="E572" s="12">
        <v>0</v>
      </c>
      <c r="F572" s="12">
        <v>0</v>
      </c>
      <c r="G572" s="12">
        <v>452647.19</v>
      </c>
      <c r="H572" s="12">
        <f>F572+G572</f>
        <v>452647.19</v>
      </c>
      <c r="I572" s="6">
        <f>E572-H572</f>
        <v>-452647.19</v>
      </c>
      <c r="J572" s="7">
        <f>IFERROR(H572/E572,0)</f>
        <v>0</v>
      </c>
      <c r="K572" s="5" t="str">
        <f>IF(E572=0,"Sin Plan",IF(J572&gt;=1,"Completado",IF(J572&gt;0.001,"En Progreso","Pendiente de ejecutar")))</f>
        <v>Sin Plan</v>
      </c>
    </row>
    <row r="573" spans="1:11" s="16" customFormat="1" x14ac:dyDescent="0.35">
      <c r="A573" s="17" t="s">
        <v>113</v>
      </c>
      <c r="B573" s="17" t="s">
        <v>44</v>
      </c>
      <c r="C573" s="17" t="s">
        <v>18</v>
      </c>
      <c r="D573" s="17" t="s">
        <v>19</v>
      </c>
      <c r="E573" s="12">
        <v>0</v>
      </c>
      <c r="F573" s="12">
        <v>0</v>
      </c>
      <c r="G573" s="12">
        <v>46150</v>
      </c>
      <c r="H573" s="12">
        <f>F573+G573</f>
        <v>46150</v>
      </c>
      <c r="I573" s="3">
        <f>E573-H573</f>
        <v>-46150</v>
      </c>
      <c r="J573" s="19">
        <f>IFERROR(H573/E573,0)</f>
        <v>0</v>
      </c>
      <c r="K573" s="17" t="str">
        <f>IF(E573=0,"Sin Plan",IF(J573&gt;=1,"Completado",IF(J573&gt;0.001,"En Progreso","Pendiente de ejecutar")))</f>
        <v>Sin Plan</v>
      </c>
    </row>
    <row r="574" spans="1:11" x14ac:dyDescent="0.35">
      <c r="A574" s="2" t="s">
        <v>164</v>
      </c>
      <c r="B574" s="2" t="s">
        <v>46</v>
      </c>
      <c r="C574" s="2" t="s">
        <v>208</v>
      </c>
      <c r="D574" s="2" t="s">
        <v>209</v>
      </c>
      <c r="E574" s="12">
        <v>172000</v>
      </c>
      <c r="F574" s="12">
        <v>0</v>
      </c>
      <c r="G574" s="12">
        <v>0</v>
      </c>
      <c r="H574" s="12">
        <f>F574+G574</f>
        <v>0</v>
      </c>
      <c r="I574" s="3">
        <f>E574-H574</f>
        <v>172000</v>
      </c>
      <c r="J574" s="4">
        <f>IFERROR(H574/E574,0)</f>
        <v>0</v>
      </c>
      <c r="K574" s="2" t="str">
        <f>IF(E574=0,"Sin Plan",IF(J574&gt;=1,"Completado",IF(J574&gt;0.001,"En Progreso","Pendiente de ejecutar")))</f>
        <v>Pendiente de ejecutar</v>
      </c>
    </row>
    <row r="575" spans="1:11" x14ac:dyDescent="0.35">
      <c r="A575" s="5" t="s">
        <v>164</v>
      </c>
      <c r="B575" s="5" t="s">
        <v>46</v>
      </c>
      <c r="C575" s="5" t="s">
        <v>162</v>
      </c>
      <c r="D575" s="5" t="s">
        <v>163</v>
      </c>
      <c r="E575" s="12">
        <v>131500</v>
      </c>
      <c r="F575" s="12">
        <v>129147.68</v>
      </c>
      <c r="G575" s="12">
        <v>0</v>
      </c>
      <c r="H575" s="12">
        <f>F575+G575</f>
        <v>129147.68</v>
      </c>
      <c r="I575" s="3">
        <f>E575-H575</f>
        <v>2352.320000000007</v>
      </c>
      <c r="J575" s="7">
        <f>IFERROR(H575/E575,0)</f>
        <v>0.98211163498098852</v>
      </c>
      <c r="K575" s="5" t="str">
        <f>IF(E575=0,"Sin Plan",IF(J575&gt;=1,"Completado",IF(J575&gt;0.001,"En Progreso","Pendiente de ejecutar")))</f>
        <v>En Progreso</v>
      </c>
    </row>
    <row r="576" spans="1:11" x14ac:dyDescent="0.35">
      <c r="A576" s="2" t="s">
        <v>164</v>
      </c>
      <c r="B576" s="2" t="s">
        <v>46</v>
      </c>
      <c r="C576" s="2" t="s">
        <v>22</v>
      </c>
      <c r="D576" s="2" t="s">
        <v>23</v>
      </c>
      <c r="E576" s="12">
        <v>120000</v>
      </c>
      <c r="F576" s="12">
        <v>0</v>
      </c>
      <c r="G576" s="12">
        <v>0</v>
      </c>
      <c r="H576" s="12">
        <f>F576+G576</f>
        <v>0</v>
      </c>
      <c r="I576" s="3">
        <f>E576-H576</f>
        <v>120000</v>
      </c>
      <c r="J576" s="4">
        <f>IFERROR(H576/E576,0)</f>
        <v>0</v>
      </c>
      <c r="K576" s="2" t="str">
        <f>IF(E576=0,"Sin Plan",IF(J576&gt;=1,"Completado",IF(J576&gt;0.001,"En Progreso","Pendiente de ejecutar")))</f>
        <v>Pendiente de ejecutar</v>
      </c>
    </row>
    <row r="577" spans="1:11" x14ac:dyDescent="0.35">
      <c r="A577" s="24" t="s">
        <v>77</v>
      </c>
      <c r="B577" s="24" t="s">
        <v>55</v>
      </c>
      <c r="C577" s="24" t="s">
        <v>26</v>
      </c>
      <c r="D577" s="24" t="s">
        <v>27</v>
      </c>
      <c r="E577" s="26">
        <v>4284000</v>
      </c>
      <c r="F577" s="26">
        <v>2812930.56</v>
      </c>
      <c r="G577" s="26">
        <v>0</v>
      </c>
      <c r="H577" s="12" t="e">
        <f>#REF!+G577</f>
        <v>#REF!</v>
      </c>
      <c r="I577" s="3" t="e">
        <f>E577-H577</f>
        <v>#REF!</v>
      </c>
      <c r="J577" s="7">
        <f>IFERROR(H577/E577,0)</f>
        <v>0</v>
      </c>
      <c r="K577" s="5" t="str">
        <f>IF(E577=0,"Sin Plan",IF(J577&gt;=1,"Completado",IF(J577&gt;0.001,"En Progreso","Pendiente de ejecutar")))</f>
        <v>Pendiente de ejecutar</v>
      </c>
    </row>
    <row r="578" spans="1:11" x14ac:dyDescent="0.35">
      <c r="A578" s="2" t="s">
        <v>101</v>
      </c>
      <c r="B578" s="2" t="s">
        <v>46</v>
      </c>
      <c r="C578" s="2" t="s">
        <v>13</v>
      </c>
      <c r="D578" s="2" t="s">
        <v>14</v>
      </c>
      <c r="E578" s="12">
        <v>90000</v>
      </c>
      <c r="F578" s="12">
        <v>0</v>
      </c>
      <c r="G578" s="12">
        <v>0</v>
      </c>
      <c r="H578" s="12">
        <f>F578+G578</f>
        <v>0</v>
      </c>
      <c r="I578" s="3">
        <f>E578-H578</f>
        <v>90000</v>
      </c>
      <c r="J578" s="4">
        <f>IFERROR(H578/E578,0)</f>
        <v>0</v>
      </c>
      <c r="K578" s="2" t="str">
        <f>IF(E578=0,"Sin Plan",IF(J578&gt;=1,"Completado",IF(J578&gt;0.001,"En Progreso","Pendiente de ejecutar")))</f>
        <v>Pendiente de ejecutar</v>
      </c>
    </row>
    <row r="579" spans="1:11" x14ac:dyDescent="0.35">
      <c r="A579" s="5" t="s">
        <v>225</v>
      </c>
      <c r="B579" s="5" t="s">
        <v>44</v>
      </c>
      <c r="C579" s="5" t="s">
        <v>162</v>
      </c>
      <c r="D579" s="5" t="s">
        <v>163</v>
      </c>
      <c r="E579" s="12">
        <v>103000</v>
      </c>
      <c r="F579" s="12">
        <v>0</v>
      </c>
      <c r="G579" s="12">
        <v>0</v>
      </c>
      <c r="H579" s="12">
        <f>F579+G579</f>
        <v>0</v>
      </c>
      <c r="I579" s="3">
        <f>E579-H579</f>
        <v>103000</v>
      </c>
      <c r="J579" s="7">
        <f>IFERROR(H579/E579,0)</f>
        <v>0</v>
      </c>
      <c r="K579" s="5" t="str">
        <f>IF(E579=0,"Sin Plan",IF(J579&gt;=1,"Completado",IF(J579&gt;0.001,"En Progreso","Pendiente de ejecutar")))</f>
        <v>Pendiente de ejecutar</v>
      </c>
    </row>
    <row r="580" spans="1:11" x14ac:dyDescent="0.35">
      <c r="A580" s="2" t="s">
        <v>225</v>
      </c>
      <c r="B580" s="2" t="s">
        <v>44</v>
      </c>
      <c r="C580" s="2" t="s">
        <v>248</v>
      </c>
      <c r="D580" s="2" t="s">
        <v>249</v>
      </c>
      <c r="E580" s="12">
        <v>0</v>
      </c>
      <c r="F580" s="12">
        <v>61393.96</v>
      </c>
      <c r="G580" s="12">
        <v>0</v>
      </c>
      <c r="H580" s="12">
        <f>F580+G580</f>
        <v>61393.96</v>
      </c>
      <c r="I580" s="3">
        <f>E580-H580</f>
        <v>-61393.96</v>
      </c>
      <c r="J580" s="4">
        <f>IFERROR(H580/E580,0)</f>
        <v>0</v>
      </c>
      <c r="K580" s="2" t="str">
        <f>IF(E580=0,"Sin Plan",IF(J580&gt;=1,"Completado",IF(J580&gt;0.001,"En Progreso","Pendiente de ejecutar")))</f>
        <v>Sin Plan</v>
      </c>
    </row>
    <row r="581" spans="1:11" x14ac:dyDescent="0.35">
      <c r="A581" s="5" t="s">
        <v>154</v>
      </c>
      <c r="B581" s="5" t="s">
        <v>51</v>
      </c>
      <c r="C581" s="5" t="s">
        <v>2</v>
      </c>
      <c r="D581" s="2" t="s">
        <v>299</v>
      </c>
      <c r="E581" s="12">
        <v>63000</v>
      </c>
      <c r="F581" s="12">
        <v>0</v>
      </c>
      <c r="G581" s="12">
        <v>0</v>
      </c>
      <c r="H581" s="12">
        <f>F581+G581</f>
        <v>0</v>
      </c>
      <c r="I581" s="6">
        <f>E581-H581</f>
        <v>63000</v>
      </c>
      <c r="J581" s="7">
        <f>IFERROR(H581/E581,0)</f>
        <v>0</v>
      </c>
      <c r="K581" s="5" t="str">
        <f>IF(E581=0,"Sin Plan",IF(J581&gt;=1,"Completado",IF(J581&gt;0.001,"En Progreso","Pendiente de ejecutar")))</f>
        <v>Pendiente de ejecutar</v>
      </c>
    </row>
    <row r="582" spans="1:11" x14ac:dyDescent="0.35">
      <c r="A582" s="24" t="s">
        <v>77</v>
      </c>
      <c r="B582" s="24" t="s">
        <v>55</v>
      </c>
      <c r="C582" s="24" t="s">
        <v>118</v>
      </c>
      <c r="D582" s="24" t="s">
        <v>119</v>
      </c>
      <c r="E582" s="26">
        <v>1685000</v>
      </c>
      <c r="F582" s="26">
        <v>208547.88</v>
      </c>
      <c r="G582" s="26">
        <v>0</v>
      </c>
      <c r="H582" s="12">
        <f>F582+G582</f>
        <v>208547.88</v>
      </c>
      <c r="I582" s="3">
        <f>E582-H582</f>
        <v>1476452.12</v>
      </c>
      <c r="J582" s="7">
        <f>IFERROR(H582/E582,0)</f>
        <v>0.1237672878338279</v>
      </c>
      <c r="K582" s="5" t="str">
        <f>IF(E582=0,"Sin Plan",IF(J582&gt;=1,"Completado",IF(J582&gt;0.001,"En Progreso","Pendiente de ejecutar")))</f>
        <v>En Progreso</v>
      </c>
    </row>
    <row r="583" spans="1:11" x14ac:dyDescent="0.35">
      <c r="A583" s="25" t="s">
        <v>77</v>
      </c>
      <c r="B583" s="25" t="s">
        <v>55</v>
      </c>
      <c r="C583" s="25" t="s">
        <v>13</v>
      </c>
      <c r="D583" s="25" t="s">
        <v>14</v>
      </c>
      <c r="E583" s="26">
        <v>1250000</v>
      </c>
      <c r="F583" s="26">
        <v>0</v>
      </c>
      <c r="G583" s="26">
        <v>964147.5</v>
      </c>
      <c r="H583" s="12">
        <f>F583+G583</f>
        <v>964147.5</v>
      </c>
      <c r="I583" s="3">
        <f>E583-H583</f>
        <v>285852.5</v>
      </c>
      <c r="J583" s="4">
        <f>IFERROR(H583/E583,0)</f>
        <v>0.77131799999999995</v>
      </c>
      <c r="K583" s="2" t="str">
        <f>IF(E583=0,"Sin Plan",IF(J583&gt;=1,"Completado",IF(J583&gt;0.001,"En Progreso","Pendiente de ejecutar")))</f>
        <v>En Progreso</v>
      </c>
    </row>
    <row r="584" spans="1:11" x14ac:dyDescent="0.35">
      <c r="A584" s="25" t="s">
        <v>77</v>
      </c>
      <c r="B584" s="25" t="s">
        <v>55</v>
      </c>
      <c r="C584" s="25" t="s">
        <v>180</v>
      </c>
      <c r="D584" s="25" t="s">
        <v>181</v>
      </c>
      <c r="E584" s="26">
        <v>450000</v>
      </c>
      <c r="F584" s="26">
        <v>395025</v>
      </c>
      <c r="G584" s="26">
        <v>0</v>
      </c>
      <c r="H584" s="12">
        <f>F584+G584</f>
        <v>395025</v>
      </c>
      <c r="I584" s="3">
        <f>E584-H584</f>
        <v>54975</v>
      </c>
      <c r="J584" s="4">
        <f>IFERROR(H584/E584,0)</f>
        <v>0.87783333333333335</v>
      </c>
      <c r="K584" s="2" t="str">
        <f>IF(E584=0,"Sin Plan",IF(J584&gt;=1,"Completado",IF(J584&gt;0.001,"En Progreso","Pendiente de ejecutar")))</f>
        <v>En Progreso</v>
      </c>
    </row>
    <row r="585" spans="1:11" x14ac:dyDescent="0.35">
      <c r="A585" s="25" t="s">
        <v>77</v>
      </c>
      <c r="B585" s="25" t="s">
        <v>55</v>
      </c>
      <c r="C585" s="25" t="s">
        <v>193</v>
      </c>
      <c r="D585" s="25" t="s">
        <v>194</v>
      </c>
      <c r="E585" s="26">
        <v>311000</v>
      </c>
      <c r="F585" s="26">
        <v>205239.74</v>
      </c>
      <c r="G585" s="26">
        <v>0</v>
      </c>
      <c r="H585" s="12">
        <f>F585+G585</f>
        <v>205239.74</v>
      </c>
      <c r="I585" s="3">
        <f>E585-H585</f>
        <v>105760.26000000001</v>
      </c>
      <c r="J585" s="4">
        <f>IFERROR(H585/E585,0)</f>
        <v>0.65993485530546625</v>
      </c>
      <c r="K585" s="2" t="str">
        <f>IF(E585=0,"Sin Plan",IF(J585&gt;=1,"Completado",IF(J585&gt;0.001,"En Progreso","Pendiente de ejecutar")))</f>
        <v>En Progreso</v>
      </c>
    </row>
    <row r="586" spans="1:11" x14ac:dyDescent="0.35">
      <c r="A586" s="24" t="s">
        <v>77</v>
      </c>
      <c r="B586" s="24" t="s">
        <v>55</v>
      </c>
      <c r="C586" s="24" t="s">
        <v>200</v>
      </c>
      <c r="D586" s="24" t="s">
        <v>201</v>
      </c>
      <c r="E586" s="26">
        <v>120000</v>
      </c>
      <c r="F586" s="26">
        <v>708428.38</v>
      </c>
      <c r="G586" s="26">
        <v>0</v>
      </c>
      <c r="H586" s="12">
        <f>F586+G586</f>
        <v>708428.38</v>
      </c>
      <c r="I586" s="3">
        <f>E586-H586</f>
        <v>-588428.38</v>
      </c>
      <c r="J586" s="7">
        <f>IFERROR(H586/E586,0)</f>
        <v>5.9035698333333331</v>
      </c>
      <c r="K586" s="5" t="str">
        <f>IF(E586=0,"Sin Plan",IF(J586&gt;=1,"Completado",IF(J586&gt;0.001,"En Progreso","Pendiente de ejecutar")))</f>
        <v>Completado</v>
      </c>
    </row>
    <row r="587" spans="1:11" x14ac:dyDescent="0.35">
      <c r="A587" s="5" t="s">
        <v>155</v>
      </c>
      <c r="B587" s="5" t="s">
        <v>51</v>
      </c>
      <c r="C587" s="5" t="s">
        <v>18</v>
      </c>
      <c r="D587" s="5" t="s">
        <v>19</v>
      </c>
      <c r="E587" s="12">
        <v>685000</v>
      </c>
      <c r="F587" s="12">
        <v>0</v>
      </c>
      <c r="G587" s="12">
        <v>456100</v>
      </c>
      <c r="H587" s="12">
        <f>F587+G587</f>
        <v>456100</v>
      </c>
      <c r="I587" s="6">
        <f>E587-H587</f>
        <v>228900</v>
      </c>
      <c r="J587" s="7">
        <f>IFERROR(H587/E587,0)</f>
        <v>0.66583941605839414</v>
      </c>
      <c r="K587" s="5" t="str">
        <f>IF(E587=0,"Sin Plan",IF(J587&gt;=1,"Completado",IF(J587&gt;0.001,"En Progreso","Pendiente de ejecutar")))</f>
        <v>En Progreso</v>
      </c>
    </row>
    <row r="588" spans="1:11" x14ac:dyDescent="0.35">
      <c r="A588" s="24" t="s">
        <v>77</v>
      </c>
      <c r="B588" s="24" t="s">
        <v>55</v>
      </c>
      <c r="C588" s="24" t="s">
        <v>162</v>
      </c>
      <c r="D588" s="24" t="s">
        <v>163</v>
      </c>
      <c r="E588" s="26">
        <v>105500</v>
      </c>
      <c r="F588" s="26">
        <v>96860.76</v>
      </c>
      <c r="G588" s="26">
        <v>0</v>
      </c>
      <c r="H588" s="12">
        <f>F588+G588</f>
        <v>96860.76</v>
      </c>
      <c r="I588" s="3">
        <f>E588-H588</f>
        <v>8639.2400000000052</v>
      </c>
      <c r="J588" s="7">
        <f>IFERROR(H588/E588,0)</f>
        <v>0.91811146919431275</v>
      </c>
      <c r="K588" s="5" t="str">
        <f>IF(E588=0,"Sin Plan",IF(J588&gt;=1,"Completado",IF(J588&gt;0.001,"En Progreso","Pendiente de ejecutar")))</f>
        <v>En Progreso</v>
      </c>
    </row>
    <row r="589" spans="1:11" x14ac:dyDescent="0.35">
      <c r="A589" s="5" t="s">
        <v>155</v>
      </c>
      <c r="B589" s="5" t="s">
        <v>51</v>
      </c>
      <c r="C589" s="5" t="s">
        <v>3</v>
      </c>
      <c r="D589" s="5" t="s">
        <v>4</v>
      </c>
      <c r="E589" s="12">
        <v>450000</v>
      </c>
      <c r="F589" s="12">
        <v>0</v>
      </c>
      <c r="G589" s="12">
        <v>0</v>
      </c>
      <c r="H589" s="12">
        <f>F589+G589</f>
        <v>0</v>
      </c>
      <c r="I589" s="6">
        <f>E589-H589</f>
        <v>450000</v>
      </c>
      <c r="J589" s="7">
        <f>IFERROR(H589/E589,0)</f>
        <v>0</v>
      </c>
      <c r="K589" s="5" t="str">
        <f>IF(E589=0,"Sin Plan",IF(J589&gt;=1,"Completado",IF(J589&gt;0.001,"En Progreso","Pendiente de ejecutar")))</f>
        <v>Pendiente de ejecutar</v>
      </c>
    </row>
    <row r="590" spans="1:11" x14ac:dyDescent="0.35">
      <c r="A590" s="2" t="s">
        <v>155</v>
      </c>
      <c r="B590" s="2" t="s">
        <v>51</v>
      </c>
      <c r="C590" s="2" t="s">
        <v>2</v>
      </c>
      <c r="D590" s="2" t="s">
        <v>299</v>
      </c>
      <c r="E590" s="12">
        <v>63000</v>
      </c>
      <c r="F590" s="12">
        <v>23075.48</v>
      </c>
      <c r="G590" s="12">
        <v>0</v>
      </c>
      <c r="H590" s="12">
        <f>F590+G590</f>
        <v>23075.48</v>
      </c>
      <c r="I590" s="3">
        <f>E590-H590</f>
        <v>39924.520000000004</v>
      </c>
      <c r="J590" s="4">
        <f>IFERROR(H590/E590,0)</f>
        <v>0.36627746031746033</v>
      </c>
      <c r="K590" s="2" t="str">
        <f>IF(E590=0,"Sin Plan",IF(J590&gt;=1,"Completado",IF(J590&gt;0.001,"En Progreso","Pendiente de ejecutar")))</f>
        <v>En Progreso</v>
      </c>
    </row>
    <row r="591" spans="1:11" x14ac:dyDescent="0.35">
      <c r="A591" s="5" t="s">
        <v>216</v>
      </c>
      <c r="B591" s="5" t="s">
        <v>60</v>
      </c>
      <c r="C591" s="5" t="s">
        <v>22</v>
      </c>
      <c r="D591" s="5" t="s">
        <v>23</v>
      </c>
      <c r="E591" s="12">
        <v>334294</v>
      </c>
      <c r="F591" s="12">
        <v>0</v>
      </c>
      <c r="G591" s="12">
        <v>246624.75</v>
      </c>
      <c r="H591" s="12">
        <f>F591+G591</f>
        <v>246624.75</v>
      </c>
      <c r="I591" s="6">
        <f>E591-H591</f>
        <v>87669.25</v>
      </c>
      <c r="J591" s="7">
        <f>IFERROR(H591/E591,0)</f>
        <v>0.73774806009081828</v>
      </c>
      <c r="K591" s="5" t="str">
        <f>IF(E591=0,"Sin Plan",IF(J591&gt;=1,"Completado",IF(J591&gt;0.001,"En Progreso","Pendiente de ejecutar")))</f>
        <v>En Progreso</v>
      </c>
    </row>
    <row r="592" spans="1:11" x14ac:dyDescent="0.35">
      <c r="A592" s="5" t="s">
        <v>101</v>
      </c>
      <c r="B592" s="5" t="s">
        <v>46</v>
      </c>
      <c r="C592" s="5" t="s">
        <v>180</v>
      </c>
      <c r="D592" s="5" t="s">
        <v>181</v>
      </c>
      <c r="E592" s="12">
        <v>60000</v>
      </c>
      <c r="F592" s="12">
        <v>0</v>
      </c>
      <c r="G592" s="12">
        <v>0</v>
      </c>
      <c r="H592" s="12">
        <f>F592+G592</f>
        <v>0</v>
      </c>
      <c r="I592" s="3">
        <f>E592-H592</f>
        <v>60000</v>
      </c>
      <c r="J592" s="7">
        <f>IFERROR(H592/E592,0)</f>
        <v>0</v>
      </c>
      <c r="K592" s="5" t="str">
        <f>IF(E592=0,"Sin Plan",IF(J592&gt;=1,"Completado",IF(J592&gt;0.001,"En Progreso","Pendiente de ejecutar")))</f>
        <v>Pendiente de ejecutar</v>
      </c>
    </row>
    <row r="593" spans="1:13" x14ac:dyDescent="0.35">
      <c r="A593" s="25" t="s">
        <v>77</v>
      </c>
      <c r="B593" s="25" t="s">
        <v>55</v>
      </c>
      <c r="C593" s="25" t="s">
        <v>226</v>
      </c>
      <c r="D593" s="25" t="s">
        <v>227</v>
      </c>
      <c r="E593" s="26">
        <v>52000</v>
      </c>
      <c r="F593" s="26">
        <v>0</v>
      </c>
      <c r="G593" s="26">
        <v>0</v>
      </c>
      <c r="H593" s="12">
        <f>F593+G593</f>
        <v>0</v>
      </c>
      <c r="I593" s="3">
        <f>E593-H593</f>
        <v>52000</v>
      </c>
      <c r="J593" s="4">
        <f>IFERROR(H593/E593,0)</f>
        <v>0</v>
      </c>
      <c r="K593" s="2" t="str">
        <f>IF(E593=0,"Sin Plan",IF(J593&gt;=1,"Completado",IF(J593&gt;0.001,"En Progreso","Pendiente de ejecutar")))</f>
        <v>Pendiente de ejecutar</v>
      </c>
    </row>
    <row r="594" spans="1:13" x14ac:dyDescent="0.35">
      <c r="A594" s="24" t="s">
        <v>77</v>
      </c>
      <c r="B594" s="24" t="s">
        <v>55</v>
      </c>
      <c r="C594" s="24" t="s">
        <v>178</v>
      </c>
      <c r="D594" s="24" t="s">
        <v>179</v>
      </c>
      <c r="E594" s="26">
        <v>0</v>
      </c>
      <c r="F594" s="26">
        <v>393360</v>
      </c>
      <c r="G594" s="26">
        <v>0</v>
      </c>
      <c r="H594" s="12">
        <f>F594+G594</f>
        <v>393360</v>
      </c>
      <c r="I594" s="3">
        <f>E594-H594</f>
        <v>-393360</v>
      </c>
      <c r="J594" s="7">
        <f>IFERROR(H594/E594,0)</f>
        <v>0</v>
      </c>
      <c r="K594" s="5" t="str">
        <f>IF(E594=0,"Sin Plan",IF(J594&gt;=1,"Completado",IF(J594&gt;0.001,"En Progreso","Pendiente de ejecutar")))</f>
        <v>Sin Plan</v>
      </c>
    </row>
    <row r="595" spans="1:13" x14ac:dyDescent="0.35">
      <c r="A595" s="2" t="s">
        <v>73</v>
      </c>
      <c r="B595" s="2" t="s">
        <v>74</v>
      </c>
      <c r="C595" s="2" t="s">
        <v>22</v>
      </c>
      <c r="D595" s="2" t="s">
        <v>23</v>
      </c>
      <c r="E595" s="12">
        <v>0</v>
      </c>
      <c r="F595" s="12">
        <v>0</v>
      </c>
      <c r="G595" s="12">
        <v>2738241.51</v>
      </c>
      <c r="H595" s="12">
        <f>F595+G595</f>
        <v>2738241.51</v>
      </c>
      <c r="I595" s="3">
        <f>E595-H595</f>
        <v>-2738241.51</v>
      </c>
      <c r="J595" s="4">
        <f>IFERROR(H595/E595,0)</f>
        <v>0</v>
      </c>
      <c r="K595" s="2" t="str">
        <f>IF(E595=0,"Sin Plan",IF(J595&gt;=1,"Completado",IF(J595&gt;0.001,"En Progreso","Pendiente de ejecutar")))</f>
        <v>Sin Plan</v>
      </c>
    </row>
    <row r="596" spans="1:13" x14ac:dyDescent="0.35">
      <c r="A596" s="2" t="s">
        <v>156</v>
      </c>
      <c r="B596" s="2" t="s">
        <v>51</v>
      </c>
      <c r="C596" s="2" t="s">
        <v>18</v>
      </c>
      <c r="D596" s="2" t="s">
        <v>19</v>
      </c>
      <c r="E596" s="12">
        <v>685000</v>
      </c>
      <c r="F596" s="12">
        <v>0</v>
      </c>
      <c r="G596" s="12">
        <v>84500</v>
      </c>
      <c r="H596" s="12">
        <f>F596+G596</f>
        <v>84500</v>
      </c>
      <c r="I596" s="3">
        <f>E596-H596</f>
        <v>600500</v>
      </c>
      <c r="J596" s="4">
        <f>IFERROR(H596/E596,0)</f>
        <v>0.12335766423357664</v>
      </c>
      <c r="K596" s="2" t="str">
        <f>IF(E596=0,"Sin Plan",IF(J596&gt;=1,"Completado",IF(J596&gt;0.001,"En Progreso","Pendiente de ejecutar")))</f>
        <v>En Progreso</v>
      </c>
    </row>
    <row r="597" spans="1:13" x14ac:dyDescent="0.35">
      <c r="A597" s="2" t="s">
        <v>39</v>
      </c>
      <c r="B597" s="2" t="s">
        <v>40</v>
      </c>
      <c r="C597" s="2" t="s">
        <v>208</v>
      </c>
      <c r="D597" s="2" t="s">
        <v>209</v>
      </c>
      <c r="E597" s="12">
        <v>0</v>
      </c>
      <c r="F597" s="12">
        <v>0</v>
      </c>
      <c r="H597" s="12">
        <f>F597+G597</f>
        <v>0</v>
      </c>
      <c r="I597" s="3">
        <f>E597-H597</f>
        <v>0</v>
      </c>
      <c r="J597" s="4">
        <f>IFERROR(H597/E597,0)</f>
        <v>0</v>
      </c>
      <c r="K597" s="2" t="str">
        <f>IF(E597=0,"Sin Plan",IF(J597&gt;=1,"Completado",IF(J597&gt;0.001,"En Progreso","Pendiente de ejecutar")))</f>
        <v>Sin Plan</v>
      </c>
    </row>
    <row r="598" spans="1:13" x14ac:dyDescent="0.35">
      <c r="A598" s="5" t="s">
        <v>101</v>
      </c>
      <c r="B598" s="5" t="s">
        <v>46</v>
      </c>
      <c r="C598" s="5" t="s">
        <v>230</v>
      </c>
      <c r="D598" s="5" t="s">
        <v>231</v>
      </c>
      <c r="E598" s="12">
        <v>38000</v>
      </c>
      <c r="F598" s="12">
        <v>0</v>
      </c>
      <c r="G598" s="12">
        <v>0</v>
      </c>
      <c r="H598" s="12">
        <f>F598+G598</f>
        <v>0</v>
      </c>
      <c r="I598" s="3">
        <f>E598-H598</f>
        <v>38000</v>
      </c>
      <c r="J598" s="7">
        <f>IFERROR(H598/E598,0)</f>
        <v>0</v>
      </c>
      <c r="K598" s="5" t="str">
        <f>IF(E598=0,"Sin Plan",IF(J598&gt;=1,"Completado",IF(J598&gt;0.001,"En Progreso","Pendiente de ejecutar")))</f>
        <v>Pendiente de ejecutar</v>
      </c>
    </row>
    <row r="599" spans="1:13" x14ac:dyDescent="0.35">
      <c r="A599" s="2" t="s">
        <v>105</v>
      </c>
      <c r="B599" s="2" t="s">
        <v>74</v>
      </c>
      <c r="C599" s="2" t="s">
        <v>3</v>
      </c>
      <c r="D599" s="2" t="s">
        <v>4</v>
      </c>
      <c r="E599" s="12">
        <v>0</v>
      </c>
      <c r="F599" s="12">
        <v>0</v>
      </c>
      <c r="G599" s="12">
        <v>834244.97</v>
      </c>
      <c r="H599" s="12">
        <f>F599+G599</f>
        <v>834244.97</v>
      </c>
      <c r="I599" s="3">
        <f>E599-H599</f>
        <v>-834244.97</v>
      </c>
      <c r="J599" s="4">
        <f>IFERROR(H599/E599,0)</f>
        <v>0</v>
      </c>
      <c r="K599" s="2" t="str">
        <f>IF(E599=0,"Sin Plan",IF(J599&gt;=1,"Completado",IF(J599&gt;0.001,"En Progreso","Pendiente de ejecutar")))</f>
        <v>Sin Plan</v>
      </c>
    </row>
    <row r="600" spans="1:13" x14ac:dyDescent="0.35">
      <c r="A600" s="5" t="s">
        <v>225</v>
      </c>
      <c r="B600" s="5" t="s">
        <v>44</v>
      </c>
      <c r="C600" s="5" t="s">
        <v>200</v>
      </c>
      <c r="D600" s="5" t="s">
        <v>201</v>
      </c>
      <c r="E600" s="12">
        <v>0</v>
      </c>
      <c r="F600" s="12">
        <v>698460</v>
      </c>
      <c r="G600" s="12">
        <f>70000*2</f>
        <v>140000</v>
      </c>
      <c r="H600" s="12">
        <f>F600+G600</f>
        <v>838460</v>
      </c>
      <c r="I600" s="3">
        <f>E600-H600</f>
        <v>-838460</v>
      </c>
      <c r="J600" s="7">
        <f>IFERROR(H600/E600,0)</f>
        <v>0</v>
      </c>
      <c r="K600" s="5" t="str">
        <f>IF(E600=0,"Sin Plan",IF(J600&gt;=1,"Completado",IF(J600&gt;0.001,"En Progreso","Pendiente de ejecutar")))</f>
        <v>Sin Plan</v>
      </c>
      <c r="M600" t="s">
        <v>225</v>
      </c>
    </row>
    <row r="601" spans="1:13" x14ac:dyDescent="0.35">
      <c r="A601" s="2" t="s">
        <v>225</v>
      </c>
      <c r="B601" s="2" t="s">
        <v>44</v>
      </c>
      <c r="C601" s="2" t="s">
        <v>238</v>
      </c>
      <c r="D601" s="2" t="s">
        <v>239</v>
      </c>
      <c r="E601" s="12">
        <v>0</v>
      </c>
      <c r="H601" s="12">
        <f>F601+G601</f>
        <v>0</v>
      </c>
      <c r="I601" s="3">
        <f>E601-H601</f>
        <v>0</v>
      </c>
      <c r="J601" s="4">
        <f>IFERROR(H601/E601,0)</f>
        <v>0</v>
      </c>
      <c r="K601" s="2" t="str">
        <f>IF(E601=0,"Sin Plan",IF(J601&gt;=1,"Completado",IF(J601&gt;0.001,"En Progreso","Pendiente de ejecutar")))</f>
        <v>Sin Plan</v>
      </c>
    </row>
    <row r="602" spans="1:13" x14ac:dyDescent="0.35">
      <c r="A602" s="5" t="s">
        <v>225</v>
      </c>
      <c r="B602" s="5" t="s">
        <v>44</v>
      </c>
      <c r="C602" s="5" t="s">
        <v>22</v>
      </c>
      <c r="D602" s="5" t="s">
        <v>23</v>
      </c>
      <c r="E602" s="12">
        <v>0</v>
      </c>
      <c r="F602" s="12">
        <v>0</v>
      </c>
      <c r="G602" s="12">
        <v>246624.75</v>
      </c>
      <c r="H602" s="12">
        <f>F602+G602</f>
        <v>246624.75</v>
      </c>
      <c r="I602" s="3">
        <f>E602-H602</f>
        <v>-246624.75</v>
      </c>
      <c r="J602" s="7">
        <f>IFERROR(H602/E602,0)</f>
        <v>0</v>
      </c>
      <c r="K602" s="5" t="str">
        <f>IF(E602=0,"Sin Plan",IF(J602&gt;=1,"Completado",IF(J602&gt;0.001,"En Progreso","Pendiente de ejecutar")))</f>
        <v>Sin Plan</v>
      </c>
    </row>
    <row r="603" spans="1:13" x14ac:dyDescent="0.35">
      <c r="A603" s="2" t="s">
        <v>289</v>
      </c>
      <c r="B603" s="17" t="s">
        <v>372</v>
      </c>
      <c r="C603" s="2" t="s">
        <v>200</v>
      </c>
      <c r="D603" s="2" t="s">
        <v>201</v>
      </c>
      <c r="E603" s="12">
        <v>1174922</v>
      </c>
      <c r="F603" s="12">
        <v>696460</v>
      </c>
      <c r="G603" s="12">
        <f>70000*2</f>
        <v>140000</v>
      </c>
      <c r="H603" s="12" t="e">
        <f>#REF!+F603</f>
        <v>#REF!</v>
      </c>
      <c r="I603" s="3" t="e">
        <f>E603-H603</f>
        <v>#REF!</v>
      </c>
      <c r="J603" s="4">
        <f>IFERROR(H603/E603,0)</f>
        <v>0</v>
      </c>
      <c r="K603" s="2" t="str">
        <f>IF(E603=0,"Sin Plan",IF(J603&gt;=1,"Completado",IF(J603&gt;0.001,"En Progreso","Pendiente de ejecutar")))</f>
        <v>Pendiente de ejecutar</v>
      </c>
    </row>
    <row r="604" spans="1:13" x14ac:dyDescent="0.35">
      <c r="A604" s="5" t="s">
        <v>290</v>
      </c>
      <c r="B604" s="17" t="s">
        <v>372</v>
      </c>
      <c r="C604" s="5" t="s">
        <v>200</v>
      </c>
      <c r="D604" s="5" t="s">
        <v>201</v>
      </c>
      <c r="E604" s="12">
        <v>0</v>
      </c>
      <c r="F604" s="12">
        <v>693460</v>
      </c>
      <c r="G604" s="12">
        <f>70000*2</f>
        <v>140000</v>
      </c>
      <c r="H604" s="12">
        <f>F604+G604</f>
        <v>833460</v>
      </c>
      <c r="I604" s="3">
        <f>E604-H604</f>
        <v>-833460</v>
      </c>
      <c r="J604" s="7">
        <f>IFERROR(H604/E604,0)</f>
        <v>0</v>
      </c>
      <c r="K604" s="5" t="str">
        <f>IF(E604=0,"Sin Plan",IF(J604&gt;=1,"Completado",IF(J604&gt;0.001,"En Progreso","Pendiente de ejecutar")))</f>
        <v>Sin Plan</v>
      </c>
    </row>
    <row r="605" spans="1:13" x14ac:dyDescent="0.35">
      <c r="A605" s="2" t="s">
        <v>210</v>
      </c>
      <c r="B605" s="2" t="s">
        <v>44</v>
      </c>
      <c r="C605" s="2" t="s">
        <v>178</v>
      </c>
      <c r="D605" s="2" t="s">
        <v>179</v>
      </c>
      <c r="E605" s="12">
        <v>180000</v>
      </c>
      <c r="F605" s="12">
        <v>0</v>
      </c>
      <c r="G605" s="12">
        <v>0</v>
      </c>
      <c r="H605" s="12">
        <f>F605+G605</f>
        <v>0</v>
      </c>
      <c r="I605" s="3">
        <f>E605-H605</f>
        <v>180000</v>
      </c>
      <c r="J605" s="4">
        <f>IFERROR(H605/E605,0)</f>
        <v>0</v>
      </c>
      <c r="K605" s="2" t="str">
        <f>IF(E605=0,"Sin Plan",IF(J605&gt;=1,"Completado",IF(J605&gt;0.001,"En Progreso","Pendiente de ejecutar")))</f>
        <v>Pendiente de ejecutar</v>
      </c>
    </row>
    <row r="606" spans="1:13" x14ac:dyDescent="0.35">
      <c r="A606" s="24" t="s">
        <v>77</v>
      </c>
      <c r="B606" s="24" t="s">
        <v>55</v>
      </c>
      <c r="C606" s="24" t="s">
        <v>240</v>
      </c>
      <c r="D606" s="24" t="s">
        <v>241</v>
      </c>
      <c r="E606" s="26">
        <v>0</v>
      </c>
      <c r="F606" s="26">
        <v>283076.44</v>
      </c>
      <c r="G606" s="26">
        <v>0</v>
      </c>
      <c r="H606" s="12">
        <f>F606+G606</f>
        <v>283076.44</v>
      </c>
      <c r="I606" s="3">
        <f>E606-H606</f>
        <v>-283076.44</v>
      </c>
      <c r="J606" s="7">
        <f>IFERROR(H606/E606,0)</f>
        <v>0</v>
      </c>
      <c r="K606" s="5" t="str">
        <f>IF(E606=0,"Sin Plan",IF(J606&gt;=1,"Completado",IF(J606&gt;0.001,"En Progreso","Pendiente de ejecutar")))</f>
        <v>Sin Plan</v>
      </c>
    </row>
    <row r="607" spans="1:13" x14ac:dyDescent="0.35">
      <c r="A607" s="24" t="s">
        <v>77</v>
      </c>
      <c r="B607" s="24" t="s">
        <v>55</v>
      </c>
      <c r="C607" s="24" t="s">
        <v>238</v>
      </c>
      <c r="D607" s="24" t="s">
        <v>239</v>
      </c>
      <c r="E607" s="26">
        <v>0</v>
      </c>
      <c r="F607" s="26">
        <v>0</v>
      </c>
      <c r="G607" s="26">
        <v>27542.37</v>
      </c>
      <c r="H607" s="12">
        <f>F607+G607</f>
        <v>27542.37</v>
      </c>
      <c r="I607" s="3">
        <f>E607-H607</f>
        <v>-27542.37</v>
      </c>
      <c r="J607" s="7">
        <f>IFERROR(H607/E607,0)</f>
        <v>0</v>
      </c>
      <c r="K607" s="5" t="str">
        <f>IF(E607=0,"Sin Plan",IF(J607&gt;=1,"Completado",IF(J607&gt;0.001,"En Progreso","Pendiente de ejecutar")))</f>
        <v>Sin Plan</v>
      </c>
    </row>
    <row r="608" spans="1:13" x14ac:dyDescent="0.35">
      <c r="A608" s="25" t="s">
        <v>77</v>
      </c>
      <c r="B608" s="25" t="s">
        <v>55</v>
      </c>
      <c r="C608" s="25" t="s">
        <v>185</v>
      </c>
      <c r="D608" s="25" t="s">
        <v>186</v>
      </c>
      <c r="E608" s="26">
        <v>0</v>
      </c>
      <c r="F608" s="26"/>
      <c r="G608" s="26"/>
      <c r="H608" s="12" t="e">
        <f>#REF!+F622</f>
        <v>#REF!</v>
      </c>
      <c r="I608" s="3" t="e">
        <f>E608-H608</f>
        <v>#REF!</v>
      </c>
      <c r="J608" s="4">
        <f>IFERROR(H608/E608,0)</f>
        <v>0</v>
      </c>
      <c r="K608" s="2" t="str">
        <f>IF(E608=0,"Sin Plan",IF(J608&gt;=1,"Completado",IF(J608&gt;0.001,"En Progreso","Pendiente de ejecutar")))</f>
        <v>Sin Plan</v>
      </c>
    </row>
    <row r="609" spans="1:11" x14ac:dyDescent="0.35">
      <c r="A609" s="2" t="s">
        <v>164</v>
      </c>
      <c r="B609" s="2" t="s">
        <v>46</v>
      </c>
      <c r="C609" s="2" t="s">
        <v>180</v>
      </c>
      <c r="D609" s="2" t="s">
        <v>181</v>
      </c>
      <c r="E609" s="12">
        <v>0</v>
      </c>
      <c r="F609" s="12">
        <v>73560</v>
      </c>
      <c r="G609" s="12">
        <v>0</v>
      </c>
      <c r="H609" s="12">
        <f>F609+G609</f>
        <v>73560</v>
      </c>
      <c r="I609" s="3">
        <f>E609-H609</f>
        <v>-73560</v>
      </c>
      <c r="J609" s="4">
        <f>IFERROR(H609/E609,0)</f>
        <v>0</v>
      </c>
      <c r="K609" s="2" t="str">
        <f>IF(E609=0,"Sin Plan",IF(J609&gt;=1,"Completado",IF(J609&gt;0.001,"En Progreso","Pendiente de ejecutar")))</f>
        <v>Sin Plan</v>
      </c>
    </row>
    <row r="610" spans="1:11" x14ac:dyDescent="0.35">
      <c r="A610" s="5" t="s">
        <v>210</v>
      </c>
      <c r="B610" s="5" t="s">
        <v>44</v>
      </c>
      <c r="C610" s="5" t="s">
        <v>185</v>
      </c>
      <c r="D610" s="5" t="s">
        <v>186</v>
      </c>
      <c r="E610" s="12">
        <v>180000</v>
      </c>
      <c r="F610" s="12">
        <v>0</v>
      </c>
      <c r="G610" s="12">
        <v>0</v>
      </c>
      <c r="H610" s="12">
        <f>F610+G610</f>
        <v>0</v>
      </c>
      <c r="I610" s="3">
        <f>E610-H610</f>
        <v>180000</v>
      </c>
      <c r="J610" s="7">
        <f>IFERROR(H610/E610,0)</f>
        <v>0</v>
      </c>
      <c r="K610" s="5" t="str">
        <f>IF(E610=0,"Sin Plan",IF(J610&gt;=1,"Completado",IF(J610&gt;0.001,"En Progreso","Pendiente de ejecutar")))</f>
        <v>Pendiente de ejecutar</v>
      </c>
    </row>
    <row r="611" spans="1:11" x14ac:dyDescent="0.35">
      <c r="A611" s="2" t="s">
        <v>140</v>
      </c>
      <c r="B611" s="2" t="s">
        <v>53</v>
      </c>
      <c r="C611" s="2" t="s">
        <v>178</v>
      </c>
      <c r="D611" s="2" t="s">
        <v>179</v>
      </c>
      <c r="E611" s="12">
        <v>150000</v>
      </c>
      <c r="F611" s="12">
        <v>131120</v>
      </c>
      <c r="G611" s="12">
        <v>0</v>
      </c>
      <c r="H611" s="12">
        <f>F611+G611</f>
        <v>131120</v>
      </c>
      <c r="I611" s="3">
        <f>E611-H611</f>
        <v>18880</v>
      </c>
      <c r="J611" s="4">
        <f>IFERROR(H611/E611,0)</f>
        <v>0.87413333333333332</v>
      </c>
      <c r="K611" s="2" t="str">
        <f>IF(E611=0,"Sin Plan",IF(J611&gt;=1,"Completado",IF(J611&gt;0.001,"En Progreso","Pendiente de ejecutar")))</f>
        <v>En Progreso</v>
      </c>
    </row>
    <row r="612" spans="1:11" x14ac:dyDescent="0.35">
      <c r="A612" s="2" t="s">
        <v>140</v>
      </c>
      <c r="B612" s="2" t="s">
        <v>53</v>
      </c>
      <c r="C612" s="2" t="s">
        <v>120</v>
      </c>
      <c r="D612" s="2" t="s">
        <v>121</v>
      </c>
      <c r="E612" s="12">
        <v>86000</v>
      </c>
      <c r="F612" s="12">
        <v>0</v>
      </c>
      <c r="G612" s="12">
        <v>37202.5</v>
      </c>
      <c r="H612" s="12">
        <f>F612+G612</f>
        <v>37202.5</v>
      </c>
      <c r="I612" s="3">
        <f>E612-H612</f>
        <v>48797.5</v>
      </c>
      <c r="J612" s="4">
        <f>IFERROR(H612/E612,0)</f>
        <v>0.43258720930232558</v>
      </c>
      <c r="K612" s="2" t="str">
        <f>IF(E612=0,"Sin Plan",IF(J612&gt;=1,"Completado",IF(J612&gt;0.001,"En Progreso","Pendiente de ejecutar")))</f>
        <v>En Progreso</v>
      </c>
    </row>
    <row r="613" spans="1:11" x14ac:dyDescent="0.35">
      <c r="A613" s="5" t="s">
        <v>164</v>
      </c>
      <c r="B613" s="5" t="s">
        <v>46</v>
      </c>
      <c r="C613" s="5" t="s">
        <v>28</v>
      </c>
      <c r="D613" s="5" t="s">
        <v>29</v>
      </c>
      <c r="E613" s="12">
        <v>0</v>
      </c>
      <c r="F613" s="12">
        <v>0</v>
      </c>
      <c r="G613" s="12">
        <v>178224.76</v>
      </c>
      <c r="H613" s="12">
        <f>F613+G613</f>
        <v>178224.76</v>
      </c>
      <c r="I613" s="3">
        <f>E613-H613</f>
        <v>-178224.76</v>
      </c>
      <c r="J613" s="7">
        <f>IFERROR(H613/E613,0)</f>
        <v>0</v>
      </c>
      <c r="K613" s="5" t="str">
        <f>IF(E613=0,"Sin Plan",IF(J613&gt;=1,"Completado",IF(J613&gt;0.001,"En Progreso","Pendiente de ejecutar")))</f>
        <v>Sin Plan</v>
      </c>
    </row>
    <row r="614" spans="1:11" x14ac:dyDescent="0.35">
      <c r="A614" s="2" t="s">
        <v>210</v>
      </c>
      <c r="B614" s="2" t="s">
        <v>44</v>
      </c>
      <c r="C614" s="2" t="s">
        <v>162</v>
      </c>
      <c r="D614" s="2" t="s">
        <v>163</v>
      </c>
      <c r="E614" s="12">
        <v>103000</v>
      </c>
      <c r="F614" s="12">
        <v>295456.84999999998</v>
      </c>
      <c r="H614" s="12" t="e">
        <f>#REF!+F614</f>
        <v>#REF!</v>
      </c>
      <c r="I614" s="3" t="e">
        <f>E614-H614</f>
        <v>#REF!</v>
      </c>
      <c r="J614" s="4">
        <f>IFERROR(H614/E614,0)</f>
        <v>0</v>
      </c>
      <c r="K614" s="2" t="str">
        <f>IF(E614=0,"Sin Plan",IF(J614&gt;=1,"Completado",IF(J614&gt;0.001,"En Progreso","Pendiente de ejecutar")))</f>
        <v>Pendiente de ejecutar</v>
      </c>
    </row>
    <row r="615" spans="1:11" x14ac:dyDescent="0.35">
      <c r="A615" s="2" t="s">
        <v>289</v>
      </c>
      <c r="B615" s="17" t="s">
        <v>372</v>
      </c>
      <c r="C615" s="2" t="s">
        <v>22</v>
      </c>
      <c r="D615" s="2" t="s">
        <v>23</v>
      </c>
      <c r="E615" s="12">
        <v>0</v>
      </c>
      <c r="F615" s="12">
        <v>0</v>
      </c>
      <c r="G615" s="12">
        <v>246624.75</v>
      </c>
      <c r="H615" s="12">
        <f>F615+G615</f>
        <v>246624.75</v>
      </c>
      <c r="I615" s="3">
        <f>E615-H615</f>
        <v>-246624.75</v>
      </c>
      <c r="J615" s="4">
        <f>IFERROR(H615/E615,0)</f>
        <v>0</v>
      </c>
      <c r="K615" s="2" t="str">
        <f>IF(E615=0,"Sin Plan",IF(J615&gt;=1,"Completado",IF(J615&gt;0.001,"En Progreso","Pendiente de ejecutar")))</f>
        <v>Sin Plan</v>
      </c>
    </row>
    <row r="616" spans="1:11" x14ac:dyDescent="0.35">
      <c r="A616" s="5" t="s">
        <v>290</v>
      </c>
      <c r="B616" s="17" t="s">
        <v>372</v>
      </c>
      <c r="C616" s="5" t="s">
        <v>22</v>
      </c>
      <c r="D616" s="5" t="s">
        <v>23</v>
      </c>
      <c r="E616" s="12">
        <v>0</v>
      </c>
      <c r="F616" s="12">
        <v>0</v>
      </c>
      <c r="G616" s="12">
        <v>246624.75</v>
      </c>
      <c r="H616" s="12">
        <f>F616+G616</f>
        <v>246624.75</v>
      </c>
      <c r="I616" s="3">
        <f>E616-H616</f>
        <v>-246624.75</v>
      </c>
      <c r="J616" s="7">
        <f>IFERROR(H616/E616,0)</f>
        <v>0</v>
      </c>
      <c r="K616" s="5" t="str">
        <f>IF(E616=0,"Sin Plan",IF(J616&gt;=1,"Completado",IF(J616&gt;0.001,"En Progreso","Pendiente de ejecutar")))</f>
        <v>Sin Plan</v>
      </c>
    </row>
    <row r="617" spans="1:11" x14ac:dyDescent="0.35">
      <c r="A617" s="2" t="s">
        <v>164</v>
      </c>
      <c r="B617" s="2" t="s">
        <v>46</v>
      </c>
      <c r="C617" s="2" t="s">
        <v>230</v>
      </c>
      <c r="D617" s="2" t="s">
        <v>231</v>
      </c>
      <c r="E617" s="12">
        <v>0</v>
      </c>
      <c r="F617" s="12">
        <v>0</v>
      </c>
      <c r="G617" s="12">
        <v>39850</v>
      </c>
      <c r="H617" s="12">
        <f>F617+G617</f>
        <v>39850</v>
      </c>
      <c r="I617" s="3">
        <f>E617-H617</f>
        <v>-39850</v>
      </c>
      <c r="J617" s="4">
        <f>IFERROR(H617/E617,0)</f>
        <v>0</v>
      </c>
      <c r="K617" s="2" t="str">
        <f>IF(E617=0,"Sin Plan",IF(J617&gt;=1,"Completado",IF(J617&gt;0.001,"En Progreso","Pendiente de ejecutar")))</f>
        <v>Sin Plan</v>
      </c>
    </row>
    <row r="618" spans="1:11" x14ac:dyDescent="0.35">
      <c r="A618" s="2" t="s">
        <v>156</v>
      </c>
      <c r="B618" s="2" t="s">
        <v>51</v>
      </c>
      <c r="C618" s="2" t="s">
        <v>22</v>
      </c>
      <c r="D618" s="2" t="s">
        <v>23</v>
      </c>
      <c r="E618" s="12">
        <v>120000</v>
      </c>
      <c r="F618" s="12">
        <v>0</v>
      </c>
      <c r="G618" s="12">
        <v>246624.75</v>
      </c>
      <c r="H618" s="12">
        <f>F618+G618</f>
        <v>246624.75</v>
      </c>
      <c r="I618" s="3">
        <f>E618-H618</f>
        <v>-126624.75</v>
      </c>
      <c r="J618" s="4">
        <f>IFERROR(H618/E618,0)</f>
        <v>2.0552062499999999</v>
      </c>
      <c r="K618" s="2" t="str">
        <f>IF(E618=0,"Sin Plan",IF(J618&gt;=1,"Completado",IF(J618&gt;0.001,"En Progreso","Pendiente de ejecutar")))</f>
        <v>Completado</v>
      </c>
    </row>
    <row r="619" spans="1:11" x14ac:dyDescent="0.35">
      <c r="A619" s="5" t="s">
        <v>156</v>
      </c>
      <c r="B619" s="5" t="s">
        <v>51</v>
      </c>
      <c r="C619" s="5" t="s">
        <v>2</v>
      </c>
      <c r="D619" s="2" t="s">
        <v>299</v>
      </c>
      <c r="E619" s="12">
        <v>63000</v>
      </c>
      <c r="F619" s="12">
        <v>23075.48</v>
      </c>
      <c r="G619" s="12">
        <v>0</v>
      </c>
      <c r="H619" s="12">
        <f>F619+G619</f>
        <v>23075.48</v>
      </c>
      <c r="I619" s="6">
        <f>E619-H619</f>
        <v>39924.520000000004</v>
      </c>
      <c r="J619" s="7">
        <f>IFERROR(H619/E619,0)</f>
        <v>0.36627746031746033</v>
      </c>
      <c r="K619" s="5" t="str">
        <f>IF(E619=0,"Sin Plan",IF(J619&gt;=1,"Completado",IF(J619&gt;0.001,"En Progreso","Pendiente de ejecutar")))</f>
        <v>En Progreso</v>
      </c>
    </row>
    <row r="620" spans="1:11" x14ac:dyDescent="0.35">
      <c r="A620" s="2" t="s">
        <v>217</v>
      </c>
      <c r="B620" s="2" t="s">
        <v>60</v>
      </c>
      <c r="C620" s="2" t="s">
        <v>22</v>
      </c>
      <c r="D620" s="2" t="s">
        <v>23</v>
      </c>
      <c r="E620" s="12">
        <v>246625</v>
      </c>
      <c r="F620" s="12">
        <v>0</v>
      </c>
      <c r="G620" s="12">
        <v>246624.75</v>
      </c>
      <c r="H620" s="12">
        <f>F620+G620</f>
        <v>246624.75</v>
      </c>
      <c r="I620" s="3">
        <f>E620-H620</f>
        <v>0.25</v>
      </c>
      <c r="J620" s="4">
        <f>IFERROR(H620/E620,0)</f>
        <v>0.99999898631525597</v>
      </c>
      <c r="K620" s="2" t="str">
        <f>IF(E620=0,"Sin Plan",IF(J620&gt;=1,"Completado",IF(J620&gt;0.001,"En Progreso","Pendiente de ejecutar")))</f>
        <v>En Progreso</v>
      </c>
    </row>
    <row r="621" spans="1:11" x14ac:dyDescent="0.35">
      <c r="A621" s="5" t="s">
        <v>97</v>
      </c>
      <c r="B621" s="5" t="s">
        <v>65</v>
      </c>
      <c r="C621" s="5" t="s">
        <v>28</v>
      </c>
      <c r="D621" s="5" t="s">
        <v>29</v>
      </c>
      <c r="E621" s="12">
        <v>3600000</v>
      </c>
      <c r="F621" s="12">
        <v>546389.19999999995</v>
      </c>
      <c r="G621" s="12">
        <v>0</v>
      </c>
      <c r="H621" s="12">
        <f>F621+G621</f>
        <v>546389.19999999995</v>
      </c>
      <c r="I621" s="6">
        <f>E621-H621</f>
        <v>3053610.8</v>
      </c>
      <c r="J621" s="7">
        <f>IFERROR(H621/E621,0)</f>
        <v>0.15177477777777776</v>
      </c>
      <c r="K621" s="5" t="str">
        <f>IF(E621=0,"Sin Plan",IF(J621&gt;=1,"Completado",IF(J621&gt;0.001,"En Progreso","Pendiente de ejecutar")))</f>
        <v>En Progreso</v>
      </c>
    </row>
    <row r="622" spans="1:11" x14ac:dyDescent="0.35">
      <c r="A622" s="24" t="s">
        <v>77</v>
      </c>
      <c r="B622" s="24" t="s">
        <v>55</v>
      </c>
      <c r="C622" s="24" t="s">
        <v>22</v>
      </c>
      <c r="D622" s="24" t="s">
        <v>23</v>
      </c>
      <c r="E622" s="26">
        <v>0</v>
      </c>
      <c r="F622" s="26">
        <v>534848.42000000004</v>
      </c>
      <c r="G622" s="26">
        <v>246624.75</v>
      </c>
      <c r="H622" s="12" t="e">
        <f>#REF!+G622</f>
        <v>#REF!</v>
      </c>
      <c r="I622" s="3" t="e">
        <f>E622-H622</f>
        <v>#REF!</v>
      </c>
      <c r="J622" s="7">
        <f>IFERROR(H622/E622,0)</f>
        <v>0</v>
      </c>
      <c r="K622" s="5" t="str">
        <f>IF(E622=0,"Sin Plan",IF(J622&gt;=1,"Completado",IF(J622&gt;0.001,"En Progreso","Pendiente de ejecutar")))</f>
        <v>Sin Plan</v>
      </c>
    </row>
    <row r="623" spans="1:11" x14ac:dyDescent="0.35">
      <c r="A623" s="5" t="s">
        <v>97</v>
      </c>
      <c r="B623" s="5" t="s">
        <v>65</v>
      </c>
      <c r="C623" s="5" t="s">
        <v>18</v>
      </c>
      <c r="D623" s="5" t="s">
        <v>19</v>
      </c>
      <c r="E623" s="12">
        <v>780000</v>
      </c>
      <c r="F623" s="12">
        <v>0</v>
      </c>
      <c r="G623" s="12">
        <v>93300</v>
      </c>
      <c r="H623" s="12">
        <f>F623+G623</f>
        <v>93300</v>
      </c>
      <c r="I623" s="6">
        <f>E623-H623</f>
        <v>686700</v>
      </c>
      <c r="J623" s="7">
        <f>IFERROR(H623/E623,0)</f>
        <v>0.11961538461538461</v>
      </c>
      <c r="K623" s="5" t="str">
        <f>IF(E623=0,"Sin Plan",IF(J623&gt;=1,"Completado",IF(J623&gt;0.001,"En Progreso","Pendiente de ejecutar")))</f>
        <v>En Progreso</v>
      </c>
    </row>
    <row r="624" spans="1:11" x14ac:dyDescent="0.35">
      <c r="A624" s="5" t="s">
        <v>270</v>
      </c>
      <c r="B624" s="5" t="s">
        <v>74</v>
      </c>
      <c r="C624" s="5" t="s">
        <v>234</v>
      </c>
      <c r="D624" s="5" t="s">
        <v>235</v>
      </c>
      <c r="E624" s="12">
        <v>0</v>
      </c>
      <c r="F624" s="12">
        <v>29257.63</v>
      </c>
      <c r="H624" s="12">
        <f>F624+G624</f>
        <v>29257.63</v>
      </c>
      <c r="I624" s="6">
        <f>E624-H624</f>
        <v>-29257.63</v>
      </c>
      <c r="J624" s="7">
        <f>IFERROR(H624/E624,0)</f>
        <v>0</v>
      </c>
      <c r="K624" s="5" t="str">
        <f>IF(E624=0,"Sin Plan",IF(J624&gt;=1,"Completado",IF(J624&gt;0.001,"En Progreso","Pendiente de ejecutar")))</f>
        <v>Sin Plan</v>
      </c>
    </row>
    <row r="625" spans="1:11" x14ac:dyDescent="0.35">
      <c r="A625" s="2" t="s">
        <v>164</v>
      </c>
      <c r="B625" s="2" t="s">
        <v>46</v>
      </c>
      <c r="C625" s="2" t="s">
        <v>13</v>
      </c>
      <c r="D625" s="2" t="s">
        <v>14</v>
      </c>
      <c r="E625" s="12">
        <v>0</v>
      </c>
      <c r="F625" s="12">
        <v>0</v>
      </c>
      <c r="G625" s="12">
        <v>82130.42</v>
      </c>
      <c r="H625" s="12">
        <f>F625+G625</f>
        <v>82130.42</v>
      </c>
      <c r="I625" s="3">
        <f>E625-H625</f>
        <v>-82130.42</v>
      </c>
      <c r="J625" s="4">
        <f>IFERROR(H625/E625,0)</f>
        <v>0</v>
      </c>
      <c r="K625" s="2" t="str">
        <f>IF(E625=0,"Sin Plan",IF(J625&gt;=1,"Completado",IF(J625&gt;0.001,"En Progreso","Pendiente de ejecutar")))</f>
        <v>Sin Plan</v>
      </c>
    </row>
    <row r="626" spans="1:11" x14ac:dyDescent="0.35">
      <c r="A626" s="25" t="s">
        <v>77</v>
      </c>
      <c r="B626" s="25" t="s">
        <v>55</v>
      </c>
      <c r="C626" s="25" t="s">
        <v>16</v>
      </c>
      <c r="D626" s="25" t="s">
        <v>17</v>
      </c>
      <c r="E626" s="26">
        <v>0</v>
      </c>
      <c r="F626" s="26">
        <v>0</v>
      </c>
      <c r="G626" s="26">
        <v>112945.64</v>
      </c>
      <c r="H626" s="12">
        <f>F626+G626</f>
        <v>112945.64</v>
      </c>
      <c r="I626" s="3">
        <f>E626-H626</f>
        <v>-112945.64</v>
      </c>
      <c r="J626" s="4">
        <f>IFERROR(H626/E626,0)</f>
        <v>0</v>
      </c>
      <c r="K626" s="2" t="str">
        <f>IF(E626=0,"Sin Plan",IF(J626&gt;=1,"Completado",IF(J626&gt;0.001,"En Progreso","Pendiente de ejecutar")))</f>
        <v>Sin Plan</v>
      </c>
    </row>
    <row r="627" spans="1:11" x14ac:dyDescent="0.35">
      <c r="A627" s="5" t="s">
        <v>210</v>
      </c>
      <c r="B627" s="5" t="s">
        <v>44</v>
      </c>
      <c r="C627" s="5" t="s">
        <v>2</v>
      </c>
      <c r="D627" s="2" t="s">
        <v>299</v>
      </c>
      <c r="E627" s="12">
        <v>0</v>
      </c>
      <c r="F627" s="12">
        <v>350196</v>
      </c>
      <c r="G627" s="12">
        <v>0</v>
      </c>
      <c r="H627" s="12">
        <f>F627+G627</f>
        <v>350196</v>
      </c>
      <c r="I627" s="3">
        <f>E627-H627</f>
        <v>-350196</v>
      </c>
      <c r="J627" s="7">
        <f>IFERROR(H627/E627,0)</f>
        <v>0</v>
      </c>
      <c r="K627" s="5" t="str">
        <f>IF(E627=0,"Sin Plan",IF(J627&gt;=1,"Completado",IF(J627&gt;0.001,"En Progreso","Pendiente de ejecutar")))</f>
        <v>Sin Plan</v>
      </c>
    </row>
    <row r="628" spans="1:11" x14ac:dyDescent="0.35">
      <c r="A628" s="5" t="s">
        <v>140</v>
      </c>
      <c r="B628" s="5" t="s">
        <v>53</v>
      </c>
      <c r="C628" s="5" t="s">
        <v>22</v>
      </c>
      <c r="D628" s="5" t="s">
        <v>23</v>
      </c>
      <c r="E628" s="12">
        <v>0</v>
      </c>
      <c r="F628" s="12">
        <v>0</v>
      </c>
      <c r="G628" s="12">
        <v>246624.75</v>
      </c>
      <c r="H628" s="12">
        <f>F628+G628</f>
        <v>246624.75</v>
      </c>
      <c r="I628" s="6">
        <f>E628-H628</f>
        <v>-246624.75</v>
      </c>
      <c r="J628" s="7">
        <f>IFERROR(H628/E628,0)</f>
        <v>0</v>
      </c>
      <c r="K628" s="5" t="str">
        <f>IF(E628=0,"Sin Plan",IF(J628&gt;=1,"Completado",IF(J628&gt;0.001,"En Progreso","Pendiente de ejecutar")))</f>
        <v>Sin Plan</v>
      </c>
    </row>
    <row r="629" spans="1:11" x14ac:dyDescent="0.35">
      <c r="A629" s="5" t="s">
        <v>210</v>
      </c>
      <c r="B629" s="5" t="s">
        <v>44</v>
      </c>
      <c r="C629" s="5" t="s">
        <v>200</v>
      </c>
      <c r="D629" s="5" t="s">
        <v>201</v>
      </c>
      <c r="E629" s="12">
        <v>0</v>
      </c>
      <c r="F629" s="12">
        <v>693460</v>
      </c>
      <c r="G629" s="12">
        <f>70000*2</f>
        <v>140000</v>
      </c>
      <c r="H629" s="12" t="e">
        <f>#REF!+G629</f>
        <v>#REF!</v>
      </c>
      <c r="I629" s="3" t="e">
        <f>E629-H629</f>
        <v>#REF!</v>
      </c>
      <c r="J629" s="7">
        <f>IFERROR(H629/E629,0)</f>
        <v>0</v>
      </c>
      <c r="K629" s="5" t="str">
        <f>IF(E629=0,"Sin Plan",IF(J629&gt;=1,"Completado",IF(J629&gt;0.001,"En Progreso","Pendiente de ejecutar")))</f>
        <v>Sin Plan</v>
      </c>
    </row>
    <row r="630" spans="1:11" x14ac:dyDescent="0.35">
      <c r="A630" s="2" t="s">
        <v>164</v>
      </c>
      <c r="B630" s="2" t="s">
        <v>46</v>
      </c>
      <c r="C630" s="2" t="s">
        <v>283</v>
      </c>
      <c r="D630" s="2" t="s">
        <v>284</v>
      </c>
      <c r="E630" s="12">
        <v>0</v>
      </c>
      <c r="F630" s="12">
        <v>0</v>
      </c>
      <c r="G630" s="12">
        <v>573413.1</v>
      </c>
      <c r="H630" s="12">
        <f>F630+G630</f>
        <v>573413.1</v>
      </c>
      <c r="I630" s="3">
        <f>E630-H630</f>
        <v>-573413.1</v>
      </c>
      <c r="J630" s="4">
        <f>IFERROR(H630/E630,0)</f>
        <v>0</v>
      </c>
      <c r="K630" s="2" t="str">
        <f>IF(E630=0,"Sin Plan",IF(J630&gt;=1,"Completado",IF(J630&gt;0.001,"En Progreso","Pendiente de ejecutar")))</f>
        <v>Sin Plan</v>
      </c>
    </row>
    <row r="631" spans="1:11" x14ac:dyDescent="0.35">
      <c r="A631" s="5" t="s">
        <v>228</v>
      </c>
      <c r="B631" s="5" t="s">
        <v>55</v>
      </c>
      <c r="C631" s="5" t="s">
        <v>223</v>
      </c>
      <c r="D631" s="5" t="s">
        <v>224</v>
      </c>
      <c r="E631" s="12">
        <v>47500</v>
      </c>
      <c r="F631" s="12">
        <v>0</v>
      </c>
      <c r="G631" s="12">
        <v>0</v>
      </c>
      <c r="H631" s="12">
        <f>F631+G631</f>
        <v>0</v>
      </c>
      <c r="I631" s="3">
        <f>E631-H631</f>
        <v>47500</v>
      </c>
      <c r="J631" s="7">
        <f>IFERROR(H631/E631,0)</f>
        <v>0</v>
      </c>
      <c r="K631" s="5" t="str">
        <f>IF(E631=0,"Sin Plan",IF(J631&gt;=1,"Completado",IF(J631&gt;0.001,"En Progreso","Pendiente de ejecutar")))</f>
        <v>Pendiente de ejecutar</v>
      </c>
    </row>
    <row r="632" spans="1:11" x14ac:dyDescent="0.35">
      <c r="A632" s="2" t="s">
        <v>85</v>
      </c>
      <c r="B632" s="2" t="s">
        <v>74</v>
      </c>
      <c r="C632" s="2" t="s">
        <v>162</v>
      </c>
      <c r="D632" s="2" t="s">
        <v>163</v>
      </c>
      <c r="E632" s="12">
        <v>0</v>
      </c>
      <c r="F632" s="12">
        <v>0</v>
      </c>
      <c r="G632" s="12">
        <v>113483.48</v>
      </c>
      <c r="H632" s="12">
        <f>F632+G632</f>
        <v>113483.48</v>
      </c>
      <c r="I632" s="3">
        <f>E632-H632</f>
        <v>-113483.48</v>
      </c>
      <c r="J632" s="4">
        <f>IFERROR(H632/E632,0)</f>
        <v>0</v>
      </c>
      <c r="K632" s="2" t="str">
        <f>IF(E632=0,"Sin Plan",IF(J632&gt;=1,"Completado",IF(J632&gt;0.001,"En Progreso","Pendiente de ejecutar")))</f>
        <v>Sin Plan</v>
      </c>
    </row>
    <row r="633" spans="1:11" x14ac:dyDescent="0.35">
      <c r="A633" s="5" t="s">
        <v>207</v>
      </c>
      <c r="B633" s="5" t="s">
        <v>53</v>
      </c>
      <c r="C633" s="2"/>
      <c r="D633" s="2" t="s">
        <v>305</v>
      </c>
      <c r="F633" s="12">
        <v>904144.25</v>
      </c>
      <c r="I633" s="3"/>
      <c r="J633" s="4"/>
      <c r="K633" s="2"/>
    </row>
    <row r="634" spans="1:11" x14ac:dyDescent="0.35">
      <c r="A634" s="5" t="s">
        <v>207</v>
      </c>
      <c r="B634" s="5" t="s">
        <v>53</v>
      </c>
      <c r="C634" s="5" t="s">
        <v>171</v>
      </c>
      <c r="D634" s="5" t="s">
        <v>172</v>
      </c>
      <c r="E634" s="12">
        <v>200000</v>
      </c>
      <c r="F634" s="12">
        <v>0</v>
      </c>
      <c r="G634" s="12">
        <v>0</v>
      </c>
      <c r="H634" s="12">
        <f>F634+G634</f>
        <v>0</v>
      </c>
      <c r="I634" s="6">
        <f>E634-H634</f>
        <v>200000</v>
      </c>
      <c r="J634" s="7">
        <f>IFERROR(H634/E634,0)</f>
        <v>0</v>
      </c>
      <c r="K634" s="5" t="str">
        <f>IF(E634=0,"Sin Plan",IF(J634&gt;=1,"Completado",IF(J634&gt;0.001,"En Progreso","Pendiente de ejecutar")))</f>
        <v>Pendiente de ejecutar</v>
      </c>
    </row>
    <row r="635" spans="1:11" x14ac:dyDescent="0.35">
      <c r="A635" s="2" t="s">
        <v>207</v>
      </c>
      <c r="B635" s="2" t="s">
        <v>53</v>
      </c>
      <c r="C635" s="2" t="s">
        <v>22</v>
      </c>
      <c r="D635" s="2" t="s">
        <v>23</v>
      </c>
      <c r="E635" s="12">
        <v>126000</v>
      </c>
      <c r="F635" s="12">
        <v>0</v>
      </c>
      <c r="G635" s="12">
        <v>0</v>
      </c>
      <c r="H635" s="12">
        <f>F635+G635</f>
        <v>0</v>
      </c>
      <c r="I635" s="3">
        <f>E635-H635</f>
        <v>126000</v>
      </c>
      <c r="J635" s="4">
        <f>IFERROR(H635/E635,0)</f>
        <v>0</v>
      </c>
      <c r="K635" s="2" t="str">
        <f>IF(E635=0,"Sin Plan",IF(J635&gt;=1,"Completado",IF(J635&gt;0.001,"En Progreso","Pendiente de ejecutar")))</f>
        <v>Pendiente de ejecutar</v>
      </c>
    </row>
    <row r="636" spans="1:11" x14ac:dyDescent="0.35">
      <c r="A636" s="5" t="s">
        <v>164</v>
      </c>
      <c r="B636" s="5" t="s">
        <v>46</v>
      </c>
      <c r="C636" s="5" t="s">
        <v>285</v>
      </c>
      <c r="D636" s="5" t="s">
        <v>286</v>
      </c>
      <c r="E636" s="12">
        <v>0</v>
      </c>
      <c r="F636" s="12">
        <v>0</v>
      </c>
      <c r="G636" s="12">
        <v>1982288.74</v>
      </c>
      <c r="H636" s="12">
        <f>F636+G636</f>
        <v>1982288.74</v>
      </c>
      <c r="I636" s="3">
        <f>E636-H636</f>
        <v>-1982288.74</v>
      </c>
      <c r="J636" s="7">
        <f>IFERROR(H636/E636,0)</f>
        <v>0</v>
      </c>
      <c r="K636" s="5" t="str">
        <f>IF(E636=0,"Sin Plan",IF(J636&gt;=1,"Completado",IF(J636&gt;0.001,"En Progreso","Pendiente de ejecutar")))</f>
        <v>Sin Plan</v>
      </c>
    </row>
    <row r="637" spans="1:11" x14ac:dyDescent="0.35">
      <c r="A637" s="2" t="s">
        <v>207</v>
      </c>
      <c r="B637" s="2" t="s">
        <v>53</v>
      </c>
      <c r="C637" s="2" t="s">
        <v>162</v>
      </c>
      <c r="D637" s="2" t="s">
        <v>163</v>
      </c>
      <c r="E637" s="12">
        <v>17500</v>
      </c>
      <c r="F637" s="12">
        <v>0</v>
      </c>
      <c r="G637" s="12">
        <v>0</v>
      </c>
      <c r="H637" s="12">
        <f>F637+G637</f>
        <v>0</v>
      </c>
      <c r="I637" s="3">
        <f>E637-H637</f>
        <v>17500</v>
      </c>
      <c r="J637" s="4">
        <f>IFERROR(H637/E637,0)</f>
        <v>0</v>
      </c>
      <c r="K637" s="2" t="str">
        <f>IF(E637=0,"Sin Plan",IF(J637&gt;=1,"Completado",IF(J637&gt;0.001,"En Progreso","Pendiente de ejecutar")))</f>
        <v>Pendiente de ejecutar</v>
      </c>
    </row>
    <row r="638" spans="1:11" x14ac:dyDescent="0.35">
      <c r="A638" s="2" t="s">
        <v>232</v>
      </c>
      <c r="B638" s="2" t="s">
        <v>53</v>
      </c>
      <c r="C638" s="2" t="s">
        <v>162</v>
      </c>
      <c r="D638" s="2" t="s">
        <v>163</v>
      </c>
      <c r="E638" s="12">
        <v>25000</v>
      </c>
      <c r="F638" s="12">
        <v>0</v>
      </c>
      <c r="G638" s="12">
        <v>0</v>
      </c>
      <c r="H638" s="12">
        <f>F638+G638</f>
        <v>0</v>
      </c>
      <c r="I638" s="3">
        <f>E638-H638</f>
        <v>25000</v>
      </c>
      <c r="J638" s="4">
        <f>IFERROR(H638/E638,0)</f>
        <v>0</v>
      </c>
      <c r="K638" s="2" t="str">
        <f>IF(E638=0,"Sin Plan",IF(J638&gt;=1,"Completado",IF(J638&gt;0.001,"En Progreso","Pendiente de ejecutar")))</f>
        <v>Pendiente de ejecutar</v>
      </c>
    </row>
    <row r="639" spans="1:11" x14ac:dyDescent="0.35">
      <c r="A639" s="2" t="s">
        <v>97</v>
      </c>
      <c r="B639" s="2" t="s">
        <v>65</v>
      </c>
      <c r="C639" s="2" t="s">
        <v>160</v>
      </c>
      <c r="D639" s="2" t="s">
        <v>161</v>
      </c>
      <c r="E639" s="12">
        <v>640000</v>
      </c>
      <c r="F639" s="12">
        <v>581133.9</v>
      </c>
      <c r="G639" s="12">
        <v>0</v>
      </c>
      <c r="H639" s="12">
        <f>F639+G639</f>
        <v>581133.9</v>
      </c>
      <c r="I639" s="3">
        <f>E639-H639</f>
        <v>58866.099999999977</v>
      </c>
      <c r="J639" s="4">
        <f>IFERROR(H639/E639,0)</f>
        <v>0.90802171875000004</v>
      </c>
      <c r="K639" s="2" t="str">
        <f>IF(E639=0,"Sin Plan",IF(J639&gt;=1,"Completado",IF(J639&gt;0.001,"En Progreso","Pendiente de ejecutar")))</f>
        <v>En Progreso</v>
      </c>
    </row>
    <row r="640" spans="1:11" x14ac:dyDescent="0.35">
      <c r="F640" s="12">
        <f>23075.48*2</f>
        <v>46150.96</v>
      </c>
    </row>
    <row r="641" spans="1:11" x14ac:dyDescent="0.35">
      <c r="A641" t="s">
        <v>136</v>
      </c>
      <c r="D641" t="s">
        <v>298</v>
      </c>
      <c r="F641" s="12">
        <v>41039.14</v>
      </c>
    </row>
    <row r="642" spans="1:11" x14ac:dyDescent="0.35">
      <c r="C642" t="s">
        <v>2</v>
      </c>
      <c r="D642" s="2" t="s">
        <v>299</v>
      </c>
      <c r="E642" s="12">
        <v>63000</v>
      </c>
      <c r="F642" s="12">
        <v>23075.48</v>
      </c>
    </row>
    <row r="643" spans="1:11" x14ac:dyDescent="0.35">
      <c r="A643" s="5" t="s">
        <v>97</v>
      </c>
      <c r="B643" s="5" t="s">
        <v>65</v>
      </c>
      <c r="C643" s="5" t="s">
        <v>7</v>
      </c>
      <c r="D643" s="5" t="s">
        <v>8</v>
      </c>
      <c r="E643" s="12">
        <v>221680</v>
      </c>
      <c r="F643" s="12">
        <v>0</v>
      </c>
      <c r="G643" s="12">
        <v>116499.8</v>
      </c>
      <c r="H643" s="12">
        <f>F643+G643</f>
        <v>116499.8</v>
      </c>
      <c r="I643" s="6">
        <f>E643-H643</f>
        <v>105180.2</v>
      </c>
      <c r="J643" s="7">
        <f>IFERROR(H643/E643,0)</f>
        <v>0.52553139660772286</v>
      </c>
      <c r="K643" s="5" t="str">
        <f>IF(E643=0,"Sin Plan",IF(J643&gt;=1,"Completado",IF(J643&gt;0.001,"En Progreso","Pendiente de ejecutar")))</f>
        <v>En Progreso</v>
      </c>
    </row>
    <row r="644" spans="1:11" x14ac:dyDescent="0.35">
      <c r="A644" s="5" t="s">
        <v>97</v>
      </c>
      <c r="B644" s="5" t="s">
        <v>65</v>
      </c>
      <c r="C644" s="5" t="s">
        <v>162</v>
      </c>
      <c r="D644" s="5" t="s">
        <v>163</v>
      </c>
      <c r="E644" s="12">
        <v>114000</v>
      </c>
      <c r="F644" s="12">
        <v>113483.48</v>
      </c>
      <c r="G644" s="12">
        <v>0</v>
      </c>
      <c r="H644" s="12">
        <f>F644+G644</f>
        <v>113483.48</v>
      </c>
      <c r="I644" s="6">
        <f>E644-H644</f>
        <v>516.52000000000407</v>
      </c>
      <c r="J644" s="7">
        <f>IFERROR(H644/E644,0)</f>
        <v>0.99546912280701749</v>
      </c>
      <c r="K644" s="5" t="str">
        <f>IF(E644=0,"Sin Plan",IF(J644&gt;=1,"Completado",IF(J644&gt;0.001,"En Progreso","Pendiente de ejecutar")))</f>
        <v>En Progreso</v>
      </c>
    </row>
    <row r="645" spans="1:11" x14ac:dyDescent="0.35">
      <c r="A645" s="5" t="s">
        <v>97</v>
      </c>
      <c r="B645" s="5" t="s">
        <v>65</v>
      </c>
      <c r="C645" s="5" t="s">
        <v>226</v>
      </c>
      <c r="D645" s="5" t="s">
        <v>227</v>
      </c>
      <c r="E645" s="12">
        <v>0</v>
      </c>
      <c r="F645" s="12">
        <v>48000</v>
      </c>
      <c r="G645" s="12">
        <v>0</v>
      </c>
      <c r="H645" s="12">
        <f>F645+G645</f>
        <v>48000</v>
      </c>
      <c r="I645" s="6">
        <f>E645-H645</f>
        <v>-48000</v>
      </c>
      <c r="J645" s="7">
        <f>IFERROR(H645/E645,0)</f>
        <v>0</v>
      </c>
      <c r="K645" s="5" t="str">
        <f>IF(E645=0,"Sin Plan",IF(J645&gt;=1,"Completado",IF(J645&gt;0.001,"En Progreso","Pendiente de ejecutar")))</f>
        <v>Sin Plan</v>
      </c>
    </row>
    <row r="646" spans="1:11" x14ac:dyDescent="0.35">
      <c r="A646" s="2" t="s">
        <v>97</v>
      </c>
      <c r="B646" s="2" t="s">
        <v>65</v>
      </c>
      <c r="C646" s="2" t="s">
        <v>242</v>
      </c>
      <c r="D646" s="2" t="s">
        <v>243</v>
      </c>
      <c r="E646" s="12">
        <v>0</v>
      </c>
      <c r="F646" s="12">
        <v>23075.48</v>
      </c>
      <c r="G646" s="12">
        <v>51270</v>
      </c>
      <c r="H646" s="12">
        <f>F646+G646</f>
        <v>74345.48</v>
      </c>
      <c r="I646" s="3">
        <f>E646-H646</f>
        <v>-74345.48</v>
      </c>
      <c r="J646" s="4">
        <f>IFERROR(H646/E646,0)</f>
        <v>0</v>
      </c>
      <c r="K646" s="2" t="str">
        <f>IF(E646=0,"Sin Plan",IF(J646&gt;=1,"Completado",IF(J646&gt;0.001,"En Progreso","Pendiente de ejecutar")))</f>
        <v>Sin Plan</v>
      </c>
    </row>
    <row r="647" spans="1:11" x14ac:dyDescent="0.35">
      <c r="A647" s="25" t="s">
        <v>84</v>
      </c>
      <c r="B647" s="20" t="s">
        <v>46</v>
      </c>
      <c r="D647" s="20" t="s">
        <v>306</v>
      </c>
      <c r="F647" s="12">
        <f>595573.16-379877.73</f>
        <v>215695.43000000005</v>
      </c>
      <c r="I647" s="3">
        <f t="shared" ref="I647:I657" si="8">E647-H647</f>
        <v>0</v>
      </c>
    </row>
    <row r="648" spans="1:11" x14ac:dyDescent="0.35">
      <c r="A648" s="5" t="s">
        <v>93</v>
      </c>
      <c r="B648" s="5" t="s">
        <v>44</v>
      </c>
      <c r="D648" s="11" t="s">
        <v>307</v>
      </c>
      <c r="F648" s="12">
        <v>47800</v>
      </c>
      <c r="I648" s="3">
        <f t="shared" si="8"/>
        <v>0</v>
      </c>
    </row>
    <row r="649" spans="1:11" x14ac:dyDescent="0.35">
      <c r="A649" s="2" t="s">
        <v>70</v>
      </c>
      <c r="B649" s="17" t="s">
        <v>372</v>
      </c>
      <c r="D649" s="11" t="s">
        <v>309</v>
      </c>
      <c r="F649" s="12">
        <v>218034</v>
      </c>
      <c r="I649" s="3">
        <f t="shared" si="8"/>
        <v>0</v>
      </c>
    </row>
    <row r="650" spans="1:11" x14ac:dyDescent="0.35">
      <c r="A650" s="17" t="s">
        <v>96</v>
      </c>
      <c r="B650" s="17" t="s">
        <v>55</v>
      </c>
      <c r="D650" s="11" t="s">
        <v>310</v>
      </c>
      <c r="G650" s="12">
        <v>90258</v>
      </c>
      <c r="H650" s="12">
        <f t="shared" ref="H650" si="9">F650+G650</f>
        <v>90258</v>
      </c>
      <c r="I650" s="3">
        <f t="shared" si="8"/>
        <v>-90258</v>
      </c>
    </row>
    <row r="651" spans="1:11" x14ac:dyDescent="0.35">
      <c r="A651" s="17" t="s">
        <v>96</v>
      </c>
      <c r="B651" s="17" t="s">
        <v>55</v>
      </c>
      <c r="D651" s="11" t="s">
        <v>311</v>
      </c>
      <c r="G651" s="12">
        <f>468000+4500</f>
        <v>472500</v>
      </c>
      <c r="I651" s="3">
        <f t="shared" si="8"/>
        <v>0</v>
      </c>
    </row>
    <row r="652" spans="1:11" x14ac:dyDescent="0.35">
      <c r="A652" s="17" t="s">
        <v>96</v>
      </c>
      <c r="B652" s="17" t="s">
        <v>55</v>
      </c>
      <c r="D652" t="s">
        <v>313</v>
      </c>
      <c r="G652" s="12">
        <v>212061</v>
      </c>
      <c r="I652" s="3">
        <f t="shared" si="8"/>
        <v>0</v>
      </c>
    </row>
    <row r="653" spans="1:11" x14ac:dyDescent="0.35">
      <c r="A653" s="2" t="s">
        <v>96</v>
      </c>
      <c r="B653" s="17" t="s">
        <v>372</v>
      </c>
      <c r="D653" s="11" t="s">
        <v>312</v>
      </c>
      <c r="G653" s="12">
        <v>61129</v>
      </c>
      <c r="I653" s="3">
        <f t="shared" si="8"/>
        <v>0</v>
      </c>
    </row>
    <row r="654" spans="1:11" x14ac:dyDescent="0.35">
      <c r="A654" s="25" t="s">
        <v>77</v>
      </c>
      <c r="B654" s="25" t="s">
        <v>55</v>
      </c>
      <c r="C654" s="28"/>
      <c r="D654" s="29" t="s">
        <v>314</v>
      </c>
      <c r="E654" s="26"/>
      <c r="F654" s="26">
        <v>50000</v>
      </c>
      <c r="G654" s="26"/>
      <c r="I654" s="3">
        <f t="shared" si="8"/>
        <v>0</v>
      </c>
    </row>
    <row r="655" spans="1:11" x14ac:dyDescent="0.35">
      <c r="A655" s="25" t="s">
        <v>77</v>
      </c>
      <c r="B655" s="25" t="s">
        <v>55</v>
      </c>
      <c r="C655" s="28"/>
      <c r="D655" s="29" t="s">
        <v>315</v>
      </c>
      <c r="E655" s="26"/>
      <c r="F655" s="26">
        <f>142693.09+15854.79</f>
        <v>158547.88</v>
      </c>
      <c r="G655" s="26"/>
      <c r="I655" s="3">
        <f t="shared" si="8"/>
        <v>0</v>
      </c>
    </row>
    <row r="656" spans="1:11" x14ac:dyDescent="0.35">
      <c r="A656" s="25" t="s">
        <v>77</v>
      </c>
      <c r="B656" s="25" t="s">
        <v>55</v>
      </c>
      <c r="C656" s="28"/>
      <c r="D656" s="29" t="s">
        <v>316</v>
      </c>
      <c r="E656" s="26"/>
      <c r="F656" s="26">
        <v>286862</v>
      </c>
      <c r="G656" s="26"/>
      <c r="I656" s="3">
        <f t="shared" si="8"/>
        <v>0</v>
      </c>
    </row>
    <row r="657" spans="1:9" x14ac:dyDescent="0.35">
      <c r="A657" s="25" t="s">
        <v>77</v>
      </c>
      <c r="B657" s="25" t="s">
        <v>55</v>
      </c>
      <c r="C657" s="28"/>
      <c r="D657" s="29" t="s">
        <v>308</v>
      </c>
      <c r="E657" s="26"/>
      <c r="F657" s="26">
        <v>112945.64</v>
      </c>
      <c r="G657" s="26"/>
      <c r="I657" s="3">
        <f t="shared" si="8"/>
        <v>0</v>
      </c>
    </row>
    <row r="658" spans="1:9" x14ac:dyDescent="0.35">
      <c r="A658" s="13" t="s">
        <v>92</v>
      </c>
      <c r="B658" s="13" t="s">
        <v>53</v>
      </c>
      <c r="D658" s="11" t="s">
        <v>317</v>
      </c>
      <c r="F658" s="12">
        <v>30890</v>
      </c>
    </row>
    <row r="659" spans="1:9" x14ac:dyDescent="0.35">
      <c r="A659" s="2" t="s">
        <v>87</v>
      </c>
      <c r="B659" s="2" t="s">
        <v>53</v>
      </c>
      <c r="D659" s="11" t="s">
        <v>318</v>
      </c>
      <c r="G659" s="12">
        <f>10500*2</f>
        <v>21000</v>
      </c>
    </row>
    <row r="660" spans="1:9" x14ac:dyDescent="0.35">
      <c r="A660" s="5" t="s">
        <v>290</v>
      </c>
      <c r="B660" s="17" t="s">
        <v>372</v>
      </c>
      <c r="D660" s="11" t="s">
        <v>320</v>
      </c>
      <c r="G660" s="12">
        <v>30982.43</v>
      </c>
      <c r="I660" s="3">
        <f t="shared" ref="I660:I661" si="10">E660-H660</f>
        <v>0</v>
      </c>
    </row>
    <row r="661" spans="1:9" x14ac:dyDescent="0.35">
      <c r="D661" s="11"/>
      <c r="I661" s="3">
        <f t="shared" si="10"/>
        <v>0</v>
      </c>
    </row>
    <row r="662" spans="1:9" x14ac:dyDescent="0.35">
      <c r="A662" s="17" t="s">
        <v>173</v>
      </c>
      <c r="B662" s="17" t="s">
        <v>46</v>
      </c>
      <c r="D662" s="11" t="s">
        <v>373</v>
      </c>
      <c r="F662" s="12">
        <v>81650</v>
      </c>
      <c r="I662" s="3"/>
    </row>
    <row r="663" spans="1:9" x14ac:dyDescent="0.35">
      <c r="A663" s="25" t="s">
        <v>84</v>
      </c>
      <c r="B663" s="20" t="s">
        <v>46</v>
      </c>
      <c r="D663" s="11" t="s">
        <v>222</v>
      </c>
      <c r="F663" s="12">
        <v>60474.46</v>
      </c>
      <c r="I663" s="3"/>
    </row>
    <row r="664" spans="1:9" x14ac:dyDescent="0.35">
      <c r="A664" s="5" t="s">
        <v>115</v>
      </c>
      <c r="B664" s="5" t="s">
        <v>65</v>
      </c>
      <c r="D664" s="11" t="s">
        <v>375</v>
      </c>
      <c r="F664" s="26">
        <v>275967.8</v>
      </c>
      <c r="I664" s="3"/>
    </row>
    <row r="665" spans="1:9" x14ac:dyDescent="0.35">
      <c r="A665" s="2" t="s">
        <v>136</v>
      </c>
      <c r="B665" s="2" t="s">
        <v>60</v>
      </c>
      <c r="D665" s="11" t="s">
        <v>253</v>
      </c>
      <c r="F665" s="26">
        <v>41039.14</v>
      </c>
      <c r="I665" s="3"/>
    </row>
    <row r="666" spans="1:9" x14ac:dyDescent="0.35">
      <c r="A666" s="2" t="s">
        <v>149</v>
      </c>
      <c r="B666" s="2" t="s">
        <v>60</v>
      </c>
      <c r="D666" s="11" t="s">
        <v>376</v>
      </c>
      <c r="F666" s="26"/>
      <c r="G666" s="21"/>
      <c r="I666" s="3"/>
    </row>
    <row r="667" spans="1:9" x14ac:dyDescent="0.35">
      <c r="A667" s="2"/>
      <c r="B667" s="2"/>
      <c r="D667" s="11" t="s">
        <v>253</v>
      </c>
      <c r="F667" s="26"/>
      <c r="G667" s="21">
        <v>137581.29999999999</v>
      </c>
      <c r="I667" s="3"/>
    </row>
    <row r="668" spans="1:9" x14ac:dyDescent="0.35">
      <c r="A668" s="5" t="s">
        <v>176</v>
      </c>
      <c r="B668" s="5" t="s">
        <v>60</v>
      </c>
      <c r="D668" s="11" t="s">
        <v>27</v>
      </c>
      <c r="F668" s="26"/>
      <c r="G668" s="21">
        <v>267560</v>
      </c>
      <c r="I668" s="3"/>
    </row>
    <row r="669" spans="1:9" x14ac:dyDescent="0.35">
      <c r="A669" s="5" t="s">
        <v>170</v>
      </c>
      <c r="B669" s="5" t="s">
        <v>60</v>
      </c>
      <c r="D669" s="11" t="s">
        <v>377</v>
      </c>
      <c r="G669" s="26">
        <v>206192.5</v>
      </c>
      <c r="I669" s="3"/>
    </row>
    <row r="670" spans="1:9" x14ac:dyDescent="0.35">
      <c r="A670" s="2" t="s">
        <v>192</v>
      </c>
      <c r="B670" s="2" t="s">
        <v>51</v>
      </c>
      <c r="D670" s="11" t="s">
        <v>27</v>
      </c>
      <c r="G670" s="26">
        <v>267560</v>
      </c>
      <c r="I670" s="3"/>
    </row>
    <row r="671" spans="1:9" x14ac:dyDescent="0.35">
      <c r="A671" s="5" t="s">
        <v>270</v>
      </c>
      <c r="B671" s="5" t="s">
        <v>74</v>
      </c>
      <c r="D671" s="11" t="s">
        <v>163</v>
      </c>
      <c r="F671" s="12">
        <v>96300</v>
      </c>
      <c r="G671" s="26"/>
      <c r="I671" s="3"/>
    </row>
    <row r="672" spans="1:9" x14ac:dyDescent="0.35">
      <c r="D672" s="11"/>
    </row>
    <row r="673" spans="2:11" x14ac:dyDescent="0.35">
      <c r="D673" s="11"/>
    </row>
    <row r="674" spans="2:11" x14ac:dyDescent="0.35">
      <c r="D674" s="11"/>
      <c r="I674" s="12"/>
    </row>
    <row r="675" spans="2:11" x14ac:dyDescent="0.35">
      <c r="D675" s="11"/>
      <c r="I675" s="12"/>
      <c r="K675" s="11"/>
    </row>
    <row r="676" spans="2:11" x14ac:dyDescent="0.35">
      <c r="D676" s="11"/>
      <c r="I676" s="11"/>
      <c r="K676" s="11"/>
    </row>
    <row r="677" spans="2:11" x14ac:dyDescent="0.35">
      <c r="C677" s="31"/>
      <c r="D677" s="11"/>
      <c r="I677" s="27"/>
      <c r="K677" s="11"/>
    </row>
    <row r="678" spans="2:11" x14ac:dyDescent="0.35">
      <c r="B678" s="11"/>
      <c r="C678" s="32"/>
      <c r="D678" s="11"/>
      <c r="E678" s="30"/>
      <c r="I678" s="11"/>
      <c r="K678" s="11"/>
    </row>
    <row r="679" spans="2:11" x14ac:dyDescent="0.35">
      <c r="B679" s="11"/>
      <c r="C679" s="32"/>
      <c r="D679" s="11"/>
      <c r="I679" s="11"/>
      <c r="K679" s="11"/>
    </row>
    <row r="680" spans="2:11" x14ac:dyDescent="0.35">
      <c r="B680" s="11"/>
      <c r="C680" s="32"/>
      <c r="D680" s="11"/>
      <c r="I680" s="27"/>
    </row>
    <row r="681" spans="2:11" x14ac:dyDescent="0.35">
      <c r="B681" s="11"/>
      <c r="C681" s="32"/>
      <c r="D681" s="11"/>
      <c r="I681" s="11"/>
    </row>
    <row r="682" spans="2:11" x14ac:dyDescent="0.35">
      <c r="B682" s="11"/>
      <c r="C682" s="32"/>
      <c r="D682" s="11"/>
      <c r="I682" s="11"/>
    </row>
    <row r="683" spans="2:11" x14ac:dyDescent="0.35">
      <c r="B683" s="11"/>
      <c r="C683" s="32"/>
      <c r="D683" s="11"/>
      <c r="I683" s="11"/>
    </row>
    <row r="684" spans="2:11" x14ac:dyDescent="0.35">
      <c r="C684" s="31"/>
      <c r="D684" s="11"/>
      <c r="I684" s="11"/>
    </row>
    <row r="685" spans="2:11" x14ac:dyDescent="0.35">
      <c r="C685" s="31"/>
      <c r="D685" s="11"/>
      <c r="I685" s="11"/>
    </row>
    <row r="686" spans="2:11" x14ac:dyDescent="0.35">
      <c r="C686" s="31"/>
      <c r="D686" s="11"/>
    </row>
    <row r="687" spans="2:11" x14ac:dyDescent="0.35">
      <c r="C687" s="32"/>
      <c r="D687" s="11"/>
    </row>
    <row r="688" spans="2:11" x14ac:dyDescent="0.35">
      <c r="C688" s="32"/>
      <c r="D688" s="11"/>
      <c r="I688" s="11"/>
    </row>
    <row r="689" spans="3:4" x14ac:dyDescent="0.35">
      <c r="C689" s="32"/>
      <c r="D689" s="11"/>
    </row>
    <row r="690" spans="3:4" x14ac:dyDescent="0.35">
      <c r="C690" s="32"/>
      <c r="D690" s="11"/>
    </row>
    <row r="691" spans="3:4" x14ac:dyDescent="0.35">
      <c r="C691" s="32"/>
    </row>
    <row r="692" spans="3:4" x14ac:dyDescent="0.35">
      <c r="C692" s="32"/>
    </row>
    <row r="693" spans="3:4" x14ac:dyDescent="0.35">
      <c r="C693" s="32"/>
      <c r="D693" s="11"/>
    </row>
    <row r="694" spans="3:4" x14ac:dyDescent="0.35">
      <c r="C694" s="32"/>
    </row>
    <row r="695" spans="3:4" x14ac:dyDescent="0.35">
      <c r="C695" s="32"/>
    </row>
    <row r="696" spans="3:4" x14ac:dyDescent="0.35">
      <c r="C696" s="11"/>
    </row>
    <row r="697" spans="3:4" x14ac:dyDescent="0.35">
      <c r="C697" s="11"/>
    </row>
    <row r="698" spans="3:4" x14ac:dyDescent="0.35">
      <c r="C698" s="11"/>
    </row>
    <row r="699" spans="3:4" x14ac:dyDescent="0.35">
      <c r="C699" s="11"/>
    </row>
    <row r="704" spans="3:4" x14ac:dyDescent="0.35">
      <c r="C704" s="11"/>
    </row>
  </sheetData>
  <conditionalFormatting sqref="J2:J6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9565-C29E-490F-B056-8FBC0B606F45}">
  <dimension ref="B6:G57"/>
  <sheetViews>
    <sheetView topLeftCell="A51" workbookViewId="0">
      <selection activeCell="D57" sqref="D57"/>
    </sheetView>
  </sheetViews>
  <sheetFormatPr baseColWidth="10" defaultRowHeight="14.5" x14ac:dyDescent="0.35"/>
  <cols>
    <col min="2" max="2" width="37.08984375" bestFit="1" customWidth="1"/>
    <col min="3" max="3" width="22.36328125" customWidth="1"/>
    <col min="4" max="4" width="17.7265625" customWidth="1"/>
    <col min="5" max="5" width="20.7265625" customWidth="1"/>
    <col min="6" max="6" width="16.453125" customWidth="1"/>
    <col min="7" max="7" width="16.90625" customWidth="1"/>
  </cols>
  <sheetData>
    <row r="6" spans="2:7" x14ac:dyDescent="0.35">
      <c r="B6" t="s">
        <v>321</v>
      </c>
    </row>
    <row r="7" spans="2:7" x14ac:dyDescent="0.35">
      <c r="B7" t="s">
        <v>322</v>
      </c>
    </row>
    <row r="8" spans="2:7" x14ac:dyDescent="0.35">
      <c r="B8" t="s">
        <v>323</v>
      </c>
    </row>
    <row r="14" spans="2:7" x14ac:dyDescent="0.35">
      <c r="B14" t="s">
        <v>324</v>
      </c>
      <c r="C14" t="s">
        <v>325</v>
      </c>
      <c r="D14" t="s">
        <v>326</v>
      </c>
      <c r="E14" t="s">
        <v>327</v>
      </c>
      <c r="F14" t="s">
        <v>328</v>
      </c>
      <c r="G14" t="s">
        <v>329</v>
      </c>
    </row>
    <row r="15" spans="2:7" x14ac:dyDescent="0.35">
      <c r="B15" t="s">
        <v>330</v>
      </c>
      <c r="C15" s="11">
        <v>14385000</v>
      </c>
      <c r="G15" s="11">
        <v>14385000</v>
      </c>
    </row>
    <row r="16" spans="2:7" x14ac:dyDescent="0.35">
      <c r="B16" t="s">
        <v>331</v>
      </c>
      <c r="C16" s="11">
        <v>17197200</v>
      </c>
      <c r="D16" s="11">
        <v>1005000.28</v>
      </c>
      <c r="E16" s="11">
        <v>10078638.67</v>
      </c>
      <c r="F16" s="11">
        <v>11083638.949999999</v>
      </c>
      <c r="G16" s="11">
        <v>6113561.0499999998</v>
      </c>
    </row>
    <row r="17" spans="2:7" x14ac:dyDescent="0.35">
      <c r="B17" t="s">
        <v>332</v>
      </c>
      <c r="C17" s="11">
        <v>7374000</v>
      </c>
      <c r="D17" s="11">
        <v>922350.65</v>
      </c>
      <c r="E17" s="11">
        <v>3072841.46</v>
      </c>
      <c r="F17" s="11">
        <v>3995192.11</v>
      </c>
      <c r="G17" s="11">
        <v>3378807.89</v>
      </c>
    </row>
    <row r="18" spans="2:7" x14ac:dyDescent="0.35">
      <c r="B18" t="s">
        <v>333</v>
      </c>
      <c r="C18" s="11">
        <v>7812000</v>
      </c>
      <c r="D18" s="11">
        <v>469105.12</v>
      </c>
      <c r="E18" s="11">
        <v>3776755.03</v>
      </c>
      <c r="F18" s="11">
        <v>4245860.1500000004</v>
      </c>
      <c r="G18" s="11">
        <v>3566139.85</v>
      </c>
    </row>
    <row r="19" spans="2:7" x14ac:dyDescent="0.35">
      <c r="B19" t="s">
        <v>334</v>
      </c>
      <c r="C19" s="11">
        <v>32632500</v>
      </c>
      <c r="D19" s="11">
        <v>764286.34</v>
      </c>
      <c r="E19" s="11">
        <v>27799551.02</v>
      </c>
      <c r="F19" s="11">
        <v>28563837.359999999</v>
      </c>
      <c r="G19" s="11">
        <v>4068662.64</v>
      </c>
    </row>
    <row r="20" spans="2:7" x14ac:dyDescent="0.35">
      <c r="B20" t="s">
        <v>335</v>
      </c>
      <c r="C20" s="11">
        <v>18314000</v>
      </c>
      <c r="D20" s="11">
        <v>902659.88</v>
      </c>
      <c r="E20" s="11">
        <v>9553683.1999999993</v>
      </c>
      <c r="F20" s="11">
        <v>10456343.08</v>
      </c>
      <c r="G20" s="11">
        <v>7857656.9199999999</v>
      </c>
    </row>
    <row r="21" spans="2:7" x14ac:dyDescent="0.35">
      <c r="B21" t="s">
        <v>336</v>
      </c>
      <c r="C21" s="11">
        <v>19727515.640000001</v>
      </c>
      <c r="D21" s="11">
        <v>566878.28</v>
      </c>
      <c r="E21" s="11">
        <v>5333050.3499999996</v>
      </c>
      <c r="F21" s="11">
        <v>5899928.6299999999</v>
      </c>
      <c r="G21" s="11">
        <v>13827587.01</v>
      </c>
    </row>
    <row r="22" spans="2:7" x14ac:dyDescent="0.35">
      <c r="B22" t="s">
        <v>337</v>
      </c>
      <c r="C22" s="11">
        <v>1951900</v>
      </c>
      <c r="D22" s="11">
        <v>456097.26</v>
      </c>
      <c r="E22" s="11">
        <v>1089926.8500000001</v>
      </c>
      <c r="F22" s="11">
        <v>1546024.11</v>
      </c>
      <c r="G22" s="11">
        <v>405875.89</v>
      </c>
    </row>
    <row r="23" spans="2:7" x14ac:dyDescent="0.35">
      <c r="B23" t="s">
        <v>338</v>
      </c>
      <c r="C23" s="11">
        <v>2402957</v>
      </c>
      <c r="D23" s="11">
        <v>618144.1</v>
      </c>
      <c r="E23" s="11">
        <v>1776468.11</v>
      </c>
      <c r="F23" s="11">
        <v>2394612.21</v>
      </c>
      <c r="G23" s="11">
        <v>8344.7900000000009</v>
      </c>
    </row>
    <row r="24" spans="2:7" x14ac:dyDescent="0.35">
      <c r="B24" t="s">
        <v>339</v>
      </c>
      <c r="C24" s="11">
        <v>1780000</v>
      </c>
      <c r="D24" s="11">
        <v>1339112.8500000001</v>
      </c>
      <c r="E24" s="11">
        <v>140000</v>
      </c>
      <c r="F24" s="11">
        <v>1479112.85</v>
      </c>
      <c r="G24" s="11">
        <v>300887.15000000002</v>
      </c>
    </row>
    <row r="25" spans="2:7" x14ac:dyDescent="0.35">
      <c r="B25" t="s">
        <v>340</v>
      </c>
      <c r="C25" s="11">
        <v>23714038</v>
      </c>
      <c r="D25" s="11">
        <v>10234242.060000001</v>
      </c>
      <c r="E25" s="11">
        <v>4451046.88</v>
      </c>
      <c r="F25" s="11">
        <v>14685288.939999999</v>
      </c>
      <c r="G25" s="11">
        <v>9028749.0600000005</v>
      </c>
    </row>
    <row r="26" spans="2:7" x14ac:dyDescent="0.35">
      <c r="B26" t="s">
        <v>341</v>
      </c>
      <c r="C26" s="11">
        <v>18809800</v>
      </c>
      <c r="D26" s="11">
        <v>8312400.8499999996</v>
      </c>
      <c r="E26" s="11">
        <v>7993792.5700000003</v>
      </c>
      <c r="F26" s="11">
        <v>16306193.42</v>
      </c>
      <c r="G26" s="11">
        <v>2503606.58</v>
      </c>
    </row>
    <row r="27" spans="2:7" x14ac:dyDescent="0.35">
      <c r="B27" t="s">
        <v>342</v>
      </c>
      <c r="C27" s="11">
        <v>5224885.53</v>
      </c>
      <c r="D27" s="11">
        <v>1475023.8</v>
      </c>
      <c r="E27" s="11">
        <v>3595831.4</v>
      </c>
      <c r="F27" s="11">
        <v>5070855.2</v>
      </c>
      <c r="G27" s="11">
        <v>154030.32999999999</v>
      </c>
    </row>
    <row r="28" spans="2:7" x14ac:dyDescent="0.35">
      <c r="B28" t="s">
        <v>343</v>
      </c>
      <c r="C28" s="11">
        <v>6208092.4699999997</v>
      </c>
      <c r="D28" s="11">
        <v>4433170.51</v>
      </c>
      <c r="E28" s="11">
        <v>1675020.7</v>
      </c>
      <c r="F28" s="11">
        <v>6108191.21</v>
      </c>
      <c r="G28" s="11">
        <v>99901.26</v>
      </c>
    </row>
    <row r="29" spans="2:7" x14ac:dyDescent="0.35">
      <c r="B29" t="s">
        <v>344</v>
      </c>
      <c r="C29" s="11">
        <v>2299000</v>
      </c>
      <c r="D29" s="11">
        <v>827771.67</v>
      </c>
      <c r="E29" s="11">
        <v>1212162.27</v>
      </c>
      <c r="F29" s="11">
        <v>2039933.94</v>
      </c>
      <c r="G29" s="11">
        <v>259066.06</v>
      </c>
    </row>
    <row r="30" spans="2:7" x14ac:dyDescent="0.35">
      <c r="B30" t="s">
        <v>345</v>
      </c>
      <c r="C30" s="11">
        <v>583500</v>
      </c>
      <c r="D30" s="11">
        <v>391421.36</v>
      </c>
      <c r="F30" s="11">
        <v>391421.36</v>
      </c>
      <c r="G30" s="11">
        <v>192078.64</v>
      </c>
    </row>
    <row r="31" spans="2:7" x14ac:dyDescent="0.35">
      <c r="B31" t="s">
        <v>346</v>
      </c>
      <c r="C31" s="11">
        <v>21797900</v>
      </c>
      <c r="D31" s="11">
        <v>326232.62</v>
      </c>
      <c r="E31" s="11">
        <v>246624.75</v>
      </c>
      <c r="F31" s="11">
        <v>572857.37</v>
      </c>
      <c r="G31" s="11">
        <v>21225042.629999999</v>
      </c>
    </row>
    <row r="32" spans="2:7" x14ac:dyDescent="0.35">
      <c r="B32" t="s">
        <v>347</v>
      </c>
      <c r="C32" s="11">
        <v>9572400</v>
      </c>
      <c r="D32" s="11">
        <v>912742.53</v>
      </c>
      <c r="E32" s="11">
        <v>396311.8</v>
      </c>
      <c r="F32" s="11">
        <v>1309054.33</v>
      </c>
      <c r="G32" s="11">
        <v>8263345.6699999999</v>
      </c>
    </row>
    <row r="33" spans="2:7" x14ac:dyDescent="0.35">
      <c r="B33" t="s">
        <v>348</v>
      </c>
      <c r="C33" s="11">
        <v>5353500</v>
      </c>
      <c r="D33" s="11">
        <v>202707.68</v>
      </c>
      <c r="E33" s="11">
        <v>3796266.2</v>
      </c>
      <c r="F33" s="11">
        <v>3998973.88</v>
      </c>
      <c r="G33" s="11">
        <v>1354526.12</v>
      </c>
    </row>
    <row r="34" spans="2:7" x14ac:dyDescent="0.35">
      <c r="B34" t="s">
        <v>349</v>
      </c>
      <c r="C34" s="11">
        <v>1429922</v>
      </c>
      <c r="D34" s="11">
        <v>759853.96</v>
      </c>
      <c r="E34" s="11">
        <v>386624.75</v>
      </c>
      <c r="F34" s="11">
        <v>1146478.71</v>
      </c>
      <c r="G34" s="11">
        <v>283443.28999999998</v>
      </c>
    </row>
    <row r="35" spans="2:7" x14ac:dyDescent="0.35">
      <c r="B35" t="s">
        <v>350</v>
      </c>
      <c r="C35" s="11">
        <v>1174922</v>
      </c>
      <c r="D35" s="11">
        <v>696460</v>
      </c>
      <c r="E35" s="11">
        <v>386624.75</v>
      </c>
      <c r="F35" s="11">
        <v>1083084.75</v>
      </c>
      <c r="G35" s="11">
        <v>91837.25</v>
      </c>
    </row>
    <row r="36" spans="2:7" x14ac:dyDescent="0.35">
      <c r="B36" t="s">
        <v>351</v>
      </c>
      <c r="C36" s="11">
        <v>12598072.42</v>
      </c>
      <c r="D36" s="11">
        <v>845496.86</v>
      </c>
      <c r="E36" s="11">
        <v>4546625</v>
      </c>
      <c r="F36" s="11">
        <v>5392121.8600000003</v>
      </c>
      <c r="G36" s="11">
        <v>7205950.5599999996</v>
      </c>
    </row>
    <row r="37" spans="2:7" x14ac:dyDescent="0.35">
      <c r="B37" t="s">
        <v>352</v>
      </c>
      <c r="C37" s="11">
        <v>907500</v>
      </c>
      <c r="D37" s="11">
        <v>451963.05</v>
      </c>
      <c r="E37" s="11">
        <v>274733.71999999997</v>
      </c>
      <c r="F37" s="11">
        <v>726696.77</v>
      </c>
      <c r="G37" s="11">
        <v>180803.23</v>
      </c>
    </row>
    <row r="38" spans="2:7" x14ac:dyDescent="0.35">
      <c r="B38" t="s">
        <v>353</v>
      </c>
      <c r="C38" s="11">
        <v>20589950</v>
      </c>
      <c r="D38" s="11">
        <v>1330847.71</v>
      </c>
      <c r="E38" s="11">
        <v>6324023.0899999999</v>
      </c>
      <c r="F38" s="11">
        <v>7654870.7999999998</v>
      </c>
      <c r="G38" s="11">
        <v>12935079.199999999</v>
      </c>
    </row>
    <row r="39" spans="2:7" x14ac:dyDescent="0.35">
      <c r="B39" t="s">
        <v>354</v>
      </c>
      <c r="C39" s="11">
        <v>25419500</v>
      </c>
      <c r="D39" s="11">
        <v>407338.9</v>
      </c>
      <c r="E39" s="11">
        <v>9842871.5299999993</v>
      </c>
      <c r="F39" s="11">
        <v>10250210.43</v>
      </c>
      <c r="G39" s="11">
        <v>15169289.57</v>
      </c>
    </row>
    <row r="40" spans="2:7" x14ac:dyDescent="0.35">
      <c r="B40" t="s">
        <v>355</v>
      </c>
      <c r="C40" s="11">
        <v>9177720</v>
      </c>
      <c r="D40" s="11">
        <v>7241221.6200000001</v>
      </c>
      <c r="E40" s="11">
        <v>1905662.71</v>
      </c>
      <c r="F40" s="11">
        <v>9146884.3300000001</v>
      </c>
      <c r="G40" s="11">
        <v>30835.67</v>
      </c>
    </row>
    <row r="41" spans="2:7" x14ac:dyDescent="0.35">
      <c r="B41" t="s">
        <v>356</v>
      </c>
      <c r="C41" s="11">
        <v>10025000</v>
      </c>
      <c r="D41" s="11">
        <v>2053546.16</v>
      </c>
      <c r="E41" s="11">
        <v>6844492.4299999997</v>
      </c>
      <c r="F41" s="11">
        <v>8898038.5899999999</v>
      </c>
      <c r="G41" s="11">
        <v>1126961.4099999999</v>
      </c>
    </row>
    <row r="42" spans="2:7" x14ac:dyDescent="0.35">
      <c r="B42" t="s">
        <v>357</v>
      </c>
      <c r="C42" s="11">
        <v>15041000</v>
      </c>
      <c r="D42" s="11">
        <v>537408.43999999994</v>
      </c>
      <c r="E42" s="11">
        <v>2719482.69</v>
      </c>
      <c r="F42" s="11">
        <v>3256891.13</v>
      </c>
      <c r="G42" s="11">
        <v>11784108.869999999</v>
      </c>
    </row>
    <row r="43" spans="2:7" x14ac:dyDescent="0.35">
      <c r="B43" t="s">
        <v>358</v>
      </c>
      <c r="C43" s="11">
        <v>2114000</v>
      </c>
      <c r="D43" s="11">
        <v>199045.64</v>
      </c>
      <c r="E43" s="11">
        <v>1009083.34</v>
      </c>
      <c r="F43" s="11">
        <v>1208128.98</v>
      </c>
      <c r="G43" s="11">
        <v>905871.02</v>
      </c>
    </row>
    <row r="44" spans="2:7" x14ac:dyDescent="0.35">
      <c r="B44" t="s">
        <v>359</v>
      </c>
      <c r="C44" s="11">
        <v>15257500</v>
      </c>
      <c r="D44" s="11">
        <v>7319868.4400000004</v>
      </c>
      <c r="E44" s="11">
        <v>1323717.8899999999</v>
      </c>
      <c r="F44" s="11">
        <v>8643586.3300000001</v>
      </c>
      <c r="G44" s="11">
        <v>6613913.6699999999</v>
      </c>
    </row>
    <row r="45" spans="2:7" x14ac:dyDescent="0.35">
      <c r="B45" t="s">
        <v>360</v>
      </c>
      <c r="C45" s="11">
        <v>47500</v>
      </c>
      <c r="G45" s="11">
        <v>47500</v>
      </c>
    </row>
    <row r="46" spans="2:7" x14ac:dyDescent="0.35">
      <c r="B46" t="s">
        <v>361</v>
      </c>
      <c r="C46" s="11">
        <v>4642500</v>
      </c>
      <c r="D46" s="11">
        <v>98659.839999999997</v>
      </c>
      <c r="E46" s="11">
        <v>2560613.2000000002</v>
      </c>
      <c r="F46" s="11">
        <v>2659273.04</v>
      </c>
      <c r="G46" s="11">
        <v>1983226.96</v>
      </c>
    </row>
    <row r="47" spans="2:7" x14ac:dyDescent="0.35">
      <c r="B47" t="s">
        <v>362</v>
      </c>
      <c r="C47" s="11">
        <v>8875400</v>
      </c>
      <c r="D47" s="11">
        <v>1373817.62</v>
      </c>
      <c r="E47" s="11">
        <v>403000</v>
      </c>
      <c r="F47" s="11">
        <v>1776817.62</v>
      </c>
      <c r="G47" s="11">
        <v>7098582.3799999999</v>
      </c>
    </row>
    <row r="48" spans="2:7" x14ac:dyDescent="0.35">
      <c r="B48" t="s">
        <v>363</v>
      </c>
      <c r="C48" s="11">
        <v>10170000</v>
      </c>
      <c r="D48" s="11">
        <v>297025.15000000002</v>
      </c>
      <c r="E48" s="11">
        <v>2139624.19</v>
      </c>
      <c r="F48" s="11">
        <v>2436649.34</v>
      </c>
      <c r="G48" s="11">
        <v>7733350.6600000001</v>
      </c>
    </row>
    <row r="49" spans="2:7" x14ac:dyDescent="0.35">
      <c r="B49" t="s">
        <v>364</v>
      </c>
      <c r="C49" s="11">
        <v>10922500</v>
      </c>
      <c r="D49" s="11">
        <v>413538.29</v>
      </c>
      <c r="E49" s="11">
        <v>382587.28</v>
      </c>
      <c r="F49" s="11">
        <v>796125.57</v>
      </c>
      <c r="G49" s="11">
        <v>10126374.43</v>
      </c>
    </row>
    <row r="50" spans="2:7" x14ac:dyDescent="0.35">
      <c r="B50" t="s">
        <v>365</v>
      </c>
      <c r="C50" s="11">
        <v>16242000</v>
      </c>
      <c r="D50" s="11">
        <v>2257649.64</v>
      </c>
      <c r="E50" s="11">
        <v>668479.1</v>
      </c>
      <c r="F50" s="11">
        <v>2926128.74</v>
      </c>
      <c r="G50" s="11">
        <v>13315871.26</v>
      </c>
    </row>
    <row r="51" spans="2:7" x14ac:dyDescent="0.35">
      <c r="B51" t="s">
        <v>366</v>
      </c>
      <c r="C51" s="11">
        <v>226659.84</v>
      </c>
      <c r="D51" s="11">
        <v>226659.84</v>
      </c>
      <c r="F51" s="11">
        <v>226659.84</v>
      </c>
    </row>
    <row r="52" spans="2:7" x14ac:dyDescent="0.35">
      <c r="B52" t="s">
        <v>367</v>
      </c>
      <c r="C52" s="11">
        <v>3894500</v>
      </c>
      <c r="D52" s="11">
        <v>838573.39</v>
      </c>
      <c r="E52" s="11">
        <v>868160.98</v>
      </c>
      <c r="F52" s="11">
        <v>1706734.37</v>
      </c>
      <c r="G52" s="11">
        <v>2187765.63</v>
      </c>
    </row>
    <row r="53" spans="2:7" x14ac:dyDescent="0.35">
      <c r="B53" t="s">
        <v>368</v>
      </c>
      <c r="C53" s="11">
        <v>2316000</v>
      </c>
      <c r="D53" s="11">
        <v>131120</v>
      </c>
      <c r="E53" s="11">
        <v>445261.85</v>
      </c>
      <c r="F53" s="11">
        <v>576381.85</v>
      </c>
      <c r="G53" s="11">
        <v>1739618.15</v>
      </c>
    </row>
    <row r="54" spans="2:7" x14ac:dyDescent="0.35">
      <c r="B54" t="s">
        <v>369</v>
      </c>
      <c r="C54" s="11">
        <v>904144.25</v>
      </c>
      <c r="D54" s="11">
        <v>904144.25</v>
      </c>
      <c r="F54" s="11">
        <v>904144.25</v>
      </c>
    </row>
    <row r="55" spans="2:7" x14ac:dyDescent="0.35">
      <c r="B55" t="s">
        <v>370</v>
      </c>
      <c r="C55" s="11">
        <v>25000</v>
      </c>
      <c r="G55" s="11">
        <v>25000</v>
      </c>
    </row>
    <row r="56" spans="2:7" x14ac:dyDescent="0.35">
      <c r="B56" t="s">
        <v>371</v>
      </c>
      <c r="C56" s="11">
        <v>1174922</v>
      </c>
      <c r="D56" s="11">
        <v>693460</v>
      </c>
      <c r="E56" s="11">
        <v>417607.18</v>
      </c>
      <c r="F56" s="11">
        <v>1111067.18</v>
      </c>
      <c r="G56" s="11">
        <v>63854.82</v>
      </c>
    </row>
    <row r="57" spans="2:7" x14ac:dyDescent="0.35">
      <c r="C57" s="11">
        <f>SUBTOTAL(109,Tabla1[    Presup.])</f>
        <v>390316401.14999992</v>
      </c>
      <c r="D57" s="11">
        <f>SUBTOTAL(109,Tabla1[[     Real]])</f>
        <v>63237046.639999993</v>
      </c>
      <c r="E57" s="11" t="e">
        <f>+SUM(Tabla1 Tabla1[  Compromet.] )</f>
        <v>#NAME?</v>
      </c>
      <c r="F57" s="11">
        <f>+SUM(Tabla1[ [   Asignado] ])</f>
        <v>192674293.58000001</v>
      </c>
      <c r="G57" s="11">
        <f>+SUM(Tabla1[ [  Disponible] ])</f>
        <v>197642107.56999999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6"/>
  <sheetViews>
    <sheetView showGridLines="0" zoomScaleNormal="100" workbookViewId="0">
      <pane ySplit="1" topLeftCell="A59" activePane="bottomLeft" state="frozen"/>
      <selection pane="bottomLeft"/>
    </sheetView>
  </sheetViews>
  <sheetFormatPr baseColWidth="10" defaultColWidth="8.6328125" defaultRowHeight="14.5" x14ac:dyDescent="0.35"/>
  <cols>
    <col min="1" max="1" width="10" customWidth="1"/>
    <col min="2" max="2" width="28" customWidth="1"/>
    <col min="3" max="5" width="16" customWidth="1"/>
    <col min="6" max="6" width="18" customWidth="1"/>
    <col min="7" max="7" width="16" customWidth="1"/>
    <col min="8" max="8" width="12" customWidth="1"/>
  </cols>
  <sheetData>
    <row r="1" spans="1:8" ht="26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5">
      <c r="A2" s="2" t="s">
        <v>39</v>
      </c>
      <c r="B2" s="2" t="s">
        <v>40</v>
      </c>
      <c r="C2" s="3">
        <v>111681500</v>
      </c>
      <c r="D2" s="3">
        <v>3088864.48</v>
      </c>
      <c r="E2" s="3">
        <v>13889136.439999999</v>
      </c>
      <c r="F2" s="3">
        <f t="shared" ref="F2:F33" si="0">D2+E2</f>
        <v>16978000.919999998</v>
      </c>
      <c r="G2" s="3">
        <f t="shared" ref="G2:G33" si="1">C2-F2</f>
        <v>94703499.079999998</v>
      </c>
      <c r="H2" s="4">
        <f t="shared" ref="H2:H33" si="2">IFERROR(F2/C2,0)</f>
        <v>0.15202160536883905</v>
      </c>
    </row>
    <row r="3" spans="1:8" x14ac:dyDescent="0.35">
      <c r="A3" s="5" t="s">
        <v>41</v>
      </c>
      <c r="B3" s="5" t="s">
        <v>42</v>
      </c>
      <c r="C3" s="6">
        <v>69906500</v>
      </c>
      <c r="D3" s="6">
        <v>19226206.949999999</v>
      </c>
      <c r="E3" s="6">
        <v>8457556.8900000006</v>
      </c>
      <c r="F3" s="6">
        <f t="shared" si="0"/>
        <v>27683763.84</v>
      </c>
      <c r="G3" s="6">
        <f t="shared" si="1"/>
        <v>42222736.159999996</v>
      </c>
      <c r="H3" s="7">
        <f t="shared" si="2"/>
        <v>0.3960112985201662</v>
      </c>
    </row>
    <row r="4" spans="1:8" x14ac:dyDescent="0.35">
      <c r="A4" s="2" t="s">
        <v>43</v>
      </c>
      <c r="B4" s="2" t="s">
        <v>44</v>
      </c>
      <c r="C4" s="3">
        <v>39802500</v>
      </c>
      <c r="D4" s="3">
        <v>764286.34</v>
      </c>
      <c r="E4" s="3">
        <v>27799551.02</v>
      </c>
      <c r="F4" s="3">
        <f t="shared" si="0"/>
        <v>28563837.359999999</v>
      </c>
      <c r="G4" s="3">
        <f t="shared" si="1"/>
        <v>11238662.640000001</v>
      </c>
      <c r="H4" s="4">
        <f t="shared" si="2"/>
        <v>0.71763927793480309</v>
      </c>
    </row>
    <row r="5" spans="1:8" x14ac:dyDescent="0.35">
      <c r="A5" s="5" t="s">
        <v>54</v>
      </c>
      <c r="B5" s="5" t="s">
        <v>55</v>
      </c>
      <c r="C5" s="6">
        <v>25419500</v>
      </c>
      <c r="D5" s="6">
        <v>149544.75</v>
      </c>
      <c r="E5" s="6">
        <v>9842871.5299999993</v>
      </c>
      <c r="F5" s="6">
        <f t="shared" si="0"/>
        <v>9992416.2799999993</v>
      </c>
      <c r="G5" s="6">
        <f t="shared" si="1"/>
        <v>15427083.720000001</v>
      </c>
      <c r="H5" s="7">
        <f t="shared" si="2"/>
        <v>0.39310042605086642</v>
      </c>
    </row>
    <row r="6" spans="1:8" x14ac:dyDescent="0.35">
      <c r="A6" s="2" t="s">
        <v>48</v>
      </c>
      <c r="B6" s="2" t="s">
        <v>46</v>
      </c>
      <c r="C6" s="3">
        <v>22603038</v>
      </c>
      <c r="D6" s="3">
        <v>1092451.08</v>
      </c>
      <c r="E6" s="3">
        <v>2213912.5499999998</v>
      </c>
      <c r="F6" s="3">
        <f t="shared" si="0"/>
        <v>3306363.63</v>
      </c>
      <c r="G6" s="3">
        <f t="shared" si="1"/>
        <v>19296674.370000001</v>
      </c>
      <c r="H6" s="4">
        <f t="shared" si="2"/>
        <v>0.14627961205922849</v>
      </c>
    </row>
    <row r="7" spans="1:8" x14ac:dyDescent="0.35">
      <c r="A7" s="5" t="s">
        <v>70</v>
      </c>
      <c r="B7" s="5" t="s">
        <v>55</v>
      </c>
      <c r="C7" s="6">
        <v>21993950</v>
      </c>
      <c r="D7" s="6">
        <v>662537</v>
      </c>
      <c r="E7" s="6">
        <v>6685839.5800000001</v>
      </c>
      <c r="F7" s="6">
        <f t="shared" si="0"/>
        <v>7348376.5800000001</v>
      </c>
      <c r="G7" s="6">
        <f t="shared" si="1"/>
        <v>14645573.42</v>
      </c>
      <c r="H7" s="7">
        <f t="shared" si="2"/>
        <v>0.33410899724697019</v>
      </c>
    </row>
    <row r="8" spans="1:8" x14ac:dyDescent="0.35">
      <c r="A8" s="2" t="s">
        <v>45</v>
      </c>
      <c r="B8" s="2" t="s">
        <v>46</v>
      </c>
      <c r="C8" s="3">
        <v>21797900</v>
      </c>
      <c r="D8" s="3">
        <v>219258.89</v>
      </c>
      <c r="E8" s="3">
        <v>246624.75</v>
      </c>
      <c r="F8" s="3">
        <f t="shared" si="0"/>
        <v>465883.64</v>
      </c>
      <c r="G8" s="3">
        <f t="shared" si="1"/>
        <v>21332016.359999999</v>
      </c>
      <c r="H8" s="4">
        <f t="shared" si="2"/>
        <v>2.1372868028571562E-2</v>
      </c>
    </row>
    <row r="9" spans="1:8" x14ac:dyDescent="0.35">
      <c r="A9" s="5" t="s">
        <v>47</v>
      </c>
      <c r="B9" s="5" t="s">
        <v>44</v>
      </c>
      <c r="C9" s="6">
        <v>19874500</v>
      </c>
      <c r="D9" s="6">
        <v>502304.44</v>
      </c>
      <c r="E9" s="6">
        <v>5397624.1900000004</v>
      </c>
      <c r="F9" s="6">
        <f t="shared" si="0"/>
        <v>5899928.6300000008</v>
      </c>
      <c r="G9" s="6">
        <f t="shared" si="1"/>
        <v>13974571.369999999</v>
      </c>
      <c r="H9" s="7">
        <f t="shared" si="2"/>
        <v>0.29685922312511009</v>
      </c>
    </row>
    <row r="10" spans="1:8" x14ac:dyDescent="0.35">
      <c r="A10" s="2" t="s">
        <v>73</v>
      </c>
      <c r="B10" s="2" t="s">
        <v>74</v>
      </c>
      <c r="C10" s="3">
        <v>19254724</v>
      </c>
      <c r="D10" s="3">
        <v>9231862.53999996</v>
      </c>
      <c r="E10" s="3">
        <v>20095227.859999999</v>
      </c>
      <c r="F10" s="3">
        <f t="shared" si="0"/>
        <v>29327090.399999961</v>
      </c>
      <c r="G10" s="3">
        <f t="shared" si="1"/>
        <v>-10072366.399999961</v>
      </c>
      <c r="H10" s="4">
        <f t="shared" si="2"/>
        <v>1.5231114400808841</v>
      </c>
    </row>
    <row r="11" spans="1:8" x14ac:dyDescent="0.35">
      <c r="A11" s="5" t="s">
        <v>66</v>
      </c>
      <c r="B11" s="5" t="s">
        <v>46</v>
      </c>
      <c r="C11" s="6">
        <v>18809800</v>
      </c>
      <c r="D11" s="6">
        <v>954684.4</v>
      </c>
      <c r="E11" s="6">
        <v>1974622.17</v>
      </c>
      <c r="F11" s="6">
        <f t="shared" si="0"/>
        <v>2929306.57</v>
      </c>
      <c r="G11" s="6">
        <f t="shared" si="1"/>
        <v>15880493.43</v>
      </c>
      <c r="H11" s="7">
        <f t="shared" si="2"/>
        <v>0.15573299928760539</v>
      </c>
    </row>
    <row r="12" spans="1:8" x14ac:dyDescent="0.35">
      <c r="A12" s="2" t="s">
        <v>49</v>
      </c>
      <c r="B12" s="2" t="s">
        <v>44</v>
      </c>
      <c r="C12" s="3">
        <v>18314000</v>
      </c>
      <c r="D12" s="3">
        <v>218568.22</v>
      </c>
      <c r="E12" s="3">
        <v>10088531.619999999</v>
      </c>
      <c r="F12" s="3">
        <f t="shared" si="0"/>
        <v>10307099.84</v>
      </c>
      <c r="G12" s="3">
        <f t="shared" si="1"/>
        <v>8006900.1600000001</v>
      </c>
      <c r="H12" s="4">
        <f t="shared" si="2"/>
        <v>0.56279894288522436</v>
      </c>
    </row>
    <row r="13" spans="1:8" x14ac:dyDescent="0.35">
      <c r="A13" s="5" t="s">
        <v>69</v>
      </c>
      <c r="B13" s="5" t="s">
        <v>44</v>
      </c>
      <c r="C13" s="6">
        <v>17197200</v>
      </c>
      <c r="D13" s="6">
        <v>218568.22</v>
      </c>
      <c r="E13" s="6">
        <v>10078638.67</v>
      </c>
      <c r="F13" s="6">
        <f t="shared" si="0"/>
        <v>10297206.890000001</v>
      </c>
      <c r="G13" s="6">
        <f t="shared" si="1"/>
        <v>6899993.1099999994</v>
      </c>
      <c r="H13" s="7">
        <f t="shared" si="2"/>
        <v>0.59877229374549346</v>
      </c>
    </row>
    <row r="14" spans="1:8" x14ac:dyDescent="0.35">
      <c r="A14" s="2" t="s">
        <v>77</v>
      </c>
      <c r="B14" s="2" t="s">
        <v>55</v>
      </c>
      <c r="C14" s="3">
        <v>15257500</v>
      </c>
      <c r="D14" s="3">
        <v>6758019.1200000001</v>
      </c>
      <c r="E14" s="3">
        <v>1886108.68</v>
      </c>
      <c r="F14" s="3">
        <f t="shared" si="0"/>
        <v>8644127.8000000007</v>
      </c>
      <c r="G14" s="3">
        <f t="shared" si="1"/>
        <v>6613372.1999999993</v>
      </c>
      <c r="H14" s="4">
        <f t="shared" si="2"/>
        <v>0.56654942159593646</v>
      </c>
    </row>
    <row r="15" spans="1:8" x14ac:dyDescent="0.35">
      <c r="A15" s="5" t="s">
        <v>81</v>
      </c>
      <c r="B15" s="5" t="s">
        <v>55</v>
      </c>
      <c r="C15" s="6">
        <v>15041000</v>
      </c>
      <c r="D15" s="6">
        <v>537408.43999999994</v>
      </c>
      <c r="E15" s="6">
        <v>2719482.69</v>
      </c>
      <c r="F15" s="6">
        <f t="shared" si="0"/>
        <v>3256891.13</v>
      </c>
      <c r="G15" s="6">
        <f t="shared" si="1"/>
        <v>11784108.870000001</v>
      </c>
      <c r="H15" s="7">
        <f t="shared" si="2"/>
        <v>0.21653421514526958</v>
      </c>
    </row>
    <row r="16" spans="1:8" x14ac:dyDescent="0.35">
      <c r="A16" s="2" t="s">
        <v>62</v>
      </c>
      <c r="B16" s="2" t="s">
        <v>51</v>
      </c>
      <c r="C16" s="3">
        <v>15012000</v>
      </c>
      <c r="D16" s="3">
        <v>835635.62</v>
      </c>
      <c r="E16" s="3">
        <v>2581331.48</v>
      </c>
      <c r="F16" s="3">
        <f t="shared" si="0"/>
        <v>3416967.1</v>
      </c>
      <c r="G16" s="3">
        <f t="shared" si="1"/>
        <v>11595032.9</v>
      </c>
      <c r="H16" s="4">
        <f t="shared" si="2"/>
        <v>0.22761571409539036</v>
      </c>
    </row>
    <row r="17" spans="1:8" x14ac:dyDescent="0.35">
      <c r="A17" s="5" t="s">
        <v>78</v>
      </c>
      <c r="B17" s="5" t="s">
        <v>79</v>
      </c>
      <c r="C17" s="6">
        <v>14385000</v>
      </c>
      <c r="D17" s="6">
        <v>0</v>
      </c>
      <c r="E17" s="6">
        <v>0</v>
      </c>
      <c r="F17" s="6">
        <f t="shared" si="0"/>
        <v>0</v>
      </c>
      <c r="G17" s="6">
        <f t="shared" si="1"/>
        <v>14385000</v>
      </c>
      <c r="H17" s="7">
        <f t="shared" si="2"/>
        <v>0</v>
      </c>
    </row>
    <row r="18" spans="1:8" x14ac:dyDescent="0.35">
      <c r="A18" s="2" t="s">
        <v>56</v>
      </c>
      <c r="B18" s="2" t="s">
        <v>51</v>
      </c>
      <c r="C18" s="3">
        <v>14327000</v>
      </c>
      <c r="D18" s="3">
        <v>952377.86</v>
      </c>
      <c r="E18" s="3">
        <v>768100</v>
      </c>
      <c r="F18" s="3">
        <f t="shared" si="0"/>
        <v>1720477.8599999999</v>
      </c>
      <c r="G18" s="3">
        <f t="shared" si="1"/>
        <v>12606522.140000001</v>
      </c>
      <c r="H18" s="4">
        <f t="shared" si="2"/>
        <v>0.12008640050254762</v>
      </c>
    </row>
    <row r="19" spans="1:8" x14ac:dyDescent="0.35">
      <c r="A19" s="5" t="s">
        <v>52</v>
      </c>
      <c r="B19" s="5" t="s">
        <v>53</v>
      </c>
      <c r="C19" s="6">
        <v>14271000</v>
      </c>
      <c r="D19" s="6">
        <v>1497029.19</v>
      </c>
      <c r="E19" s="6">
        <v>1173475.54</v>
      </c>
      <c r="F19" s="6">
        <f t="shared" si="0"/>
        <v>2670504.73</v>
      </c>
      <c r="G19" s="6">
        <f t="shared" si="1"/>
        <v>11600495.27</v>
      </c>
      <c r="H19" s="7">
        <f t="shared" si="2"/>
        <v>0.18712807301520565</v>
      </c>
    </row>
    <row r="20" spans="1:8" x14ac:dyDescent="0.35">
      <c r="A20" s="2" t="s">
        <v>58</v>
      </c>
      <c r="B20" s="2" t="s">
        <v>51</v>
      </c>
      <c r="C20" s="3">
        <v>14174000</v>
      </c>
      <c r="D20" s="3">
        <v>1022454.48</v>
      </c>
      <c r="E20" s="3">
        <v>850100</v>
      </c>
      <c r="F20" s="3">
        <f t="shared" si="0"/>
        <v>1872554.48</v>
      </c>
      <c r="G20" s="3">
        <f t="shared" si="1"/>
        <v>12301445.52</v>
      </c>
      <c r="H20" s="4">
        <f t="shared" si="2"/>
        <v>0.13211192888387188</v>
      </c>
    </row>
    <row r="21" spans="1:8" x14ac:dyDescent="0.35">
      <c r="A21" s="5" t="s">
        <v>50</v>
      </c>
      <c r="B21" s="5" t="s">
        <v>51</v>
      </c>
      <c r="C21" s="6">
        <v>13938300</v>
      </c>
      <c r="D21" s="6">
        <v>583911.71</v>
      </c>
      <c r="E21" s="6">
        <v>994740.32</v>
      </c>
      <c r="F21" s="6">
        <f t="shared" si="0"/>
        <v>1578652.0299999998</v>
      </c>
      <c r="G21" s="6">
        <f t="shared" si="1"/>
        <v>12359647.970000001</v>
      </c>
      <c r="H21" s="7">
        <f t="shared" si="2"/>
        <v>0.11326001234009885</v>
      </c>
    </row>
    <row r="22" spans="1:8" x14ac:dyDescent="0.35">
      <c r="A22" s="2" t="s">
        <v>61</v>
      </c>
      <c r="B22" s="2" t="s">
        <v>60</v>
      </c>
      <c r="C22" s="3">
        <v>13814112</v>
      </c>
      <c r="D22" s="3">
        <v>223699.85</v>
      </c>
      <c r="E22" s="3">
        <v>246624.75</v>
      </c>
      <c r="F22" s="3">
        <f t="shared" si="0"/>
        <v>470324.6</v>
      </c>
      <c r="G22" s="3">
        <f t="shared" si="1"/>
        <v>13343787.4</v>
      </c>
      <c r="H22" s="4">
        <f t="shared" si="2"/>
        <v>3.4046676326353803E-2</v>
      </c>
    </row>
    <row r="23" spans="1:8" x14ac:dyDescent="0.35">
      <c r="A23" s="5" t="s">
        <v>59</v>
      </c>
      <c r="B23" s="5" t="s">
        <v>60</v>
      </c>
      <c r="C23" s="6">
        <v>12731300</v>
      </c>
      <c r="D23" s="6">
        <v>493150.95</v>
      </c>
      <c r="E23" s="6">
        <v>1004300</v>
      </c>
      <c r="F23" s="6">
        <f t="shared" si="0"/>
        <v>1497450.95</v>
      </c>
      <c r="G23" s="6">
        <f t="shared" si="1"/>
        <v>11233849.050000001</v>
      </c>
      <c r="H23" s="7">
        <f t="shared" si="2"/>
        <v>0.11761964214180798</v>
      </c>
    </row>
    <row r="24" spans="1:8" x14ac:dyDescent="0.35">
      <c r="A24" s="2" t="s">
        <v>88</v>
      </c>
      <c r="B24" s="2" t="s">
        <v>55</v>
      </c>
      <c r="C24" s="3">
        <v>12598072.42</v>
      </c>
      <c r="D24" s="3">
        <v>845496.86</v>
      </c>
      <c r="E24" s="3">
        <v>4466825</v>
      </c>
      <c r="F24" s="3">
        <f t="shared" si="0"/>
        <v>5312321.8600000003</v>
      </c>
      <c r="G24" s="3">
        <f t="shared" si="1"/>
        <v>7285750.5599999996</v>
      </c>
      <c r="H24" s="4">
        <f t="shared" si="2"/>
        <v>0.42167735530448713</v>
      </c>
    </row>
    <row r="25" spans="1:8" x14ac:dyDescent="0.35">
      <c r="A25" s="5" t="s">
        <v>64</v>
      </c>
      <c r="B25" s="5" t="s">
        <v>65</v>
      </c>
      <c r="C25" s="6">
        <v>12067000</v>
      </c>
      <c r="D25" s="6">
        <v>185134.61</v>
      </c>
      <c r="E25" s="6">
        <v>9249950.8100000005</v>
      </c>
      <c r="F25" s="6">
        <f t="shared" si="0"/>
        <v>9435085.4199999999</v>
      </c>
      <c r="G25" s="6">
        <f t="shared" si="1"/>
        <v>2631914.58</v>
      </c>
      <c r="H25" s="7">
        <f t="shared" si="2"/>
        <v>0.78189155713930558</v>
      </c>
    </row>
    <row r="26" spans="1:8" x14ac:dyDescent="0.35">
      <c r="A26" s="2" t="s">
        <v>57</v>
      </c>
      <c r="B26" s="2" t="s">
        <v>51</v>
      </c>
      <c r="C26" s="3">
        <v>11997000</v>
      </c>
      <c r="D26" s="3">
        <v>326891.09999999998</v>
      </c>
      <c r="E26" s="3">
        <v>0</v>
      </c>
      <c r="F26" s="3">
        <f t="shared" si="0"/>
        <v>326891.09999999998</v>
      </c>
      <c r="G26" s="3">
        <f t="shared" si="1"/>
        <v>11670108.9</v>
      </c>
      <c r="H26" s="4">
        <f t="shared" si="2"/>
        <v>2.7247736934233557E-2</v>
      </c>
    </row>
    <row r="27" spans="1:8" x14ac:dyDescent="0.35">
      <c r="A27" s="5" t="s">
        <v>63</v>
      </c>
      <c r="B27" s="5" t="s">
        <v>60</v>
      </c>
      <c r="C27" s="6">
        <v>11844000</v>
      </c>
      <c r="D27" s="6">
        <v>275967.8</v>
      </c>
      <c r="E27" s="6">
        <v>0</v>
      </c>
      <c r="F27" s="6">
        <f t="shared" si="0"/>
        <v>275967.8</v>
      </c>
      <c r="G27" s="6">
        <f t="shared" si="1"/>
        <v>11568032.199999999</v>
      </c>
      <c r="H27" s="7">
        <f t="shared" si="2"/>
        <v>2.3300219520432285E-2</v>
      </c>
    </row>
    <row r="28" spans="1:8" x14ac:dyDescent="0.35">
      <c r="A28" s="2" t="s">
        <v>87</v>
      </c>
      <c r="B28" s="2" t="s">
        <v>53</v>
      </c>
      <c r="C28" s="3">
        <v>10922500</v>
      </c>
      <c r="D28" s="3">
        <v>379403.72</v>
      </c>
      <c r="E28" s="3">
        <v>361587.28</v>
      </c>
      <c r="F28" s="3">
        <f t="shared" si="0"/>
        <v>740991</v>
      </c>
      <c r="G28" s="3">
        <f t="shared" si="1"/>
        <v>10181509</v>
      </c>
      <c r="H28" s="4">
        <f t="shared" si="2"/>
        <v>6.784078736552987E-2</v>
      </c>
    </row>
    <row r="29" spans="1:8" x14ac:dyDescent="0.35">
      <c r="A29" s="5" t="s">
        <v>92</v>
      </c>
      <c r="B29" s="5" t="s">
        <v>53</v>
      </c>
      <c r="C29" s="6">
        <v>10170000</v>
      </c>
      <c r="D29" s="6">
        <v>198427.6</v>
      </c>
      <c r="E29" s="6">
        <v>2139624.19</v>
      </c>
      <c r="F29" s="6">
        <f t="shared" si="0"/>
        <v>2338051.79</v>
      </c>
      <c r="G29" s="6">
        <f t="shared" si="1"/>
        <v>7831948.21</v>
      </c>
      <c r="H29" s="7">
        <f t="shared" si="2"/>
        <v>0.22989693117010818</v>
      </c>
    </row>
    <row r="30" spans="1:8" x14ac:dyDescent="0.35">
      <c r="A30" s="2" t="s">
        <v>96</v>
      </c>
      <c r="B30" s="2" t="s">
        <v>55</v>
      </c>
      <c r="C30" s="3">
        <v>10025000</v>
      </c>
      <c r="D30" s="3">
        <v>812514.62</v>
      </c>
      <c r="E30" s="3">
        <v>7612749.5</v>
      </c>
      <c r="F30" s="3">
        <f t="shared" si="0"/>
        <v>8425264.1199999992</v>
      </c>
      <c r="G30" s="3">
        <f t="shared" si="1"/>
        <v>1599735.8800000008</v>
      </c>
      <c r="H30" s="4">
        <f t="shared" si="2"/>
        <v>0.84042534862842888</v>
      </c>
    </row>
    <row r="31" spans="1:8" x14ac:dyDescent="0.35">
      <c r="A31" s="5" t="s">
        <v>84</v>
      </c>
      <c r="B31" s="5" t="s">
        <v>46</v>
      </c>
      <c r="C31" s="6">
        <v>9572400</v>
      </c>
      <c r="D31" s="6">
        <v>636572.64</v>
      </c>
      <c r="E31" s="6">
        <v>396311.8</v>
      </c>
      <c r="F31" s="6">
        <f t="shared" si="0"/>
        <v>1032884.44</v>
      </c>
      <c r="G31" s="6">
        <f t="shared" si="1"/>
        <v>8539515.5600000005</v>
      </c>
      <c r="H31" s="7">
        <f t="shared" si="2"/>
        <v>0.10790234841836947</v>
      </c>
    </row>
    <row r="32" spans="1:8" x14ac:dyDescent="0.35">
      <c r="A32" s="2" t="s">
        <v>80</v>
      </c>
      <c r="B32" s="2" t="s">
        <v>53</v>
      </c>
      <c r="C32" s="3">
        <v>8875400</v>
      </c>
      <c r="D32" s="3">
        <v>1356750.34</v>
      </c>
      <c r="E32" s="3">
        <v>403000</v>
      </c>
      <c r="F32" s="3">
        <f t="shared" si="0"/>
        <v>1759750.34</v>
      </c>
      <c r="G32" s="3">
        <f t="shared" si="1"/>
        <v>7115649.6600000001</v>
      </c>
      <c r="H32" s="4">
        <f t="shared" si="2"/>
        <v>0.198272792212182</v>
      </c>
    </row>
    <row r="33" spans="1:8" x14ac:dyDescent="0.35">
      <c r="A33" s="5" t="s">
        <v>85</v>
      </c>
      <c r="B33" s="5" t="s">
        <v>74</v>
      </c>
      <c r="C33" s="6">
        <v>8815000</v>
      </c>
      <c r="D33" s="6">
        <v>320816.49</v>
      </c>
      <c r="E33" s="6">
        <v>1038280.61</v>
      </c>
      <c r="F33" s="6">
        <f t="shared" si="0"/>
        <v>1359097.1</v>
      </c>
      <c r="G33" s="6">
        <f t="shared" si="1"/>
        <v>7455902.9000000004</v>
      </c>
      <c r="H33" s="7">
        <f t="shared" si="2"/>
        <v>0.15418004537719796</v>
      </c>
    </row>
    <row r="34" spans="1:8" x14ac:dyDescent="0.35">
      <c r="A34" s="2" t="s">
        <v>67</v>
      </c>
      <c r="B34" s="2" t="s">
        <v>68</v>
      </c>
      <c r="C34" s="3">
        <v>8764000</v>
      </c>
      <c r="D34" s="3">
        <v>0</v>
      </c>
      <c r="E34" s="3">
        <v>0</v>
      </c>
      <c r="F34" s="3">
        <f t="shared" ref="F34:F65" si="3">D34+E34</f>
        <v>0</v>
      </c>
      <c r="G34" s="3">
        <f t="shared" ref="G34:G65" si="4">C34-F34</f>
        <v>8764000</v>
      </c>
      <c r="H34" s="4">
        <f t="shared" ref="H34:H65" si="5">IFERROR(F34/C34,0)</f>
        <v>0</v>
      </c>
    </row>
    <row r="35" spans="1:8" x14ac:dyDescent="0.35">
      <c r="A35" s="5" t="s">
        <v>91</v>
      </c>
      <c r="B35" s="5" t="s">
        <v>44</v>
      </c>
      <c r="C35" s="6">
        <v>7812000</v>
      </c>
      <c r="D35" s="6">
        <v>401436.8</v>
      </c>
      <c r="E35" s="6">
        <v>3776755.03</v>
      </c>
      <c r="F35" s="6">
        <f t="shared" si="3"/>
        <v>4178191.8299999996</v>
      </c>
      <c r="G35" s="6">
        <f t="shared" si="4"/>
        <v>3633808.1700000004</v>
      </c>
      <c r="H35" s="7">
        <f t="shared" si="5"/>
        <v>0.53484278417818731</v>
      </c>
    </row>
    <row r="36" spans="1:8" x14ac:dyDescent="0.35">
      <c r="A36" s="2" t="s">
        <v>86</v>
      </c>
      <c r="B36" s="2" t="s">
        <v>55</v>
      </c>
      <c r="C36" s="3">
        <v>7442720</v>
      </c>
      <c r="D36" s="3">
        <v>4078477.03</v>
      </c>
      <c r="E36" s="3">
        <v>1905662.71</v>
      </c>
      <c r="F36" s="3">
        <f t="shared" si="3"/>
        <v>5984139.7400000002</v>
      </c>
      <c r="G36" s="3">
        <f t="shared" si="4"/>
        <v>1458580.2599999998</v>
      </c>
      <c r="H36" s="4">
        <f t="shared" si="5"/>
        <v>0.80402591256959821</v>
      </c>
    </row>
    <row r="37" spans="1:8" x14ac:dyDescent="0.35">
      <c r="A37" s="5" t="s">
        <v>93</v>
      </c>
      <c r="B37" s="5" t="s">
        <v>44</v>
      </c>
      <c r="C37" s="6">
        <v>7374000</v>
      </c>
      <c r="D37" s="6">
        <v>750228.54</v>
      </c>
      <c r="E37" s="6">
        <v>3258222.76</v>
      </c>
      <c r="F37" s="6">
        <f t="shared" si="3"/>
        <v>4008451.3</v>
      </c>
      <c r="G37" s="6">
        <f t="shared" si="4"/>
        <v>3365548.7</v>
      </c>
      <c r="H37" s="7">
        <f t="shared" si="5"/>
        <v>0.5435925278003797</v>
      </c>
    </row>
    <row r="38" spans="1:8" x14ac:dyDescent="0.35">
      <c r="A38" s="2" t="s">
        <v>82</v>
      </c>
      <c r="B38" s="2" t="s">
        <v>83</v>
      </c>
      <c r="C38" s="3">
        <v>7325000</v>
      </c>
      <c r="D38" s="3">
        <v>0</v>
      </c>
      <c r="E38" s="3">
        <v>501647.19</v>
      </c>
      <c r="F38" s="3">
        <f t="shared" si="3"/>
        <v>501647.19</v>
      </c>
      <c r="G38" s="3">
        <f t="shared" si="4"/>
        <v>6823352.8099999996</v>
      </c>
      <c r="H38" s="4">
        <f t="shared" si="5"/>
        <v>6.848425802047782E-2</v>
      </c>
    </row>
    <row r="39" spans="1:8" x14ac:dyDescent="0.35">
      <c r="A39" s="5" t="s">
        <v>89</v>
      </c>
      <c r="B39" s="5" t="s">
        <v>46</v>
      </c>
      <c r="C39" s="6">
        <v>6596488</v>
      </c>
      <c r="D39" s="6">
        <v>4201725.53</v>
      </c>
      <c r="E39" s="6">
        <v>874921.26</v>
      </c>
      <c r="F39" s="6">
        <f t="shared" si="3"/>
        <v>5076646.79</v>
      </c>
      <c r="G39" s="6">
        <f t="shared" si="4"/>
        <v>1519841.21</v>
      </c>
      <c r="H39" s="7">
        <f t="shared" si="5"/>
        <v>0.76959842722369842</v>
      </c>
    </row>
    <row r="40" spans="1:8" x14ac:dyDescent="0.35">
      <c r="A40" s="2" t="s">
        <v>97</v>
      </c>
      <c r="B40" s="2" t="s">
        <v>65</v>
      </c>
      <c r="C40" s="3">
        <v>5355680</v>
      </c>
      <c r="D40" s="3">
        <v>707872.68</v>
      </c>
      <c r="E40" s="3">
        <v>261069.8</v>
      </c>
      <c r="F40" s="3">
        <f t="shared" si="3"/>
        <v>968942.48</v>
      </c>
      <c r="G40" s="3">
        <f t="shared" si="4"/>
        <v>4386737.5199999996</v>
      </c>
      <c r="H40" s="4">
        <f t="shared" si="5"/>
        <v>0.18091866579033847</v>
      </c>
    </row>
    <row r="41" spans="1:8" x14ac:dyDescent="0.35">
      <c r="A41" s="5" t="s">
        <v>90</v>
      </c>
      <c r="B41" s="5" t="s">
        <v>53</v>
      </c>
      <c r="C41" s="6">
        <v>4642500</v>
      </c>
      <c r="D41" s="6">
        <v>0</v>
      </c>
      <c r="E41" s="6">
        <v>2560613.2000000002</v>
      </c>
      <c r="F41" s="6">
        <f t="shared" si="3"/>
        <v>2560613.2000000002</v>
      </c>
      <c r="G41" s="6">
        <f t="shared" si="4"/>
        <v>2081886.7999999998</v>
      </c>
      <c r="H41" s="7">
        <f t="shared" si="5"/>
        <v>0.55155911685514269</v>
      </c>
    </row>
    <row r="42" spans="1:8" x14ac:dyDescent="0.35">
      <c r="A42" s="2" t="s">
        <v>98</v>
      </c>
      <c r="B42" s="2" t="s">
        <v>74</v>
      </c>
      <c r="C42" s="3">
        <v>4514455</v>
      </c>
      <c r="D42" s="3">
        <v>517492.17</v>
      </c>
      <c r="E42" s="3">
        <v>0</v>
      </c>
      <c r="F42" s="3">
        <f t="shared" si="3"/>
        <v>517492.17</v>
      </c>
      <c r="G42" s="3">
        <f t="shared" si="4"/>
        <v>3996962.83</v>
      </c>
      <c r="H42" s="4">
        <f t="shared" si="5"/>
        <v>0.1146300428290901</v>
      </c>
    </row>
    <row r="43" spans="1:8" x14ac:dyDescent="0.35">
      <c r="A43" s="5" t="s">
        <v>115</v>
      </c>
      <c r="B43" s="5" t="s">
        <v>65</v>
      </c>
      <c r="C43" s="6">
        <v>4458500</v>
      </c>
      <c r="D43" s="6">
        <v>359632.88</v>
      </c>
      <c r="E43" s="6">
        <v>3569603.69</v>
      </c>
      <c r="F43" s="6">
        <f t="shared" si="3"/>
        <v>3929236.57</v>
      </c>
      <c r="G43" s="6">
        <f t="shared" si="4"/>
        <v>529263.43000000017</v>
      </c>
      <c r="H43" s="7">
        <f t="shared" si="5"/>
        <v>0.88129114500392502</v>
      </c>
    </row>
    <row r="44" spans="1:8" x14ac:dyDescent="0.35">
      <c r="A44" s="2" t="s">
        <v>101</v>
      </c>
      <c r="B44" s="2" t="s">
        <v>46</v>
      </c>
      <c r="C44" s="3">
        <v>4145000</v>
      </c>
      <c r="D44" s="3">
        <v>0</v>
      </c>
      <c r="E44" s="3">
        <v>0</v>
      </c>
      <c r="F44" s="3">
        <f t="shared" si="3"/>
        <v>0</v>
      </c>
      <c r="G44" s="3">
        <f t="shared" si="4"/>
        <v>4145000</v>
      </c>
      <c r="H44" s="4">
        <f t="shared" si="5"/>
        <v>0</v>
      </c>
    </row>
    <row r="45" spans="1:8" x14ac:dyDescent="0.35">
      <c r="A45" s="5" t="s">
        <v>122</v>
      </c>
      <c r="B45" s="5" t="s">
        <v>53</v>
      </c>
      <c r="C45" s="6">
        <v>3894500</v>
      </c>
      <c r="D45" s="6">
        <v>838573.39</v>
      </c>
      <c r="E45" s="6">
        <v>662921.24</v>
      </c>
      <c r="F45" s="6">
        <f t="shared" si="3"/>
        <v>1501494.63</v>
      </c>
      <c r="G45" s="6">
        <f t="shared" si="4"/>
        <v>2393005.37</v>
      </c>
      <c r="H45" s="7">
        <f t="shared" si="5"/>
        <v>0.38554233662857873</v>
      </c>
    </row>
    <row r="46" spans="1:8" x14ac:dyDescent="0.35">
      <c r="A46" s="2" t="s">
        <v>105</v>
      </c>
      <c r="B46" s="2" t="s">
        <v>74</v>
      </c>
      <c r="C46" s="3">
        <v>3548500</v>
      </c>
      <c r="D46" s="3">
        <v>40940</v>
      </c>
      <c r="E46" s="3">
        <v>947728.45</v>
      </c>
      <c r="F46" s="3">
        <f t="shared" si="3"/>
        <v>988668.45</v>
      </c>
      <c r="G46" s="3">
        <f t="shared" si="4"/>
        <v>2559831.5499999998</v>
      </c>
      <c r="H46" s="4">
        <f t="shared" si="5"/>
        <v>0.27861587994927434</v>
      </c>
    </row>
    <row r="47" spans="1:8" x14ac:dyDescent="0.35">
      <c r="A47" s="5" t="s">
        <v>126</v>
      </c>
      <c r="B47" s="5" t="s">
        <v>65</v>
      </c>
      <c r="C47" s="6">
        <v>3140800</v>
      </c>
      <c r="D47" s="6">
        <v>380998.8</v>
      </c>
      <c r="E47" s="6">
        <v>1949966.91</v>
      </c>
      <c r="F47" s="6">
        <f t="shared" si="3"/>
        <v>2330965.71</v>
      </c>
      <c r="G47" s="6">
        <f t="shared" si="4"/>
        <v>809834.29</v>
      </c>
      <c r="H47" s="7">
        <f t="shared" si="5"/>
        <v>0.74215668301069793</v>
      </c>
    </row>
    <row r="48" spans="1:8" x14ac:dyDescent="0.35">
      <c r="A48" s="2" t="s">
        <v>127</v>
      </c>
      <c r="B48" s="2" t="s">
        <v>60</v>
      </c>
      <c r="C48" s="3">
        <v>2993512</v>
      </c>
      <c r="D48" s="3">
        <v>365448.25</v>
      </c>
      <c r="E48" s="3">
        <v>1134318.1599999999</v>
      </c>
      <c r="F48" s="3">
        <f t="shared" si="3"/>
        <v>1499766.41</v>
      </c>
      <c r="G48" s="3">
        <f t="shared" si="4"/>
        <v>1493745.59</v>
      </c>
      <c r="H48" s="4">
        <f t="shared" si="5"/>
        <v>0.50100564487464883</v>
      </c>
    </row>
    <row r="49" spans="1:8" x14ac:dyDescent="0.35">
      <c r="A49" s="5" t="s">
        <v>102</v>
      </c>
      <c r="B49" s="5" t="s">
        <v>51</v>
      </c>
      <c r="C49" s="6">
        <v>2913000</v>
      </c>
      <c r="D49" s="6">
        <v>1290760</v>
      </c>
      <c r="E49" s="6">
        <v>311637.46000000002</v>
      </c>
      <c r="F49" s="6">
        <f t="shared" si="3"/>
        <v>1602397.46</v>
      </c>
      <c r="G49" s="6">
        <f t="shared" si="4"/>
        <v>1310602.54</v>
      </c>
      <c r="H49" s="7">
        <f t="shared" si="5"/>
        <v>0.55008495022313764</v>
      </c>
    </row>
    <row r="50" spans="1:8" x14ac:dyDescent="0.35">
      <c r="A50" s="2" t="s">
        <v>123</v>
      </c>
      <c r="B50" s="2" t="s">
        <v>65</v>
      </c>
      <c r="C50" s="3">
        <v>2443000</v>
      </c>
      <c r="D50" s="3">
        <v>454422.36</v>
      </c>
      <c r="E50" s="3">
        <v>1010346.07</v>
      </c>
      <c r="F50" s="3">
        <f t="shared" si="3"/>
        <v>1464768.43</v>
      </c>
      <c r="G50" s="3">
        <f t="shared" si="4"/>
        <v>978231.57000000007</v>
      </c>
      <c r="H50" s="4">
        <f t="shared" si="5"/>
        <v>0.5995777445763405</v>
      </c>
    </row>
    <row r="51" spans="1:8" x14ac:dyDescent="0.35">
      <c r="A51" s="5" t="s">
        <v>108</v>
      </c>
      <c r="B51" s="5" t="s">
        <v>83</v>
      </c>
      <c r="C51" s="6">
        <v>2348000</v>
      </c>
      <c r="D51" s="6">
        <v>0</v>
      </c>
      <c r="E51" s="6">
        <v>0</v>
      </c>
      <c r="F51" s="6">
        <f t="shared" si="3"/>
        <v>0</v>
      </c>
      <c r="G51" s="6">
        <f t="shared" si="4"/>
        <v>2348000</v>
      </c>
      <c r="H51" s="7">
        <f t="shared" si="5"/>
        <v>0</v>
      </c>
    </row>
    <row r="52" spans="1:8" x14ac:dyDescent="0.35">
      <c r="A52" s="2" t="s">
        <v>125</v>
      </c>
      <c r="B52" s="2" t="s">
        <v>65</v>
      </c>
      <c r="C52" s="3">
        <v>2318000</v>
      </c>
      <c r="D52" s="3">
        <v>370232.36</v>
      </c>
      <c r="E52" s="3">
        <v>858680.86</v>
      </c>
      <c r="F52" s="3">
        <f t="shared" si="3"/>
        <v>1228913.22</v>
      </c>
      <c r="G52" s="3">
        <f t="shared" si="4"/>
        <v>1089086.78</v>
      </c>
      <c r="H52" s="4">
        <f t="shared" si="5"/>
        <v>0.53016100949094047</v>
      </c>
    </row>
    <row r="53" spans="1:8" x14ac:dyDescent="0.35">
      <c r="A53" s="5" t="s">
        <v>140</v>
      </c>
      <c r="B53" s="5" t="s">
        <v>53</v>
      </c>
      <c r="C53" s="6">
        <v>2316000</v>
      </c>
      <c r="D53" s="6">
        <v>131120</v>
      </c>
      <c r="E53" s="6">
        <v>445261.85</v>
      </c>
      <c r="F53" s="6">
        <f t="shared" si="3"/>
        <v>576381.85</v>
      </c>
      <c r="G53" s="6">
        <f t="shared" si="4"/>
        <v>1739618.15</v>
      </c>
      <c r="H53" s="7">
        <f t="shared" si="5"/>
        <v>0.24886953799654576</v>
      </c>
    </row>
    <row r="54" spans="1:8" x14ac:dyDescent="0.35">
      <c r="A54" s="2" t="s">
        <v>133</v>
      </c>
      <c r="B54" s="2" t="s">
        <v>46</v>
      </c>
      <c r="C54" s="3">
        <v>2299000</v>
      </c>
      <c r="D54" s="3">
        <v>293464.71999999997</v>
      </c>
      <c r="E54" s="3">
        <v>1747010.69</v>
      </c>
      <c r="F54" s="3">
        <f t="shared" si="3"/>
        <v>2040475.41</v>
      </c>
      <c r="G54" s="3">
        <f t="shared" si="4"/>
        <v>258524.59000000008</v>
      </c>
      <c r="H54" s="4">
        <f t="shared" si="5"/>
        <v>0.88754911265767722</v>
      </c>
    </row>
    <row r="55" spans="1:8" x14ac:dyDescent="0.35">
      <c r="A55" s="5" t="s">
        <v>113</v>
      </c>
      <c r="B55" s="5" t="s">
        <v>44</v>
      </c>
      <c r="C55" s="6">
        <v>2132500</v>
      </c>
      <c r="D55" s="6">
        <v>618144.1</v>
      </c>
      <c r="E55" s="6">
        <v>1776468.11</v>
      </c>
      <c r="F55" s="6">
        <f t="shared" si="3"/>
        <v>2394612.21</v>
      </c>
      <c r="G55" s="6">
        <f t="shared" si="4"/>
        <v>-262112.20999999996</v>
      </c>
      <c r="H55" s="7">
        <f t="shared" si="5"/>
        <v>1.1229131113716295</v>
      </c>
    </row>
    <row r="56" spans="1:8" x14ac:dyDescent="0.35">
      <c r="A56" s="2" t="s">
        <v>114</v>
      </c>
      <c r="B56" s="2" t="s">
        <v>53</v>
      </c>
      <c r="C56" s="3">
        <v>2000000</v>
      </c>
      <c r="D56" s="3">
        <v>0</v>
      </c>
      <c r="E56" s="3">
        <v>0</v>
      </c>
      <c r="F56" s="3">
        <f t="shared" si="3"/>
        <v>0</v>
      </c>
      <c r="G56" s="3">
        <f t="shared" si="4"/>
        <v>2000000</v>
      </c>
      <c r="H56" s="4">
        <f t="shared" si="5"/>
        <v>0</v>
      </c>
    </row>
    <row r="57" spans="1:8" x14ac:dyDescent="0.35">
      <c r="A57" s="5" t="s">
        <v>124</v>
      </c>
      <c r="B57" s="5" t="s">
        <v>51</v>
      </c>
      <c r="C57" s="6">
        <v>1988000</v>
      </c>
      <c r="D57" s="6">
        <v>1022454.48</v>
      </c>
      <c r="E57" s="6">
        <v>0</v>
      </c>
      <c r="F57" s="6">
        <f t="shared" si="3"/>
        <v>1022454.48</v>
      </c>
      <c r="G57" s="6">
        <f t="shared" si="4"/>
        <v>965545.52</v>
      </c>
      <c r="H57" s="7">
        <f t="shared" si="5"/>
        <v>0.51431311871227359</v>
      </c>
    </row>
    <row r="58" spans="1:8" x14ac:dyDescent="0.35">
      <c r="A58" s="2" t="s">
        <v>132</v>
      </c>
      <c r="B58" s="2" t="s">
        <v>55</v>
      </c>
      <c r="C58" s="3">
        <v>1975000</v>
      </c>
      <c r="D58" s="3">
        <v>199045.64</v>
      </c>
      <c r="E58" s="3">
        <v>1009083.34</v>
      </c>
      <c r="F58" s="3">
        <f t="shared" si="3"/>
        <v>1208128.98</v>
      </c>
      <c r="G58" s="3">
        <f t="shared" si="4"/>
        <v>766871.02</v>
      </c>
      <c r="H58" s="4">
        <f t="shared" si="5"/>
        <v>0.61171087594936713</v>
      </c>
    </row>
    <row r="59" spans="1:8" x14ac:dyDescent="0.35">
      <c r="A59" s="5" t="s">
        <v>137</v>
      </c>
      <c r="B59" s="5" t="s">
        <v>44</v>
      </c>
      <c r="C59" s="6">
        <v>1951900</v>
      </c>
      <c r="D59" s="6">
        <v>456097.26</v>
      </c>
      <c r="E59" s="6">
        <v>1089926.8500000001</v>
      </c>
      <c r="F59" s="6">
        <f t="shared" si="3"/>
        <v>1546024.11</v>
      </c>
      <c r="G59" s="6">
        <f t="shared" si="4"/>
        <v>405875.8899999999</v>
      </c>
      <c r="H59" s="7">
        <f t="shared" si="5"/>
        <v>0.79206112505763615</v>
      </c>
    </row>
    <row r="60" spans="1:8" x14ac:dyDescent="0.35">
      <c r="A60" s="2" t="s">
        <v>173</v>
      </c>
      <c r="B60" s="2" t="s">
        <v>46</v>
      </c>
      <c r="C60" s="3">
        <v>1768500</v>
      </c>
      <c r="D60" s="3">
        <v>1161977</v>
      </c>
      <c r="E60" s="3">
        <v>3917231.4</v>
      </c>
      <c r="F60" s="3">
        <f t="shared" si="3"/>
        <v>5079208.4000000004</v>
      </c>
      <c r="G60" s="3">
        <f t="shared" si="4"/>
        <v>-3310708.4000000004</v>
      </c>
      <c r="H60" s="4">
        <f t="shared" si="5"/>
        <v>2.8720432004523611</v>
      </c>
    </row>
    <row r="61" spans="1:8" x14ac:dyDescent="0.35">
      <c r="A61" s="5" t="s">
        <v>153</v>
      </c>
      <c r="B61" s="5" t="s">
        <v>51</v>
      </c>
      <c r="C61" s="6">
        <v>1568500</v>
      </c>
      <c r="D61" s="6">
        <v>144560.60999999999</v>
      </c>
      <c r="E61" s="6">
        <v>970051.3</v>
      </c>
      <c r="F61" s="6">
        <f t="shared" si="3"/>
        <v>1114611.9100000001</v>
      </c>
      <c r="G61" s="6">
        <f t="shared" si="4"/>
        <v>453888.08999999985</v>
      </c>
      <c r="H61" s="7">
        <f t="shared" si="5"/>
        <v>0.71062283072999688</v>
      </c>
    </row>
    <row r="62" spans="1:8" x14ac:dyDescent="0.35">
      <c r="A62" s="2" t="s">
        <v>148</v>
      </c>
      <c r="B62" s="2" t="s">
        <v>65</v>
      </c>
      <c r="C62" s="3">
        <v>1563000</v>
      </c>
      <c r="D62" s="3">
        <v>164705.79999999999</v>
      </c>
      <c r="E62" s="3">
        <v>1358744.7</v>
      </c>
      <c r="F62" s="3">
        <f t="shared" si="3"/>
        <v>1523450.5</v>
      </c>
      <c r="G62" s="3">
        <f t="shared" si="4"/>
        <v>39549.5</v>
      </c>
      <c r="H62" s="4">
        <f t="shared" si="5"/>
        <v>0.97469641714651312</v>
      </c>
    </row>
    <row r="63" spans="1:8" x14ac:dyDescent="0.35">
      <c r="A63" s="5" t="s">
        <v>151</v>
      </c>
      <c r="B63" s="5" t="s">
        <v>65</v>
      </c>
      <c r="C63" s="6">
        <v>1541476</v>
      </c>
      <c r="D63" s="6">
        <v>610403.47</v>
      </c>
      <c r="E63" s="6">
        <v>1103724.75</v>
      </c>
      <c r="F63" s="6">
        <f t="shared" si="3"/>
        <v>1714128.22</v>
      </c>
      <c r="G63" s="6">
        <f t="shared" si="4"/>
        <v>-172652.21999999997</v>
      </c>
      <c r="H63" s="7">
        <f t="shared" si="5"/>
        <v>1.1120044814191075</v>
      </c>
    </row>
    <row r="64" spans="1:8" x14ac:dyDescent="0.35">
      <c r="A64" s="2" t="s">
        <v>150</v>
      </c>
      <c r="B64" s="2" t="s">
        <v>65</v>
      </c>
      <c r="C64" s="3">
        <v>1495000</v>
      </c>
      <c r="D64" s="3">
        <v>412719.25</v>
      </c>
      <c r="E64" s="3">
        <v>922599.8</v>
      </c>
      <c r="F64" s="3">
        <f t="shared" si="3"/>
        <v>1335319.05</v>
      </c>
      <c r="G64" s="3">
        <f t="shared" si="4"/>
        <v>159680.94999999995</v>
      </c>
      <c r="H64" s="4">
        <f t="shared" si="5"/>
        <v>0.89319000000000004</v>
      </c>
    </row>
    <row r="65" spans="1:8" x14ac:dyDescent="0.35">
      <c r="A65" s="5" t="s">
        <v>154</v>
      </c>
      <c r="B65" s="5" t="s">
        <v>51</v>
      </c>
      <c r="C65" s="6">
        <v>1430420</v>
      </c>
      <c r="D65" s="6">
        <v>694107.59</v>
      </c>
      <c r="E65" s="6">
        <v>724100</v>
      </c>
      <c r="F65" s="6">
        <f t="shared" si="3"/>
        <v>1418207.5899999999</v>
      </c>
      <c r="G65" s="6">
        <f t="shared" si="4"/>
        <v>12212.410000000149</v>
      </c>
      <c r="H65" s="7">
        <f t="shared" si="5"/>
        <v>0.99146236070524729</v>
      </c>
    </row>
    <row r="66" spans="1:8" x14ac:dyDescent="0.35">
      <c r="A66" s="2" t="s">
        <v>157</v>
      </c>
      <c r="B66" s="2" t="s">
        <v>60</v>
      </c>
      <c r="C66" s="3">
        <v>1249765.2</v>
      </c>
      <c r="D66" s="3">
        <v>152858.07999999999</v>
      </c>
      <c r="E66" s="3">
        <v>137843.10999999999</v>
      </c>
      <c r="F66" s="3">
        <f t="shared" ref="F66:F97" si="6">D66+E66</f>
        <v>290701.18999999994</v>
      </c>
      <c r="G66" s="3">
        <f t="shared" ref="G66:G97" si="7">C66-F66</f>
        <v>959064.01</v>
      </c>
      <c r="H66" s="4">
        <f t="shared" ref="H66:H97" si="8">IFERROR(F66/C66,0)</f>
        <v>0.23260464445641466</v>
      </c>
    </row>
    <row r="67" spans="1:8" x14ac:dyDescent="0.35">
      <c r="A67" s="5" t="s">
        <v>169</v>
      </c>
      <c r="B67" s="5" t="s">
        <v>51</v>
      </c>
      <c r="C67" s="6">
        <v>1236300</v>
      </c>
      <c r="D67" s="6">
        <v>453164.76</v>
      </c>
      <c r="E67" s="6">
        <v>405407.09</v>
      </c>
      <c r="F67" s="6">
        <f t="shared" si="6"/>
        <v>858571.85000000009</v>
      </c>
      <c r="G67" s="6">
        <f t="shared" si="7"/>
        <v>377728.14999999991</v>
      </c>
      <c r="H67" s="7">
        <f t="shared" si="8"/>
        <v>0.6944688586912563</v>
      </c>
    </row>
    <row r="68" spans="1:8" x14ac:dyDescent="0.35">
      <c r="A68" s="2" t="s">
        <v>164</v>
      </c>
      <c r="B68" s="2" t="s">
        <v>46</v>
      </c>
      <c r="C68" s="3">
        <v>1208500</v>
      </c>
      <c r="D68" s="3">
        <v>202707.68</v>
      </c>
      <c r="E68" s="3">
        <v>3796266.2</v>
      </c>
      <c r="F68" s="3">
        <f t="shared" si="6"/>
        <v>3998973.8800000004</v>
      </c>
      <c r="G68" s="3">
        <f t="shared" si="7"/>
        <v>-2790473.8800000004</v>
      </c>
      <c r="H68" s="4">
        <f t="shared" si="8"/>
        <v>3.3090392056268105</v>
      </c>
    </row>
    <row r="69" spans="1:8" x14ac:dyDescent="0.35">
      <c r="A69" s="5" t="s">
        <v>155</v>
      </c>
      <c r="B69" s="5" t="s">
        <v>51</v>
      </c>
      <c r="C69" s="6">
        <v>1198000</v>
      </c>
      <c r="D69" s="6">
        <v>0</v>
      </c>
      <c r="E69" s="6">
        <v>456100</v>
      </c>
      <c r="F69" s="6">
        <f t="shared" si="6"/>
        <v>456100</v>
      </c>
      <c r="G69" s="6">
        <f t="shared" si="7"/>
        <v>741900</v>
      </c>
      <c r="H69" s="7">
        <f t="shared" si="8"/>
        <v>0.3807178631051753</v>
      </c>
    </row>
    <row r="70" spans="1:8" x14ac:dyDescent="0.35">
      <c r="A70" s="2" t="s">
        <v>166</v>
      </c>
      <c r="B70" s="2" t="s">
        <v>46</v>
      </c>
      <c r="C70" s="3">
        <v>1111000</v>
      </c>
      <c r="D70" s="3">
        <v>0</v>
      </c>
      <c r="E70" s="3">
        <v>0</v>
      </c>
      <c r="F70" s="3">
        <f t="shared" si="6"/>
        <v>0</v>
      </c>
      <c r="G70" s="3">
        <f t="shared" si="7"/>
        <v>1111000</v>
      </c>
      <c r="H70" s="4">
        <f t="shared" si="8"/>
        <v>0</v>
      </c>
    </row>
    <row r="71" spans="1:8" x14ac:dyDescent="0.35">
      <c r="A71" s="5" t="s">
        <v>141</v>
      </c>
      <c r="B71" s="5" t="s">
        <v>83</v>
      </c>
      <c r="C71" s="6">
        <v>1100000</v>
      </c>
      <c r="D71" s="6">
        <v>0</v>
      </c>
      <c r="E71" s="6">
        <v>905294.38</v>
      </c>
      <c r="F71" s="6">
        <f t="shared" si="6"/>
        <v>905294.38</v>
      </c>
      <c r="G71" s="6">
        <f t="shared" si="7"/>
        <v>194705.62</v>
      </c>
      <c r="H71" s="7">
        <f t="shared" si="8"/>
        <v>0.82299489090909095</v>
      </c>
    </row>
    <row r="72" spans="1:8" x14ac:dyDescent="0.35">
      <c r="A72" s="2" t="s">
        <v>136</v>
      </c>
      <c r="B72" s="2" t="s">
        <v>60</v>
      </c>
      <c r="C72" s="3">
        <v>1080000</v>
      </c>
      <c r="D72" s="3">
        <v>831114.06</v>
      </c>
      <c r="E72" s="3">
        <v>0</v>
      </c>
      <c r="F72" s="3">
        <f t="shared" si="6"/>
        <v>831114.06</v>
      </c>
      <c r="G72" s="3">
        <f t="shared" si="7"/>
        <v>248885.93999999994</v>
      </c>
      <c r="H72" s="4">
        <f t="shared" si="8"/>
        <v>0.76955005555555556</v>
      </c>
    </row>
    <row r="73" spans="1:8" x14ac:dyDescent="0.35">
      <c r="A73" s="5" t="s">
        <v>145</v>
      </c>
      <c r="B73" s="5" t="s">
        <v>65</v>
      </c>
      <c r="C73" s="6">
        <v>1060000</v>
      </c>
      <c r="D73" s="6">
        <v>0</v>
      </c>
      <c r="E73" s="6">
        <v>992724.75</v>
      </c>
      <c r="F73" s="6">
        <f t="shared" si="6"/>
        <v>992724.75</v>
      </c>
      <c r="G73" s="6">
        <f t="shared" si="7"/>
        <v>67275.25</v>
      </c>
      <c r="H73" s="7">
        <f t="shared" si="8"/>
        <v>0.93653278301886789</v>
      </c>
    </row>
    <row r="74" spans="1:8" x14ac:dyDescent="0.35">
      <c r="A74" s="2" t="s">
        <v>146</v>
      </c>
      <c r="B74" s="2" t="s">
        <v>51</v>
      </c>
      <c r="C74" s="3">
        <v>968420</v>
      </c>
      <c r="D74" s="3">
        <v>0</v>
      </c>
      <c r="E74" s="3">
        <v>899832.56</v>
      </c>
      <c r="F74" s="3">
        <f t="shared" si="6"/>
        <v>899832.56</v>
      </c>
      <c r="G74" s="3">
        <f t="shared" si="7"/>
        <v>68587.439999999944</v>
      </c>
      <c r="H74" s="4">
        <f t="shared" si="8"/>
        <v>0.92917593606080018</v>
      </c>
    </row>
    <row r="75" spans="1:8" x14ac:dyDescent="0.35">
      <c r="A75" s="5" t="s">
        <v>147</v>
      </c>
      <c r="B75" s="5" t="s">
        <v>65</v>
      </c>
      <c r="C75" s="6">
        <v>968000</v>
      </c>
      <c r="D75" s="6">
        <v>346785.9</v>
      </c>
      <c r="E75" s="6">
        <v>716100</v>
      </c>
      <c r="F75" s="6">
        <f t="shared" si="6"/>
        <v>1062885.8999999999</v>
      </c>
      <c r="G75" s="6">
        <f t="shared" si="7"/>
        <v>-94885.899999999907</v>
      </c>
      <c r="H75" s="7">
        <f t="shared" si="8"/>
        <v>1.0980226239669419</v>
      </c>
    </row>
    <row r="76" spans="1:8" x14ac:dyDescent="0.35">
      <c r="A76" s="2" t="s">
        <v>176</v>
      </c>
      <c r="B76" s="2" t="s">
        <v>60</v>
      </c>
      <c r="C76" s="3">
        <v>957300</v>
      </c>
      <c r="D76" s="3">
        <v>692478.52</v>
      </c>
      <c r="E76" s="3">
        <v>246624.75</v>
      </c>
      <c r="F76" s="3">
        <f t="shared" si="6"/>
        <v>939103.27</v>
      </c>
      <c r="G76" s="3">
        <f t="shared" si="7"/>
        <v>18196.729999999981</v>
      </c>
      <c r="H76" s="4">
        <f t="shared" si="8"/>
        <v>0.98099161182492434</v>
      </c>
    </row>
    <row r="77" spans="1:8" x14ac:dyDescent="0.35">
      <c r="A77" s="5" t="s">
        <v>144</v>
      </c>
      <c r="B77" s="5" t="s">
        <v>51</v>
      </c>
      <c r="C77" s="6">
        <v>944000</v>
      </c>
      <c r="D77" s="6">
        <v>0</v>
      </c>
      <c r="E77" s="6">
        <v>503100</v>
      </c>
      <c r="F77" s="6">
        <f t="shared" si="6"/>
        <v>503100</v>
      </c>
      <c r="G77" s="6">
        <f t="shared" si="7"/>
        <v>440900</v>
      </c>
      <c r="H77" s="7">
        <f t="shared" si="8"/>
        <v>0.53294491525423726</v>
      </c>
    </row>
    <row r="78" spans="1:8" x14ac:dyDescent="0.35">
      <c r="A78" s="2" t="s">
        <v>149</v>
      </c>
      <c r="B78" s="2" t="s">
        <v>60</v>
      </c>
      <c r="C78" s="3">
        <v>929300</v>
      </c>
      <c r="D78" s="3">
        <v>497864.91</v>
      </c>
      <c r="E78" s="3">
        <v>1157302.9099999999</v>
      </c>
      <c r="F78" s="3">
        <f t="shared" si="6"/>
        <v>1655167.8199999998</v>
      </c>
      <c r="G78" s="3">
        <f t="shared" si="7"/>
        <v>-725867.81999999983</v>
      </c>
      <c r="H78" s="4">
        <f t="shared" si="8"/>
        <v>1.7810909501775529</v>
      </c>
    </row>
    <row r="79" spans="1:8" x14ac:dyDescent="0.35">
      <c r="A79" s="5" t="s">
        <v>183</v>
      </c>
      <c r="B79" s="5" t="s">
        <v>55</v>
      </c>
      <c r="C79" s="6">
        <v>907500</v>
      </c>
      <c r="D79" s="6">
        <v>451963.05</v>
      </c>
      <c r="E79" s="6">
        <v>274733.71999999997</v>
      </c>
      <c r="F79" s="6">
        <f t="shared" si="6"/>
        <v>726696.77</v>
      </c>
      <c r="G79" s="6">
        <f t="shared" si="7"/>
        <v>180803.22999999998</v>
      </c>
      <c r="H79" s="7">
        <f t="shared" si="8"/>
        <v>0.80076779063360881</v>
      </c>
    </row>
    <row r="80" spans="1:8" x14ac:dyDescent="0.35">
      <c r="A80" s="2" t="s">
        <v>177</v>
      </c>
      <c r="B80" s="2" t="s">
        <v>60</v>
      </c>
      <c r="C80" s="3">
        <v>882460</v>
      </c>
      <c r="D80" s="3">
        <v>829320.09</v>
      </c>
      <c r="E80" s="3">
        <v>0</v>
      </c>
      <c r="F80" s="3">
        <f t="shared" si="6"/>
        <v>829320.09</v>
      </c>
      <c r="G80" s="3">
        <f t="shared" si="7"/>
        <v>53139.910000000033</v>
      </c>
      <c r="H80" s="4">
        <f t="shared" si="8"/>
        <v>0.93978207510822021</v>
      </c>
    </row>
    <row r="81" spans="1:8" x14ac:dyDescent="0.35">
      <c r="A81" s="5" t="s">
        <v>156</v>
      </c>
      <c r="B81" s="5" t="s">
        <v>51</v>
      </c>
      <c r="C81" s="6">
        <v>868000</v>
      </c>
      <c r="D81" s="6">
        <v>0</v>
      </c>
      <c r="E81" s="6">
        <v>331124.75</v>
      </c>
      <c r="F81" s="6">
        <f t="shared" si="6"/>
        <v>331124.75</v>
      </c>
      <c r="G81" s="6">
        <f t="shared" si="7"/>
        <v>536875.25</v>
      </c>
      <c r="H81" s="7">
        <f t="shared" si="8"/>
        <v>0.3814801267281106</v>
      </c>
    </row>
    <row r="82" spans="1:8" x14ac:dyDescent="0.35">
      <c r="A82" s="2" t="s">
        <v>152</v>
      </c>
      <c r="B82" s="2" t="s">
        <v>65</v>
      </c>
      <c r="C82" s="3">
        <v>811000</v>
      </c>
      <c r="D82" s="3">
        <v>0</v>
      </c>
      <c r="E82" s="3">
        <v>1000724.75</v>
      </c>
      <c r="F82" s="3">
        <f t="shared" si="6"/>
        <v>1000724.75</v>
      </c>
      <c r="G82" s="3">
        <f t="shared" si="7"/>
        <v>-189724.75</v>
      </c>
      <c r="H82" s="4">
        <f t="shared" si="8"/>
        <v>1.2339392725030827</v>
      </c>
    </row>
    <row r="83" spans="1:8" x14ac:dyDescent="0.35">
      <c r="A83" s="5" t="s">
        <v>170</v>
      </c>
      <c r="B83" s="5" t="s">
        <v>60</v>
      </c>
      <c r="C83" s="6">
        <v>797100</v>
      </c>
      <c r="D83" s="6">
        <v>506469.15</v>
      </c>
      <c r="E83" s="6">
        <v>920960.2</v>
      </c>
      <c r="F83" s="6">
        <f t="shared" si="6"/>
        <v>1427429.35</v>
      </c>
      <c r="G83" s="6">
        <f t="shared" si="7"/>
        <v>-630329.35000000009</v>
      </c>
      <c r="H83" s="7">
        <f t="shared" si="8"/>
        <v>1.7907782586877432</v>
      </c>
    </row>
    <row r="84" spans="1:8" x14ac:dyDescent="0.35">
      <c r="A84" s="2" t="s">
        <v>165</v>
      </c>
      <c r="B84" s="2" t="s">
        <v>51</v>
      </c>
      <c r="C84" s="3">
        <v>759000</v>
      </c>
      <c r="D84" s="3">
        <v>160264.1</v>
      </c>
      <c r="E84" s="3">
        <v>583905.4</v>
      </c>
      <c r="F84" s="3">
        <f t="shared" si="6"/>
        <v>744169.5</v>
      </c>
      <c r="G84" s="3">
        <f t="shared" si="7"/>
        <v>14830.5</v>
      </c>
      <c r="H84" s="4">
        <f t="shared" si="8"/>
        <v>0.98046047430830041</v>
      </c>
    </row>
    <row r="85" spans="1:8" x14ac:dyDescent="0.35">
      <c r="A85" s="5" t="s">
        <v>188</v>
      </c>
      <c r="B85" s="5" t="s">
        <v>83</v>
      </c>
      <c r="C85" s="6">
        <v>685000</v>
      </c>
      <c r="D85" s="6">
        <v>0</v>
      </c>
      <c r="E85" s="6">
        <v>452647.19</v>
      </c>
      <c r="F85" s="6">
        <f t="shared" si="6"/>
        <v>452647.19</v>
      </c>
      <c r="G85" s="6">
        <f t="shared" si="7"/>
        <v>232352.81</v>
      </c>
      <c r="H85" s="7">
        <f t="shared" si="8"/>
        <v>0.6607988175182482</v>
      </c>
    </row>
    <row r="86" spans="1:8" x14ac:dyDescent="0.35">
      <c r="A86" s="2" t="s">
        <v>192</v>
      </c>
      <c r="B86" s="2" t="s">
        <v>51</v>
      </c>
      <c r="C86" s="3">
        <v>664070.40000000002</v>
      </c>
      <c r="D86" s="3">
        <v>180535</v>
      </c>
      <c r="E86" s="3">
        <v>342642.91</v>
      </c>
      <c r="F86" s="3">
        <f t="shared" si="6"/>
        <v>523177.91</v>
      </c>
      <c r="G86" s="3">
        <f t="shared" si="7"/>
        <v>140892.49000000005</v>
      </c>
      <c r="H86" s="4">
        <f t="shared" si="8"/>
        <v>0.78783500966162612</v>
      </c>
    </row>
    <row r="87" spans="1:8" x14ac:dyDescent="0.35">
      <c r="A87" s="5" t="s">
        <v>184</v>
      </c>
      <c r="B87" s="5" t="s">
        <v>74</v>
      </c>
      <c r="C87" s="6">
        <v>642000</v>
      </c>
      <c r="D87" s="6">
        <v>12000</v>
      </c>
      <c r="E87" s="6">
        <v>0</v>
      </c>
      <c r="F87" s="6">
        <f t="shared" si="6"/>
        <v>12000</v>
      </c>
      <c r="G87" s="6">
        <f t="shared" si="7"/>
        <v>630000</v>
      </c>
      <c r="H87" s="7">
        <f t="shared" si="8"/>
        <v>1.8691588785046728E-2</v>
      </c>
    </row>
    <row r="88" spans="1:8" x14ac:dyDescent="0.35">
      <c r="A88" s="2" t="s">
        <v>182</v>
      </c>
      <c r="B88" s="2" t="s">
        <v>46</v>
      </c>
      <c r="C88" s="3">
        <v>583500</v>
      </c>
      <c r="D88" s="3">
        <v>391421.36</v>
      </c>
      <c r="E88" s="3">
        <v>42400</v>
      </c>
      <c r="F88" s="3">
        <f t="shared" si="6"/>
        <v>433821.36</v>
      </c>
      <c r="G88" s="3">
        <f t="shared" si="7"/>
        <v>149678.64000000001</v>
      </c>
      <c r="H88" s="4">
        <f t="shared" si="8"/>
        <v>0.74348133676092543</v>
      </c>
    </row>
    <row r="89" spans="1:8" x14ac:dyDescent="0.35">
      <c r="A89" s="5" t="s">
        <v>191</v>
      </c>
      <c r="B89" s="5" t="s">
        <v>51</v>
      </c>
      <c r="C89" s="6">
        <v>495300</v>
      </c>
      <c r="D89" s="6">
        <v>105550</v>
      </c>
      <c r="E89" s="6">
        <v>410033.06</v>
      </c>
      <c r="F89" s="6">
        <f t="shared" si="6"/>
        <v>515583.06</v>
      </c>
      <c r="G89" s="6">
        <f t="shared" si="7"/>
        <v>-20283.059999999998</v>
      </c>
      <c r="H89" s="7">
        <f t="shared" si="8"/>
        <v>1.0409510599636584</v>
      </c>
    </row>
    <row r="90" spans="1:8" x14ac:dyDescent="0.35">
      <c r="A90" s="2" t="s">
        <v>204</v>
      </c>
      <c r="B90" s="2" t="s">
        <v>65</v>
      </c>
      <c r="C90" s="3">
        <v>483000</v>
      </c>
      <c r="D90" s="3">
        <v>111457.98</v>
      </c>
      <c r="E90" s="3">
        <v>134924.26</v>
      </c>
      <c r="F90" s="3">
        <f t="shared" si="6"/>
        <v>246382.24</v>
      </c>
      <c r="G90" s="3">
        <f t="shared" si="7"/>
        <v>236617.76</v>
      </c>
      <c r="H90" s="4">
        <f t="shared" si="8"/>
        <v>0.51010815734989645</v>
      </c>
    </row>
    <row r="91" spans="1:8" x14ac:dyDescent="0.35">
      <c r="A91" s="5" t="s">
        <v>210</v>
      </c>
      <c r="B91" s="5" t="s">
        <v>44</v>
      </c>
      <c r="C91" s="6">
        <v>463000</v>
      </c>
      <c r="D91" s="6">
        <v>350196</v>
      </c>
      <c r="E91" s="6">
        <v>730147.2</v>
      </c>
      <c r="F91" s="6">
        <f t="shared" si="6"/>
        <v>1080343.2</v>
      </c>
      <c r="G91" s="6">
        <f t="shared" si="7"/>
        <v>-617343.19999999995</v>
      </c>
      <c r="H91" s="7">
        <f t="shared" si="8"/>
        <v>2.3333546436285095</v>
      </c>
    </row>
    <row r="92" spans="1:8" x14ac:dyDescent="0.35">
      <c r="A92" s="2" t="s">
        <v>215</v>
      </c>
      <c r="B92" s="2" t="s">
        <v>60</v>
      </c>
      <c r="C92" s="3">
        <v>391692</v>
      </c>
      <c r="D92" s="3">
        <v>59096.85</v>
      </c>
      <c r="E92" s="3">
        <v>137843.10999999999</v>
      </c>
      <c r="F92" s="3">
        <f t="shared" si="6"/>
        <v>196939.96</v>
      </c>
      <c r="G92" s="3">
        <f t="shared" si="7"/>
        <v>194752.04</v>
      </c>
      <c r="H92" s="4">
        <f t="shared" si="8"/>
        <v>0.50279290871398952</v>
      </c>
    </row>
    <row r="93" spans="1:8" x14ac:dyDescent="0.35">
      <c r="A93" s="5" t="s">
        <v>187</v>
      </c>
      <c r="B93" s="5" t="s">
        <v>83</v>
      </c>
      <c r="C93" s="6">
        <v>375000</v>
      </c>
      <c r="D93" s="6">
        <v>0</v>
      </c>
      <c r="E93" s="6">
        <v>0</v>
      </c>
      <c r="F93" s="6">
        <f t="shared" si="6"/>
        <v>0</v>
      </c>
      <c r="G93" s="6">
        <f t="shared" si="7"/>
        <v>375000</v>
      </c>
      <c r="H93" s="7">
        <f t="shared" si="8"/>
        <v>0</v>
      </c>
    </row>
    <row r="94" spans="1:8" x14ac:dyDescent="0.35">
      <c r="A94" s="2" t="s">
        <v>197</v>
      </c>
      <c r="B94" s="2" t="s">
        <v>83</v>
      </c>
      <c r="C94" s="3">
        <v>350000</v>
      </c>
      <c r="D94" s="3">
        <v>0</v>
      </c>
      <c r="E94" s="3">
        <v>0</v>
      </c>
      <c r="F94" s="3">
        <f t="shared" si="6"/>
        <v>0</v>
      </c>
      <c r="G94" s="3">
        <f t="shared" si="7"/>
        <v>350000</v>
      </c>
      <c r="H94" s="4">
        <f t="shared" si="8"/>
        <v>0</v>
      </c>
    </row>
    <row r="95" spans="1:8" x14ac:dyDescent="0.35">
      <c r="A95" s="5" t="s">
        <v>207</v>
      </c>
      <c r="B95" s="5" t="s">
        <v>53</v>
      </c>
      <c r="C95" s="6">
        <v>343500</v>
      </c>
      <c r="D95" s="6">
        <v>0</v>
      </c>
      <c r="E95" s="6">
        <v>0</v>
      </c>
      <c r="F95" s="6">
        <f t="shared" si="6"/>
        <v>0</v>
      </c>
      <c r="G95" s="6">
        <f t="shared" si="7"/>
        <v>343500</v>
      </c>
      <c r="H95" s="7">
        <f t="shared" si="8"/>
        <v>0</v>
      </c>
    </row>
    <row r="96" spans="1:8" x14ac:dyDescent="0.35">
      <c r="A96" s="2" t="s">
        <v>218</v>
      </c>
      <c r="B96" s="2" t="s">
        <v>53</v>
      </c>
      <c r="C96" s="3">
        <v>155000</v>
      </c>
      <c r="D96" s="3">
        <v>128000</v>
      </c>
      <c r="E96" s="3">
        <v>0</v>
      </c>
      <c r="F96" s="3">
        <f t="shared" si="6"/>
        <v>128000</v>
      </c>
      <c r="G96" s="3">
        <f t="shared" si="7"/>
        <v>27000</v>
      </c>
      <c r="H96" s="4">
        <f t="shared" si="8"/>
        <v>0.82580645161290323</v>
      </c>
    </row>
    <row r="97" spans="1:8" x14ac:dyDescent="0.35">
      <c r="A97" s="5" t="s">
        <v>216</v>
      </c>
      <c r="B97" s="5" t="s">
        <v>60</v>
      </c>
      <c r="C97" s="6">
        <v>132300</v>
      </c>
      <c r="D97" s="6">
        <v>0</v>
      </c>
      <c r="E97" s="6">
        <v>246624.75</v>
      </c>
      <c r="F97" s="6">
        <f t="shared" si="6"/>
        <v>246624.75</v>
      </c>
      <c r="G97" s="6">
        <f t="shared" si="7"/>
        <v>-114324.75</v>
      </c>
      <c r="H97" s="7">
        <f t="shared" si="8"/>
        <v>1.8641326530612246</v>
      </c>
    </row>
    <row r="98" spans="1:8" x14ac:dyDescent="0.35">
      <c r="A98" s="2" t="s">
        <v>217</v>
      </c>
      <c r="B98" s="2" t="s">
        <v>60</v>
      </c>
      <c r="C98" s="3">
        <v>132300</v>
      </c>
      <c r="D98" s="3">
        <v>0</v>
      </c>
      <c r="E98" s="3">
        <v>246624.75</v>
      </c>
      <c r="F98" s="3">
        <f t="shared" ref="F98:F105" si="9">D98+E98</f>
        <v>246624.75</v>
      </c>
      <c r="G98" s="3">
        <f t="shared" ref="G98:G105" si="10">C98-F98</f>
        <v>-114324.75</v>
      </c>
      <c r="H98" s="4">
        <f t="shared" ref="H98:H106" si="11">IFERROR(F98/C98,0)</f>
        <v>1.8641326530612246</v>
      </c>
    </row>
    <row r="99" spans="1:8" x14ac:dyDescent="0.35">
      <c r="A99" s="5" t="s">
        <v>225</v>
      </c>
      <c r="B99" s="5" t="s">
        <v>44</v>
      </c>
      <c r="C99" s="6">
        <v>103000</v>
      </c>
      <c r="D99" s="6">
        <v>61393.96</v>
      </c>
      <c r="E99" s="6">
        <v>1068527.42</v>
      </c>
      <c r="F99" s="6">
        <f t="shared" si="9"/>
        <v>1129921.3799999999</v>
      </c>
      <c r="G99" s="6">
        <f t="shared" si="10"/>
        <v>-1026921.3799999999</v>
      </c>
      <c r="H99" s="7">
        <f t="shared" si="11"/>
        <v>10.970110485436892</v>
      </c>
    </row>
    <row r="100" spans="1:8" x14ac:dyDescent="0.35">
      <c r="A100" s="2" t="s">
        <v>228</v>
      </c>
      <c r="B100" s="2" t="s">
        <v>55</v>
      </c>
      <c r="C100" s="3">
        <v>47500</v>
      </c>
      <c r="D100" s="3">
        <v>0</v>
      </c>
      <c r="E100" s="3">
        <v>0</v>
      </c>
      <c r="F100" s="3">
        <f t="shared" si="9"/>
        <v>0</v>
      </c>
      <c r="G100" s="3">
        <f t="shared" si="10"/>
        <v>47500</v>
      </c>
      <c r="H100" s="4">
        <f t="shared" si="11"/>
        <v>0</v>
      </c>
    </row>
    <row r="101" spans="1:8" x14ac:dyDescent="0.35">
      <c r="A101" s="5" t="s">
        <v>229</v>
      </c>
      <c r="B101" s="5" t="s">
        <v>51</v>
      </c>
      <c r="C101" s="6">
        <v>45000</v>
      </c>
      <c r="D101" s="6">
        <v>0</v>
      </c>
      <c r="E101" s="6">
        <v>0</v>
      </c>
      <c r="F101" s="6">
        <f t="shared" si="9"/>
        <v>0</v>
      </c>
      <c r="G101" s="6">
        <f t="shared" si="10"/>
        <v>45000</v>
      </c>
      <c r="H101" s="7">
        <f t="shared" si="11"/>
        <v>0</v>
      </c>
    </row>
    <row r="102" spans="1:8" x14ac:dyDescent="0.35">
      <c r="A102" s="2" t="s">
        <v>232</v>
      </c>
      <c r="B102" s="2" t="s">
        <v>53</v>
      </c>
      <c r="C102" s="3">
        <v>25000</v>
      </c>
      <c r="D102" s="3">
        <v>0</v>
      </c>
      <c r="E102" s="3">
        <v>0</v>
      </c>
      <c r="F102" s="3">
        <f t="shared" si="9"/>
        <v>0</v>
      </c>
      <c r="G102" s="3">
        <f t="shared" si="10"/>
        <v>25000</v>
      </c>
      <c r="H102" s="4">
        <f t="shared" si="11"/>
        <v>0</v>
      </c>
    </row>
    <row r="103" spans="1:8" x14ac:dyDescent="0.35">
      <c r="A103" s="5" t="s">
        <v>270</v>
      </c>
      <c r="B103" s="5"/>
      <c r="C103" s="6">
        <v>0</v>
      </c>
      <c r="D103" s="6">
        <v>644397.75</v>
      </c>
      <c r="E103" s="6">
        <v>33600</v>
      </c>
      <c r="F103" s="6">
        <f t="shared" si="9"/>
        <v>677997.75</v>
      </c>
      <c r="G103" s="6">
        <f t="shared" si="10"/>
        <v>-677997.75</v>
      </c>
      <c r="H103" s="7">
        <f t="shared" si="11"/>
        <v>0</v>
      </c>
    </row>
    <row r="104" spans="1:8" x14ac:dyDescent="0.35">
      <c r="A104" s="2" t="s">
        <v>289</v>
      </c>
      <c r="B104" s="2"/>
      <c r="C104" s="3">
        <v>0</v>
      </c>
      <c r="D104" s="3">
        <v>0</v>
      </c>
      <c r="E104" s="3">
        <v>874921.26</v>
      </c>
      <c r="F104" s="3">
        <f t="shared" si="9"/>
        <v>874921.26</v>
      </c>
      <c r="G104" s="3">
        <f t="shared" si="10"/>
        <v>-874921.26</v>
      </c>
      <c r="H104" s="4">
        <f t="shared" si="11"/>
        <v>0</v>
      </c>
    </row>
    <row r="105" spans="1:8" x14ac:dyDescent="0.35">
      <c r="A105" s="5" t="s">
        <v>290</v>
      </c>
      <c r="B105" s="5"/>
      <c r="C105" s="6">
        <v>0</v>
      </c>
      <c r="D105" s="6">
        <v>0</v>
      </c>
      <c r="E105" s="6">
        <v>874921.26</v>
      </c>
      <c r="F105" s="6">
        <f t="shared" si="9"/>
        <v>874921.26</v>
      </c>
      <c r="G105" s="6">
        <f t="shared" si="10"/>
        <v>-874921.26</v>
      </c>
      <c r="H105" s="7">
        <f t="shared" si="11"/>
        <v>0</v>
      </c>
    </row>
    <row r="106" spans="1:8" x14ac:dyDescent="0.35">
      <c r="A106" s="8" t="s">
        <v>297</v>
      </c>
      <c r="C106" s="9">
        <f>SUM(C2:C105)</f>
        <v>797703455.01999998</v>
      </c>
      <c r="D106" s="9">
        <f>SUM(D2:D105)</f>
        <v>82406880.219999954</v>
      </c>
      <c r="E106" s="9">
        <f>SUM(E2:E105)</f>
        <v>212234929.23999998</v>
      </c>
      <c r="F106" s="9">
        <f>SUM(F2:F105)</f>
        <v>294641809.4599998</v>
      </c>
      <c r="G106" s="9">
        <f>SUM(G2:G105)</f>
        <v>503061645.55999982</v>
      </c>
      <c r="H106" s="10">
        <f t="shared" si="11"/>
        <v>0.36936258406027911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0A7C-51DC-426F-BB9C-56862D044988}">
  <dimension ref="A1"/>
  <sheetViews>
    <sheetView workbookViewId="0">
      <selection activeCell="P14" sqref="P1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Centro-Supra</vt:lpstr>
      <vt:lpstr>Hoja1</vt:lpstr>
      <vt:lpstr>Detalle por Centro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Analia Peguero Reynoso</cp:lastModifiedBy>
  <cp:revision>1</cp:revision>
  <dcterms:created xsi:type="dcterms:W3CDTF">2026-08-12T11:47:56Z</dcterms:created>
  <dcterms:modified xsi:type="dcterms:W3CDTF">2026-08-25T19:25:14Z</dcterms:modified>
  <dc:language>en-US</dc:language>
</cp:coreProperties>
</file>