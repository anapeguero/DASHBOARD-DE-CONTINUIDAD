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a.peguero\Downloads\"/>
    </mc:Choice>
  </mc:AlternateContent>
  <xr:revisionPtr revIDLastSave="0" documentId="8_{64B39FCD-A697-4620-8882-E657C57743A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 de Acción" sheetId="12" r:id="rId1"/>
    <sheet name="Detalle Centro-Supra" sheetId="4" r:id="rId2"/>
    <sheet name="Ejecucion mensual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4" i="4" l="1"/>
  <c r="I234" i="4" s="1"/>
  <c r="H211" i="4"/>
  <c r="I686" i="4"/>
  <c r="I685" i="4"/>
  <c r="K577" i="4"/>
  <c r="I684" i="4"/>
  <c r="I683" i="4"/>
  <c r="H37" i="4"/>
  <c r="C4" i="10" l="1"/>
  <c r="D4" i="10" s="1"/>
  <c r="C3" i="10"/>
  <c r="C2" i="10"/>
  <c r="D2" i="10" s="1"/>
  <c r="D5" i="10"/>
  <c r="D6" i="10"/>
  <c r="D7" i="10"/>
  <c r="D8" i="10"/>
  <c r="D9" i="10"/>
  <c r="H682" i="4"/>
  <c r="I682" i="4" s="1"/>
  <c r="H681" i="4"/>
  <c r="I681" i="4" s="1"/>
  <c r="H680" i="4"/>
  <c r="I680" i="4" s="1"/>
  <c r="H679" i="4"/>
  <c r="I679" i="4" s="1"/>
  <c r="H678" i="4"/>
  <c r="I678" i="4" s="1"/>
  <c r="H677" i="4"/>
  <c r="I677" i="4" s="1"/>
  <c r="H676" i="4"/>
  <c r="I676" i="4" s="1"/>
  <c r="H675" i="4"/>
  <c r="I675" i="4" s="1"/>
  <c r="H674" i="4"/>
  <c r="I674" i="4" s="1"/>
  <c r="H673" i="4"/>
  <c r="I673" i="4" s="1"/>
  <c r="H672" i="4"/>
  <c r="I672" i="4" s="1"/>
  <c r="H671" i="4"/>
  <c r="I671" i="4" s="1"/>
  <c r="H670" i="4"/>
  <c r="I670" i="4" s="1"/>
  <c r="H669" i="4"/>
  <c r="I669" i="4" s="1"/>
  <c r="H668" i="4"/>
  <c r="I668" i="4" s="1"/>
  <c r="H667" i="4"/>
  <c r="I667" i="4" s="1"/>
  <c r="H661" i="4"/>
  <c r="I661" i="4" s="1"/>
  <c r="H660" i="4"/>
  <c r="I660" i="4" s="1"/>
  <c r="H659" i="4"/>
  <c r="I659" i="4" s="1"/>
  <c r="H658" i="4"/>
  <c r="I658" i="4" s="1"/>
  <c r="H657" i="4"/>
  <c r="I657" i="4" s="1"/>
  <c r="H642" i="4"/>
  <c r="I642" i="4" s="1"/>
  <c r="H641" i="4"/>
  <c r="I641" i="4" s="1"/>
  <c r="H640" i="4"/>
  <c r="I640" i="4" s="1"/>
  <c r="H639" i="4"/>
  <c r="I639" i="4" s="1"/>
  <c r="H638" i="4"/>
  <c r="I638" i="4" s="1"/>
  <c r="H633" i="4"/>
  <c r="I633" i="4" s="1"/>
  <c r="H407" i="4"/>
  <c r="I407" i="4" s="1"/>
  <c r="H240" i="4"/>
  <c r="I24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H21" i="4"/>
  <c r="I21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I37" i="4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9" i="4"/>
  <c r="I89" i="4" s="1"/>
  <c r="H90" i="4"/>
  <c r="J90" i="4" s="1"/>
  <c r="K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2" i="4"/>
  <c r="I142" i="4" s="1"/>
  <c r="H143" i="4"/>
  <c r="I143" i="4" s="1"/>
  <c r="H144" i="4"/>
  <c r="I144" i="4" s="1"/>
  <c r="H145" i="4"/>
  <c r="I145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J203" i="4" s="1"/>
  <c r="H204" i="4"/>
  <c r="I204" i="4" s="1"/>
  <c r="H205" i="4"/>
  <c r="I205" i="4" s="1"/>
  <c r="H206" i="4"/>
  <c r="I206" i="4" s="1"/>
  <c r="H208" i="4"/>
  <c r="I208" i="4" s="1"/>
  <c r="H209" i="4"/>
  <c r="I209" i="4" s="1"/>
  <c r="I211" i="4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5" i="4"/>
  <c r="I235" i="4" s="1"/>
  <c r="H236" i="4"/>
  <c r="I236" i="4" s="1"/>
  <c r="H237" i="4"/>
  <c r="I237" i="4" s="1"/>
  <c r="H238" i="4"/>
  <c r="I238" i="4" s="1"/>
  <c r="H239" i="4"/>
  <c r="I239" i="4" s="1"/>
  <c r="H241" i="4"/>
  <c r="I241" i="4" s="1"/>
  <c r="H243" i="4"/>
  <c r="I243" i="4" s="1"/>
  <c r="H244" i="4"/>
  <c r="I244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J354" i="4" s="1"/>
  <c r="K354" i="4" s="1"/>
  <c r="H355" i="4"/>
  <c r="J355" i="4" s="1"/>
  <c r="H356" i="4"/>
  <c r="I356" i="4" s="1"/>
  <c r="H357" i="4"/>
  <c r="I357" i="4" s="1"/>
  <c r="H359" i="4"/>
  <c r="I359" i="4" s="1"/>
  <c r="H360" i="4"/>
  <c r="I360" i="4" s="1"/>
  <c r="H361" i="4"/>
  <c r="I361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J433" i="4" s="1"/>
  <c r="H434" i="4"/>
  <c r="I434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7" i="4"/>
  <c r="I557" i="4" s="1"/>
  <c r="H558" i="4"/>
  <c r="I558" i="4" s="1"/>
  <c r="H559" i="4"/>
  <c r="I559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0" i="4"/>
  <c r="I570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H578" i="4"/>
  <c r="I578" i="4" s="1"/>
  <c r="H579" i="4"/>
  <c r="I579" i="4" s="1"/>
  <c r="H580" i="4"/>
  <c r="I580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2" i="4"/>
  <c r="I592" i="4" s="1"/>
  <c r="H593" i="4"/>
  <c r="I593" i="4" s="1"/>
  <c r="H594" i="4"/>
  <c r="I594" i="4" s="1"/>
  <c r="H595" i="4"/>
  <c r="I595" i="4" s="1"/>
  <c r="H596" i="4"/>
  <c r="I596" i="4" s="1"/>
  <c r="H597" i="4"/>
  <c r="I597" i="4" s="1"/>
  <c r="H599" i="4"/>
  <c r="I599" i="4" s="1"/>
  <c r="H600" i="4"/>
  <c r="I600" i="4" s="1"/>
  <c r="H601" i="4"/>
  <c r="I601" i="4" s="1"/>
  <c r="H602" i="4"/>
  <c r="J602" i="4" s="1"/>
  <c r="K602" i="4" s="1"/>
  <c r="H603" i="4"/>
  <c r="I603" i="4" s="1"/>
  <c r="H604" i="4"/>
  <c r="I604" i="4" s="1"/>
  <c r="H605" i="4"/>
  <c r="I605" i="4" s="1"/>
  <c r="H606" i="4"/>
  <c r="I606" i="4" s="1"/>
  <c r="H607" i="4"/>
  <c r="H608" i="4"/>
  <c r="I608" i="4" s="1"/>
  <c r="H609" i="4"/>
  <c r="I609" i="4" s="1"/>
  <c r="H610" i="4"/>
  <c r="H611" i="4"/>
  <c r="H612" i="4"/>
  <c r="H613" i="4"/>
  <c r="H614" i="4"/>
  <c r="H615" i="4"/>
  <c r="H617" i="4"/>
  <c r="H618" i="4"/>
  <c r="H619" i="4"/>
  <c r="H622" i="4"/>
  <c r="H623" i="4"/>
  <c r="H624" i="4"/>
  <c r="H625" i="4"/>
  <c r="I625" i="4" s="1"/>
  <c r="H626" i="4"/>
  <c r="H627" i="4"/>
  <c r="H629" i="4"/>
  <c r="H630" i="4"/>
  <c r="H631" i="4"/>
  <c r="H634" i="4"/>
  <c r="H635" i="4"/>
  <c r="H636" i="4"/>
  <c r="H637" i="4"/>
  <c r="H643" i="4"/>
  <c r="I643" i="4" s="1"/>
  <c r="H644" i="4"/>
  <c r="I644" i="4" s="1"/>
  <c r="H645" i="4"/>
  <c r="I645" i="4" s="1"/>
  <c r="H646" i="4"/>
  <c r="I646" i="4" s="1"/>
  <c r="H647" i="4"/>
  <c r="I647" i="4" s="1"/>
  <c r="H648" i="4"/>
  <c r="I648" i="4" s="1"/>
  <c r="H649" i="4"/>
  <c r="H650" i="4"/>
  <c r="I650" i="4" s="1"/>
  <c r="H651" i="4"/>
  <c r="I651" i="4" s="1"/>
  <c r="H652" i="4"/>
  <c r="I652" i="4" s="1"/>
  <c r="H653" i="4"/>
  <c r="I653" i="4" s="1"/>
  <c r="H654" i="4"/>
  <c r="I654" i="4" s="1"/>
  <c r="H655" i="4"/>
  <c r="I655" i="4" s="1"/>
  <c r="H656" i="4"/>
  <c r="I656" i="4" s="1"/>
  <c r="H662" i="4"/>
  <c r="H663" i="4"/>
  <c r="H664" i="4"/>
  <c r="H665" i="4"/>
  <c r="I665" i="4" s="1"/>
  <c r="H666" i="4"/>
  <c r="I666" i="4" s="1"/>
  <c r="F2" i="4"/>
  <c r="F362" i="4"/>
  <c r="H362" i="4" s="1"/>
  <c r="I362" i="4" s="1"/>
  <c r="G598" i="4"/>
  <c r="H598" i="4" s="1"/>
  <c r="I598" i="4" s="1"/>
  <c r="F632" i="4"/>
  <c r="H632" i="4" s="1"/>
  <c r="K655" i="4"/>
  <c r="K654" i="4"/>
  <c r="K650" i="4"/>
  <c r="K649" i="4"/>
  <c r="K605" i="4"/>
  <c r="K433" i="4"/>
  <c r="K432" i="4"/>
  <c r="K429" i="4"/>
  <c r="K408" i="4"/>
  <c r="K398" i="4"/>
  <c r="K384" i="4"/>
  <c r="K355" i="4"/>
  <c r="K341" i="4"/>
  <c r="K334" i="4"/>
  <c r="K330" i="4"/>
  <c r="K316" i="4"/>
  <c r="K308" i="4"/>
  <c r="K307" i="4"/>
  <c r="K257" i="4"/>
  <c r="K254" i="4"/>
  <c r="K238" i="4"/>
  <c r="K213" i="4"/>
  <c r="K203" i="4"/>
  <c r="K202" i="4"/>
  <c r="K193" i="4"/>
  <c r="K187" i="4"/>
  <c r="K186" i="4"/>
  <c r="K182" i="4"/>
  <c r="K168" i="4"/>
  <c r="K165" i="4"/>
  <c r="K148" i="4"/>
  <c r="K145" i="4"/>
  <c r="K141" i="4"/>
  <c r="K138" i="4"/>
  <c r="K137" i="4"/>
  <c r="K136" i="4"/>
  <c r="K134" i="4"/>
  <c r="K133" i="4"/>
  <c r="K132" i="4"/>
  <c r="K126" i="4"/>
  <c r="K76" i="4"/>
  <c r="K14" i="4"/>
  <c r="F132" i="4"/>
  <c r="H132" i="4" s="1"/>
  <c r="I132" i="4" s="1"/>
  <c r="F88" i="4"/>
  <c r="H88" i="4" s="1"/>
  <c r="I88" i="4" s="1"/>
  <c r="E20" i="4"/>
  <c r="G296" i="4"/>
  <c r="H296" i="4" s="1"/>
  <c r="I296" i="4" s="1"/>
  <c r="F56" i="4"/>
  <c r="H56" i="4" s="1"/>
  <c r="I56" i="4" s="1"/>
  <c r="H3" i="4"/>
  <c r="I3" i="4" s="1"/>
  <c r="H4" i="4"/>
  <c r="I4" i="4" s="1"/>
  <c r="H5" i="4"/>
  <c r="I5" i="4" s="1"/>
  <c r="H6" i="4"/>
  <c r="I6" i="4" s="1"/>
  <c r="H7" i="4"/>
  <c r="I7" i="4" s="1"/>
  <c r="E30" i="4"/>
  <c r="G560" i="4"/>
  <c r="H560" i="4" s="1"/>
  <c r="I560" i="4" s="1"/>
  <c r="J577" i="4" l="1"/>
  <c r="I577" i="4"/>
  <c r="I30" i="4"/>
  <c r="D3" i="10"/>
  <c r="I20" i="4"/>
  <c r="I203" i="4"/>
  <c r="J333" i="4"/>
  <c r="K333" i="4" s="1"/>
  <c r="I602" i="4"/>
  <c r="I354" i="4"/>
  <c r="J431" i="4"/>
  <c r="K431" i="4" s="1"/>
  <c r="J401" i="4"/>
  <c r="K401" i="4" s="1"/>
  <c r="I433" i="4"/>
  <c r="J436" i="4"/>
  <c r="K436" i="4" s="1"/>
  <c r="I90" i="4"/>
  <c r="J136" i="4"/>
  <c r="I355" i="4"/>
  <c r="J607" i="4"/>
  <c r="K607" i="4" s="1"/>
  <c r="I607" i="4"/>
  <c r="J20" i="4"/>
  <c r="K20" i="4" s="1"/>
  <c r="J353" i="4"/>
  <c r="K353" i="4" s="1"/>
  <c r="J317" i="4"/>
  <c r="K317" i="4" s="1"/>
  <c r="J144" i="4"/>
  <c r="K144" i="4" s="1"/>
  <c r="J214" i="4"/>
  <c r="K214" i="4" s="1"/>
  <c r="J400" i="4"/>
  <c r="K400" i="4" s="1"/>
  <c r="J652" i="4"/>
  <c r="K652" i="4" s="1"/>
  <c r="J428" i="4"/>
  <c r="K428" i="4" s="1"/>
  <c r="J429" i="4"/>
  <c r="J256" i="4"/>
  <c r="K256" i="4" s="1"/>
  <c r="J357" i="4"/>
  <c r="K357" i="4" s="1"/>
  <c r="J644" i="4"/>
  <c r="K644" i="4" s="1"/>
  <c r="J335" i="4"/>
  <c r="K335" i="4" s="1"/>
  <c r="J257" i="4"/>
  <c r="J191" i="4"/>
  <c r="K191" i="4" s="1"/>
  <c r="J153" i="4"/>
  <c r="K153" i="4" s="1"/>
  <c r="J154" i="4"/>
  <c r="K154" i="4" s="1"/>
  <c r="J255" i="4"/>
  <c r="K255" i="4" s="1"/>
  <c r="J653" i="4"/>
  <c r="K653" i="4" s="1"/>
  <c r="J93" i="4"/>
  <c r="K93" i="4" s="1"/>
  <c r="J319" i="4"/>
  <c r="K319" i="4" s="1"/>
  <c r="J437" i="4"/>
  <c r="K437" i="4" s="1"/>
  <c r="J654" i="4"/>
  <c r="J13" i="4"/>
  <c r="K13" i="4" s="1"/>
  <c r="J321" i="4"/>
  <c r="K321" i="4" s="1"/>
  <c r="J409" i="4"/>
  <c r="K409" i="4" s="1"/>
  <c r="J14" i="4"/>
  <c r="J126" i="4"/>
  <c r="J142" i="4"/>
  <c r="K142" i="4" s="1"/>
  <c r="J170" i="4"/>
  <c r="K170" i="4" s="1"/>
  <c r="J213" i="4"/>
  <c r="J268" i="4"/>
  <c r="K268" i="4" s="1"/>
  <c r="J363" i="4"/>
  <c r="K363" i="4" s="1"/>
  <c r="J427" i="4"/>
  <c r="K427" i="4" s="1"/>
  <c r="J604" i="4"/>
  <c r="K604" i="4" s="1"/>
  <c r="J155" i="4"/>
  <c r="K155" i="4" s="1"/>
  <c r="J318" i="4"/>
  <c r="K318" i="4" s="1"/>
  <c r="J303" i="4"/>
  <c r="K303" i="4" s="1"/>
  <c r="J307" i="4"/>
  <c r="J382" i="4"/>
  <c r="K382" i="4" s="1"/>
  <c r="J17" i="4"/>
  <c r="K17" i="4" s="1"/>
  <c r="J62" i="4"/>
  <c r="K62" i="4" s="1"/>
  <c r="J134" i="4"/>
  <c r="J187" i="4"/>
  <c r="J248" i="4"/>
  <c r="K248" i="4" s="1"/>
  <c r="J308" i="4"/>
  <c r="J384" i="4"/>
  <c r="J91" i="4"/>
  <c r="K91" i="4" s="1"/>
  <c r="J402" i="4"/>
  <c r="K402" i="4" s="1"/>
  <c r="J378" i="4"/>
  <c r="K378" i="4" s="1"/>
  <c r="J16" i="4"/>
  <c r="K16" i="4" s="1"/>
  <c r="J186" i="4"/>
  <c r="J147" i="4"/>
  <c r="K147" i="4" s="1"/>
  <c r="J383" i="4"/>
  <c r="K383" i="4" s="1"/>
  <c r="J608" i="4"/>
  <c r="K608" i="4" s="1"/>
  <c r="J71" i="4"/>
  <c r="K71" i="4" s="1"/>
  <c r="J150" i="4"/>
  <c r="K150" i="4" s="1"/>
  <c r="J249" i="4"/>
  <c r="K249" i="4" s="1"/>
  <c r="J342" i="4"/>
  <c r="K342" i="4" s="1"/>
  <c r="J432" i="4"/>
  <c r="J76" i="4"/>
  <c r="J135" i="4"/>
  <c r="K135" i="4" s="1"/>
  <c r="J152" i="4"/>
  <c r="K152" i="4" s="1"/>
  <c r="J188" i="4"/>
  <c r="K188" i="4" s="1"/>
  <c r="J254" i="4"/>
  <c r="J316" i="4"/>
  <c r="J352" i="4"/>
  <c r="K352" i="4" s="1"/>
  <c r="J650" i="4"/>
  <c r="J396" i="4"/>
  <c r="K396" i="4" s="1"/>
  <c r="J98" i="4"/>
  <c r="K98" i="4" s="1"/>
  <c r="J270" i="4"/>
  <c r="K270" i="4" s="1"/>
  <c r="J100" i="4"/>
  <c r="K100" i="4" s="1"/>
  <c r="J271" i="4"/>
  <c r="K271" i="4" s="1"/>
  <c r="J380" i="4"/>
  <c r="K380" i="4" s="1"/>
  <c r="J438" i="4"/>
  <c r="K438" i="4" s="1"/>
  <c r="J450" i="4"/>
  <c r="K450" i="4" s="1"/>
  <c r="J651" i="4"/>
  <c r="K651" i="4" s="1"/>
  <c r="J179" i="4"/>
  <c r="K179" i="4" s="1"/>
  <c r="J439" i="4"/>
  <c r="K439" i="4" s="1"/>
  <c r="J643" i="4"/>
  <c r="K643" i="4" s="1"/>
  <c r="J15" i="4"/>
  <c r="K15" i="4" s="1"/>
  <c r="J137" i="4"/>
  <c r="J272" i="4"/>
  <c r="K272" i="4" s="1"/>
  <c r="J309" i="4"/>
  <c r="K309" i="4" s="1"/>
  <c r="J341" i="4"/>
  <c r="J181" i="4"/>
  <c r="K181" i="4" s="1"/>
  <c r="J215" i="4"/>
  <c r="K215" i="4" s="1"/>
  <c r="J310" i="4"/>
  <c r="K310" i="4" s="1"/>
  <c r="J454" i="4"/>
  <c r="K454" i="4" s="1"/>
  <c r="J18" i="4"/>
  <c r="K18" i="4" s="1"/>
  <c r="J132" i="4"/>
  <c r="J160" i="4"/>
  <c r="K160" i="4" s="1"/>
  <c r="J192" i="4"/>
  <c r="K192" i="4" s="1"/>
  <c r="J216" i="4"/>
  <c r="K216" i="4" s="1"/>
  <c r="J258" i="4"/>
  <c r="K258" i="4" s="1"/>
  <c r="J294" i="4"/>
  <c r="K294" i="4" s="1"/>
  <c r="J312" i="4"/>
  <c r="K312" i="4" s="1"/>
  <c r="J330" i="4"/>
  <c r="J343" i="4"/>
  <c r="K343" i="4" s="1"/>
  <c r="J374" i="4"/>
  <c r="K374" i="4" s="1"/>
  <c r="J406" i="4"/>
  <c r="K406" i="4" s="1"/>
  <c r="J443" i="4"/>
  <c r="K443" i="4" s="1"/>
  <c r="J455" i="4"/>
  <c r="K455" i="4" s="1"/>
  <c r="J646" i="4"/>
  <c r="K646" i="4" s="1"/>
  <c r="J655" i="4"/>
  <c r="J447" i="4"/>
  <c r="K447" i="4" s="1"/>
  <c r="J269" i="4"/>
  <c r="K269" i="4" s="1"/>
  <c r="J448" i="4"/>
  <c r="K448" i="4" s="1"/>
  <c r="J177" i="4"/>
  <c r="K177" i="4" s="1"/>
  <c r="J609" i="4"/>
  <c r="K609" i="4" s="1"/>
  <c r="J178" i="4"/>
  <c r="K178" i="4" s="1"/>
  <c r="J109" i="4"/>
  <c r="K109" i="4" s="1"/>
  <c r="J451" i="4"/>
  <c r="K451" i="4" s="1"/>
  <c r="J180" i="4"/>
  <c r="K180" i="4" s="1"/>
  <c r="J430" i="4"/>
  <c r="K430" i="4" s="1"/>
  <c r="J452" i="4"/>
  <c r="K452" i="4" s="1"/>
  <c r="J280" i="4"/>
  <c r="K280" i="4" s="1"/>
  <c r="J361" i="4"/>
  <c r="K361" i="4" s="1"/>
  <c r="J441" i="4"/>
  <c r="K441" i="4" s="1"/>
  <c r="J603" i="4"/>
  <c r="K603" i="4" s="1"/>
  <c r="J158" i="4"/>
  <c r="K158" i="4" s="1"/>
  <c r="J182" i="4"/>
  <c r="J442" i="4"/>
  <c r="K442" i="4" s="1"/>
  <c r="J645" i="4"/>
  <c r="K645" i="4" s="1"/>
  <c r="J19" i="4"/>
  <c r="K19" i="4" s="1"/>
  <c r="J139" i="4"/>
  <c r="K139" i="4" s="1"/>
  <c r="J148" i="4"/>
  <c r="J165" i="4"/>
  <c r="J183" i="4"/>
  <c r="K183" i="4" s="1"/>
  <c r="J193" i="4"/>
  <c r="J225" i="4"/>
  <c r="K225" i="4" s="1"/>
  <c r="J260" i="4"/>
  <c r="K260" i="4" s="1"/>
  <c r="J296" i="4"/>
  <c r="K296" i="4" s="1"/>
  <c r="J313" i="4"/>
  <c r="K313" i="4" s="1"/>
  <c r="J375" i="4"/>
  <c r="K375" i="4" s="1"/>
  <c r="J388" i="4"/>
  <c r="K388" i="4" s="1"/>
  <c r="J444" i="4"/>
  <c r="K444" i="4" s="1"/>
  <c r="J456" i="4"/>
  <c r="K456" i="4" s="1"/>
  <c r="J605" i="4"/>
  <c r="J647" i="4"/>
  <c r="K647" i="4" s="1"/>
  <c r="J97" i="4"/>
  <c r="K97" i="4" s="1"/>
  <c r="J151" i="4"/>
  <c r="K151" i="4" s="1"/>
  <c r="J334" i="4"/>
  <c r="J449" i="4"/>
  <c r="K449" i="4" s="1"/>
  <c r="J143" i="4"/>
  <c r="K143" i="4" s="1"/>
  <c r="J600" i="4"/>
  <c r="K600" i="4" s="1"/>
  <c r="J381" i="4"/>
  <c r="K381" i="4" s="1"/>
  <c r="J601" i="4"/>
  <c r="K601" i="4" s="1"/>
  <c r="J189" i="4"/>
  <c r="K189" i="4" s="1"/>
  <c r="J440" i="4"/>
  <c r="K440" i="4" s="1"/>
  <c r="J289" i="4"/>
  <c r="K289" i="4" s="1"/>
  <c r="J327" i="4"/>
  <c r="K327" i="4" s="1"/>
  <c r="J94" i="4"/>
  <c r="K94" i="4" s="1"/>
  <c r="J133" i="4"/>
  <c r="J140" i="4"/>
  <c r="K140" i="4" s="1"/>
  <c r="J184" i="4"/>
  <c r="K184" i="4" s="1"/>
  <c r="J238" i="4"/>
  <c r="J261" i="4"/>
  <c r="K261" i="4" s="1"/>
  <c r="J314" i="4"/>
  <c r="K314" i="4" s="1"/>
  <c r="J331" i="4"/>
  <c r="K331" i="4" s="1"/>
  <c r="J348" i="4"/>
  <c r="K348" i="4" s="1"/>
  <c r="J376" i="4"/>
  <c r="K376" i="4" s="1"/>
  <c r="J408" i="4"/>
  <c r="J445" i="4"/>
  <c r="K445" i="4" s="1"/>
  <c r="J457" i="4"/>
  <c r="K457" i="4" s="1"/>
  <c r="J648" i="4"/>
  <c r="K648" i="4" s="1"/>
  <c r="J656" i="4"/>
  <c r="K656" i="4" s="1"/>
  <c r="J96" i="4"/>
  <c r="K96" i="4" s="1"/>
  <c r="J475" i="4"/>
  <c r="K475" i="4" s="1"/>
  <c r="J379" i="4"/>
  <c r="K379" i="4" s="1"/>
  <c r="J476" i="4"/>
  <c r="K476" i="4" s="1"/>
  <c r="J145" i="4"/>
  <c r="J190" i="4"/>
  <c r="K190" i="4" s="1"/>
  <c r="J453" i="4"/>
  <c r="K453" i="4" s="1"/>
  <c r="J138" i="4"/>
  <c r="J311" i="4"/>
  <c r="K311" i="4" s="1"/>
  <c r="J56" i="4"/>
  <c r="K56" i="4" s="1"/>
  <c r="J149" i="4"/>
  <c r="K149" i="4" s="1"/>
  <c r="J168" i="4"/>
  <c r="J185" i="4"/>
  <c r="K185" i="4" s="1"/>
  <c r="J202" i="4"/>
  <c r="J262" i="4"/>
  <c r="K262" i="4" s="1"/>
  <c r="J298" i="4"/>
  <c r="K298" i="4" s="1"/>
  <c r="J315" i="4"/>
  <c r="K315" i="4" s="1"/>
  <c r="J332" i="4"/>
  <c r="K332" i="4" s="1"/>
  <c r="J351" i="4"/>
  <c r="K351" i="4" s="1"/>
  <c r="J377" i="4"/>
  <c r="K377" i="4" s="1"/>
  <c r="J395" i="4"/>
  <c r="K395" i="4" s="1"/>
  <c r="J434" i="4"/>
  <c r="K434" i="4" s="1"/>
  <c r="J446" i="4"/>
  <c r="K446" i="4" s="1"/>
  <c r="J458" i="4"/>
  <c r="K458" i="4" s="1"/>
  <c r="J606" i="4"/>
  <c r="K606" i="4" s="1"/>
  <c r="I637" i="4"/>
  <c r="I636" i="4" l="1"/>
  <c r="K599" i="4"/>
  <c r="J599" i="4"/>
  <c r="K598" i="4"/>
  <c r="J422" i="4"/>
  <c r="K422" i="4" s="1"/>
  <c r="J266" i="4"/>
  <c r="K266" i="4" s="1"/>
  <c r="J339" i="4"/>
  <c r="K339" i="4" s="1"/>
  <c r="J236" i="4"/>
  <c r="K236" i="4" s="1"/>
  <c r="K597" i="4"/>
  <c r="J597" i="4"/>
  <c r="J287" i="4"/>
  <c r="K287" i="4" s="1"/>
  <c r="J161" i="4"/>
  <c r="K161" i="4" s="1"/>
  <c r="J297" i="4"/>
  <c r="K297" i="4" s="1"/>
  <c r="K596" i="4"/>
  <c r="J291" i="4"/>
  <c r="K291" i="4" s="1"/>
  <c r="K595" i="4"/>
  <c r="K594" i="4"/>
  <c r="J594" i="4"/>
  <c r="J235" i="4"/>
  <c r="K235" i="4" s="1"/>
  <c r="J227" i="4"/>
  <c r="K227" i="4" s="1"/>
  <c r="K593" i="4"/>
  <c r="K592" i="4"/>
  <c r="J592" i="4"/>
  <c r="K591" i="4"/>
  <c r="J591" i="4"/>
  <c r="J411" i="4"/>
  <c r="K411" i="4" s="1"/>
  <c r="K590" i="4"/>
  <c r="K589" i="4"/>
  <c r="J360" i="4"/>
  <c r="K360" i="4" s="1"/>
  <c r="K588" i="4"/>
  <c r="J588" i="4"/>
  <c r="K587" i="4"/>
  <c r="J587" i="4"/>
  <c r="J74" i="4"/>
  <c r="K74" i="4" s="1"/>
  <c r="K586" i="4"/>
  <c r="K585" i="4"/>
  <c r="K584" i="4"/>
  <c r="J54" i="4"/>
  <c r="K54" i="4" s="1"/>
  <c r="K583" i="4"/>
  <c r="K582" i="4"/>
  <c r="J582" i="4"/>
  <c r="J83" i="4"/>
  <c r="K83" i="4" s="1"/>
  <c r="J340" i="4"/>
  <c r="K340" i="4" s="1"/>
  <c r="J50" i="4"/>
  <c r="K50" i="4" s="1"/>
  <c r="K581" i="4"/>
  <c r="F581" i="4"/>
  <c r="K580" i="4"/>
  <c r="J198" i="4"/>
  <c r="K198" i="4" s="1"/>
  <c r="J285" i="4"/>
  <c r="K285" i="4" s="1"/>
  <c r="J284" i="4"/>
  <c r="K284" i="4" s="1"/>
  <c r="J217" i="4"/>
  <c r="K217" i="4" s="1"/>
  <c r="J392" i="4"/>
  <c r="K392" i="4" s="1"/>
  <c r="K579" i="4"/>
  <c r="J325" i="4"/>
  <c r="K325" i="4" s="1"/>
  <c r="J421" i="4"/>
  <c r="K421" i="4" s="1"/>
  <c r="K578" i="4"/>
  <c r="J578" i="4"/>
  <c r="J211" i="4"/>
  <c r="K211" i="4" s="1"/>
  <c r="J234" i="4"/>
  <c r="K234" i="4" s="1"/>
  <c r="J68" i="4"/>
  <c r="K68" i="4" s="1"/>
  <c r="J267" i="4"/>
  <c r="K267" i="4" s="1"/>
  <c r="K576" i="4"/>
  <c r="J221" i="4"/>
  <c r="K221" i="4" s="1"/>
  <c r="K575" i="4"/>
  <c r="J575" i="4"/>
  <c r="J253" i="4"/>
  <c r="K253" i="4" s="1"/>
  <c r="K574" i="4"/>
  <c r="K573" i="4"/>
  <c r="J573" i="4"/>
  <c r="K572" i="4"/>
  <c r="K571" i="4"/>
  <c r="J571" i="4"/>
  <c r="K570" i="4"/>
  <c r="K569" i="4"/>
  <c r="J23" i="4"/>
  <c r="K23" i="4" s="1"/>
  <c r="K568" i="4"/>
  <c r="K567" i="4"/>
  <c r="K566" i="4"/>
  <c r="K565" i="4"/>
  <c r="J565" i="4"/>
  <c r="H2" i="4"/>
  <c r="I2" i="4" s="1"/>
  <c r="K564" i="4"/>
  <c r="K563" i="4"/>
  <c r="K562" i="4"/>
  <c r="J55" i="4"/>
  <c r="K55" i="4" s="1"/>
  <c r="K561" i="4"/>
  <c r="K630" i="4"/>
  <c r="I630" i="4"/>
  <c r="J367" i="4"/>
  <c r="K367" i="4" s="1"/>
  <c r="K560" i="4"/>
  <c r="J277" i="4"/>
  <c r="K277" i="4" s="1"/>
  <c r="K559" i="4"/>
  <c r="J559" i="4"/>
  <c r="K558" i="4"/>
  <c r="J61" i="4"/>
  <c r="K61" i="4" s="1"/>
  <c r="K557" i="4"/>
  <c r="J557" i="4"/>
  <c r="J247" i="4"/>
  <c r="K247" i="4" s="1"/>
  <c r="J386" i="4"/>
  <c r="K386" i="4" s="1"/>
  <c r="J404" i="4"/>
  <c r="K404" i="4" s="1"/>
  <c r="J264" i="4"/>
  <c r="K264" i="4" s="1"/>
  <c r="J556" i="4"/>
  <c r="K556" i="4" s="1"/>
  <c r="K555" i="4"/>
  <c r="J555" i="4"/>
  <c r="K554" i="4"/>
  <c r="J554" i="4"/>
  <c r="K553" i="4"/>
  <c r="K552" i="4"/>
  <c r="K551" i="4"/>
  <c r="K550" i="4"/>
  <c r="K549" i="4"/>
  <c r="K548" i="4"/>
  <c r="J548" i="4"/>
  <c r="K547" i="4"/>
  <c r="J419" i="4"/>
  <c r="K419" i="4" s="1"/>
  <c r="G169" i="4"/>
  <c r="K546" i="4"/>
  <c r="K545" i="4"/>
  <c r="F628" i="4"/>
  <c r="H628" i="4" s="1"/>
  <c r="I628" i="4" s="1"/>
  <c r="K544" i="4"/>
  <c r="J544" i="4"/>
  <c r="K626" i="4"/>
  <c r="J626" i="4"/>
  <c r="K624" i="4"/>
  <c r="K627" i="4"/>
  <c r="J627" i="4"/>
  <c r="K105" i="4"/>
  <c r="K362" i="4"/>
  <c r="J197" i="4"/>
  <c r="K197" i="4" s="1"/>
  <c r="K231" i="4"/>
  <c r="J231" i="4"/>
  <c r="J389" i="4"/>
  <c r="K389" i="4" s="1"/>
  <c r="J208" i="4"/>
  <c r="K208" i="4" s="1"/>
  <c r="K537" i="4"/>
  <c r="J387" i="4"/>
  <c r="K387" i="4" s="1"/>
  <c r="J233" i="4"/>
  <c r="K233" i="4" s="1"/>
  <c r="K536" i="4"/>
  <c r="K535" i="4"/>
  <c r="K534" i="4"/>
  <c r="J534" i="4"/>
  <c r="J426" i="4"/>
  <c r="K426" i="4" s="1"/>
  <c r="K533" i="4"/>
  <c r="J533" i="4"/>
  <c r="K532" i="4"/>
  <c r="J532" i="4"/>
  <c r="K531" i="4"/>
  <c r="J531" i="4"/>
  <c r="K530" i="4"/>
  <c r="J530" i="4"/>
  <c r="I622" i="4"/>
  <c r="K529" i="4"/>
  <c r="J286" i="4"/>
  <c r="K286" i="4" s="1"/>
  <c r="J6" i="4"/>
  <c r="K6" i="4" s="1"/>
  <c r="K528" i="4"/>
  <c r="J528" i="4"/>
  <c r="F621" i="4"/>
  <c r="G620" i="4"/>
  <c r="H620" i="4" s="1"/>
  <c r="I620" i="4" s="1"/>
  <c r="K527" i="4"/>
  <c r="K526" i="4"/>
  <c r="K525" i="4"/>
  <c r="K524" i="4"/>
  <c r="J524" i="4"/>
  <c r="I619" i="4"/>
  <c r="K523" i="4"/>
  <c r="I618" i="4"/>
  <c r="K522" i="4"/>
  <c r="K521" i="4"/>
  <c r="I617" i="4"/>
  <c r="K520" i="4"/>
  <c r="F616" i="4"/>
  <c r="K519" i="4"/>
  <c r="K518" i="4"/>
  <c r="K517" i="4"/>
  <c r="K516" i="4"/>
  <c r="J516" i="4"/>
  <c r="K515" i="4"/>
  <c r="K514" i="4"/>
  <c r="J514" i="4"/>
  <c r="J252" i="4"/>
  <c r="K252" i="4" s="1"/>
  <c r="K513" i="4"/>
  <c r="J246" i="4"/>
  <c r="K246" i="4" s="1"/>
  <c r="K512" i="4"/>
  <c r="F9" i="4"/>
  <c r="H9" i="4" s="1"/>
  <c r="I9" i="4" s="1"/>
  <c r="K511" i="4"/>
  <c r="J511" i="4"/>
  <c r="K510" i="4"/>
  <c r="K509" i="4"/>
  <c r="J417" i="4"/>
  <c r="K417" i="4" s="1"/>
  <c r="K508" i="4"/>
  <c r="K507" i="4"/>
  <c r="K506" i="4"/>
  <c r="J196" i="4"/>
  <c r="K196" i="4" s="1"/>
  <c r="J241" i="4"/>
  <c r="K241" i="4" s="1"/>
  <c r="K505" i="4"/>
  <c r="J229" i="4"/>
  <c r="K229" i="4" s="1"/>
  <c r="I615" i="4"/>
  <c r="J328" i="4"/>
  <c r="K328" i="4" s="1"/>
  <c r="J89" i="4"/>
  <c r="K89" i="4" s="1"/>
  <c r="J42" i="4"/>
  <c r="K42" i="4" s="1"/>
  <c r="K504" i="4"/>
  <c r="J244" i="4"/>
  <c r="K244" i="4" s="1"/>
  <c r="K503" i="4"/>
  <c r="K502" i="4"/>
  <c r="F502" i="4"/>
  <c r="K501" i="4"/>
  <c r="K500" i="4"/>
  <c r="J500" i="4"/>
  <c r="K499" i="4"/>
  <c r="J372" i="4"/>
  <c r="K372" i="4" s="1"/>
  <c r="K498" i="4"/>
  <c r="J338" i="4"/>
  <c r="K338" i="4" s="1"/>
  <c r="J276" i="4"/>
  <c r="K276" i="4" s="1"/>
  <c r="F159" i="4"/>
  <c r="H159" i="4" s="1"/>
  <c r="I159" i="4" s="1"/>
  <c r="J12" i="4"/>
  <c r="K12" i="4" s="1"/>
  <c r="I614" i="4"/>
  <c r="J424" i="4"/>
  <c r="K424" i="4" s="1"/>
  <c r="J36" i="4"/>
  <c r="K36" i="4" s="1"/>
  <c r="F242" i="4"/>
  <c r="H242" i="4" s="1"/>
  <c r="I242" i="4" s="1"/>
  <c r="J391" i="4"/>
  <c r="K391" i="4" s="1"/>
  <c r="J293" i="4"/>
  <c r="K293" i="4" s="1"/>
  <c r="I613" i="4"/>
  <c r="J300" i="4"/>
  <c r="K300" i="4" s="1"/>
  <c r="J337" i="4"/>
  <c r="K337" i="4" s="1"/>
  <c r="K497" i="4"/>
  <c r="J77" i="4"/>
  <c r="K77" i="4" s="1"/>
  <c r="K496" i="4"/>
  <c r="K495" i="4"/>
  <c r="J495" i="4"/>
  <c r="J194" i="4"/>
  <c r="K194" i="4" s="1"/>
  <c r="K494" i="4"/>
  <c r="J79" i="4"/>
  <c r="K79" i="4" s="1"/>
  <c r="J410" i="4"/>
  <c r="K410" i="4" s="1"/>
  <c r="I612" i="4"/>
  <c r="K493" i="4"/>
  <c r="K492" i="4"/>
  <c r="K491" i="4"/>
  <c r="J491" i="4"/>
  <c r="K490" i="4"/>
  <c r="F210" i="4"/>
  <c r="H210" i="4" s="1"/>
  <c r="I210" i="4" s="1"/>
  <c r="K489" i="4"/>
  <c r="J489" i="4"/>
  <c r="J232" i="4"/>
  <c r="K232" i="4" s="1"/>
  <c r="K488" i="4"/>
  <c r="K487" i="4"/>
  <c r="F207" i="4"/>
  <c r="H207" i="4" s="1"/>
  <c r="I207" i="4" s="1"/>
  <c r="K486" i="4"/>
  <c r="K485" i="4"/>
  <c r="J274" i="4"/>
  <c r="K274" i="4" s="1"/>
  <c r="J21" i="4"/>
  <c r="K21" i="4" s="1"/>
  <c r="J306" i="4"/>
  <c r="K306" i="4" s="1"/>
  <c r="K484" i="4"/>
  <c r="J275" i="4"/>
  <c r="K275" i="4" s="1"/>
  <c r="G66" i="4"/>
  <c r="H66" i="4" s="1"/>
  <c r="I66" i="4" s="1"/>
  <c r="J482" i="4"/>
  <c r="K482" i="4" s="1"/>
  <c r="K664" i="4"/>
  <c r="I664" i="4"/>
  <c r="J251" i="4"/>
  <c r="K251" i="4" s="1"/>
  <c r="J413" i="4"/>
  <c r="K413" i="4" s="1"/>
  <c r="F358" i="4"/>
  <c r="H358" i="4" s="1"/>
  <c r="I358" i="4" s="1"/>
  <c r="J336" i="4"/>
  <c r="K336" i="4" s="1"/>
  <c r="J31" i="4"/>
  <c r="K31" i="4" s="1"/>
  <c r="J166" i="4"/>
  <c r="K166" i="4" s="1"/>
  <c r="K481" i="4"/>
  <c r="K480" i="4"/>
  <c r="J480" i="4"/>
  <c r="K479" i="4"/>
  <c r="F8" i="4"/>
  <c r="K478" i="4"/>
  <c r="J478" i="4"/>
  <c r="J45" i="4"/>
  <c r="K45" i="4" s="1"/>
  <c r="K477" i="4"/>
  <c r="J649" i="4"/>
  <c r="K474" i="4"/>
  <c r="J474" i="4"/>
  <c r="K473" i="4"/>
  <c r="J209" i="4"/>
  <c r="K209" i="4" s="1"/>
  <c r="G245" i="4"/>
  <c r="H245" i="4" s="1"/>
  <c r="I245" i="4" s="1"/>
  <c r="K472" i="4"/>
  <c r="K471" i="4"/>
  <c r="K470" i="4"/>
  <c r="K469" i="4"/>
  <c r="J5" i="4"/>
  <c r="K5" i="4" s="1"/>
  <c r="J3" i="4"/>
  <c r="K3" i="4" s="1"/>
  <c r="K468" i="4"/>
  <c r="J468" i="4"/>
  <c r="K467" i="4"/>
  <c r="K466" i="4"/>
  <c r="K465" i="4"/>
  <c r="J465" i="4"/>
  <c r="K464" i="4"/>
  <c r="K463" i="4"/>
  <c r="K462" i="4"/>
  <c r="K461" i="4"/>
  <c r="J461" i="4"/>
  <c r="K460" i="4"/>
  <c r="K459" i="4"/>
  <c r="J26" i="4"/>
  <c r="K26" i="4" s="1"/>
  <c r="F22" i="4"/>
  <c r="H22" i="4" s="1"/>
  <c r="I22" i="4" s="1"/>
  <c r="J237" i="4"/>
  <c r="K237" i="4" s="1"/>
  <c r="J398" i="4"/>
  <c r="F435" i="4"/>
  <c r="H435" i="4" s="1"/>
  <c r="I435" i="4" s="1"/>
  <c r="F146" i="4"/>
  <c r="H146" i="4" s="1"/>
  <c r="I146" i="4" s="1"/>
  <c r="G141" i="4"/>
  <c r="H141" i="4" s="1"/>
  <c r="I141" i="4" s="1"/>
  <c r="F113" i="4"/>
  <c r="H113" i="4" s="1"/>
  <c r="I113" i="4" s="1"/>
  <c r="F10" i="4"/>
  <c r="H10" i="4" s="1"/>
  <c r="I10" i="4" s="1"/>
  <c r="H621" i="4" l="1"/>
  <c r="I621" i="4" s="1"/>
  <c r="H169" i="4"/>
  <c r="I169" i="4" s="1"/>
  <c r="H502" i="4"/>
  <c r="I502" i="4" s="1"/>
  <c r="H581" i="4"/>
  <c r="I581" i="4" s="1"/>
  <c r="H616" i="4"/>
  <c r="I616" i="4" s="1"/>
  <c r="J141" i="4"/>
  <c r="J146" i="4"/>
  <c r="K146" i="4" s="1"/>
  <c r="J113" i="4"/>
  <c r="K113" i="4" s="1"/>
  <c r="J435" i="4"/>
  <c r="K435" i="4" s="1"/>
  <c r="J10" i="4"/>
  <c r="K10" i="4" s="1"/>
  <c r="I649" i="4"/>
  <c r="H8" i="4"/>
  <c r="I8" i="4" s="1"/>
  <c r="J104" i="4"/>
  <c r="K104" i="4" s="1"/>
  <c r="J111" i="4"/>
  <c r="K111" i="4" s="1"/>
  <c r="J128" i="4"/>
  <c r="K128" i="4" s="1"/>
  <c r="J108" i="4"/>
  <c r="K108" i="4" s="1"/>
  <c r="J112" i="4"/>
  <c r="K112" i="4" s="1"/>
  <c r="J121" i="4"/>
  <c r="K121" i="4" s="1"/>
  <c r="J123" i="4"/>
  <c r="K123" i="4" s="1"/>
  <c r="J102" i="4"/>
  <c r="K102" i="4" s="1"/>
  <c r="J130" i="4"/>
  <c r="K130" i="4" s="1"/>
  <c r="J543" i="4"/>
  <c r="K543" i="4" s="1"/>
  <c r="J560" i="4"/>
  <c r="J41" i="4"/>
  <c r="K41" i="4" s="1"/>
  <c r="J219" i="4"/>
  <c r="K219" i="4" s="1"/>
  <c r="J82" i="4"/>
  <c r="K82" i="4" s="1"/>
  <c r="J48" i="4"/>
  <c r="K48" i="4" s="1"/>
  <c r="J497" i="4"/>
  <c r="J69" i="4"/>
  <c r="K69" i="4" s="1"/>
  <c r="J329" i="4"/>
  <c r="K329" i="4" s="1"/>
  <c r="J51" i="4"/>
  <c r="K51" i="4" s="1"/>
  <c r="J263" i="4"/>
  <c r="K263" i="4" s="1"/>
  <c r="J172" i="4"/>
  <c r="K172" i="4" s="1"/>
  <c r="J46" i="4"/>
  <c r="K46" i="4" s="1"/>
  <c r="J11" i="4"/>
  <c r="K11" i="4" s="1"/>
  <c r="J28" i="4"/>
  <c r="K28" i="4" s="1"/>
  <c r="J390" i="4"/>
  <c r="K390" i="4" s="1"/>
  <c r="J549" i="4"/>
  <c r="J125" i="4"/>
  <c r="K125" i="4" s="1"/>
  <c r="J477" i="4"/>
  <c r="J106" i="4"/>
  <c r="K106" i="4" s="1"/>
  <c r="J288" i="4"/>
  <c r="K288" i="4" s="1"/>
  <c r="J29" i="4"/>
  <c r="K29" i="4" s="1"/>
  <c r="J405" i="4"/>
  <c r="K405" i="4" s="1"/>
  <c r="J545" i="4"/>
  <c r="J299" i="4"/>
  <c r="K299" i="4" s="1"/>
  <c r="J204" i="4"/>
  <c r="K204" i="4" s="1"/>
  <c r="J265" i="4"/>
  <c r="K265" i="4" s="1"/>
  <c r="J460" i="4"/>
  <c r="J664" i="4"/>
  <c r="J518" i="4"/>
  <c r="J92" i="4"/>
  <c r="K92" i="4" s="1"/>
  <c r="J563" i="4"/>
  <c r="J566" i="4"/>
  <c r="J412" i="4"/>
  <c r="K412" i="4" s="1"/>
  <c r="J230" i="4"/>
  <c r="K230" i="4" s="1"/>
  <c r="J550" i="4"/>
  <c r="J399" i="4"/>
  <c r="K399" i="4" s="1"/>
  <c r="J175" i="4"/>
  <c r="K175" i="4" s="1"/>
  <c r="J462" i="4"/>
  <c r="J78" i="4"/>
  <c r="K78" i="4" s="1"/>
  <c r="J117" i="4"/>
  <c r="K117" i="4" s="1"/>
  <c r="J226" i="4"/>
  <c r="K226" i="4" s="1"/>
  <c r="J486" i="4"/>
  <c r="J228" i="4"/>
  <c r="K228" i="4" s="1"/>
  <c r="J201" i="4"/>
  <c r="K201" i="4" s="1"/>
  <c r="J101" i="4"/>
  <c r="K101" i="4" s="1"/>
  <c r="J220" i="4"/>
  <c r="K220" i="4" s="1"/>
  <c r="J552" i="4"/>
  <c r="J576" i="4"/>
  <c r="J326" i="4"/>
  <c r="K326" i="4" s="1"/>
  <c r="J596" i="4"/>
  <c r="J218" i="4"/>
  <c r="K218" i="4" s="1"/>
  <c r="J471" i="4"/>
  <c r="J57" i="4"/>
  <c r="K57" i="4" s="1"/>
  <c r="J522" i="4"/>
  <c r="J27" i="4"/>
  <c r="K27" i="4" s="1"/>
  <c r="J546" i="4"/>
  <c r="J63" i="4"/>
  <c r="K63" i="4" s="1"/>
  <c r="J346" i="4"/>
  <c r="K346" i="4" s="1"/>
  <c r="J368" i="4"/>
  <c r="K368" i="4" s="1"/>
  <c r="J279" i="4"/>
  <c r="K279" i="4" s="1"/>
  <c r="J501" i="4"/>
  <c r="J519" i="4"/>
  <c r="J535" i="4"/>
  <c r="J562" i="4"/>
  <c r="J568" i="4"/>
  <c r="J199" i="4"/>
  <c r="K199" i="4" s="1"/>
  <c r="J583" i="4"/>
  <c r="J282" i="4"/>
  <c r="K282" i="4" s="1"/>
  <c r="J64" i="4"/>
  <c r="K64" i="4" s="1"/>
  <c r="J99" i="4"/>
  <c r="K99" i="4" s="1"/>
  <c r="J484" i="4"/>
  <c r="J359" i="4"/>
  <c r="K359" i="4" s="1"/>
  <c r="J323" i="4"/>
  <c r="K323" i="4" s="1"/>
  <c r="J39" i="4"/>
  <c r="K39" i="4" s="1"/>
  <c r="J574" i="4"/>
  <c r="J32" i="4"/>
  <c r="K32" i="4" s="1"/>
  <c r="J492" i="4"/>
  <c r="J205" i="4"/>
  <c r="K205" i="4" s="1"/>
  <c r="J87" i="4"/>
  <c r="K87" i="4" s="1"/>
  <c r="J119" i="4"/>
  <c r="K119" i="4" s="1"/>
  <c r="J116" i="4"/>
  <c r="K116" i="4" s="1"/>
  <c r="J70" i="4"/>
  <c r="K70" i="4" s="1"/>
  <c r="J570" i="4"/>
  <c r="J485" i="4"/>
  <c r="J37" i="4"/>
  <c r="K37" i="4" s="1"/>
  <c r="J122" i="4"/>
  <c r="K122" i="4" s="1"/>
  <c r="J356" i="4"/>
  <c r="K356" i="4" s="1"/>
  <c r="J517" i="4"/>
  <c r="J373" i="4"/>
  <c r="K373" i="4" s="1"/>
  <c r="J73" i="4"/>
  <c r="K73" i="4" s="1"/>
  <c r="J34" i="4"/>
  <c r="K34" i="4" s="1"/>
  <c r="J593" i="4"/>
  <c r="J22" i="4"/>
  <c r="K22" i="4" s="1"/>
  <c r="J65" i="4"/>
  <c r="K65" i="4" s="1"/>
  <c r="J295" i="4"/>
  <c r="K295" i="4" s="1"/>
  <c r="J200" i="4"/>
  <c r="K200" i="4" s="1"/>
  <c r="J49" i="4"/>
  <c r="K49" i="4" s="1"/>
  <c r="J114" i="4"/>
  <c r="K114" i="4" s="1"/>
  <c r="J85" i="4"/>
  <c r="K85" i="4" s="1"/>
  <c r="J33" i="4"/>
  <c r="K33" i="4" s="1"/>
  <c r="J84" i="4"/>
  <c r="K84" i="4" s="1"/>
  <c r="J547" i="4"/>
  <c r="J43" i="4"/>
  <c r="K43" i="4" s="1"/>
  <c r="J110" i="4"/>
  <c r="K110" i="4" s="1"/>
  <c r="J513" i="4"/>
  <c r="J665" i="4"/>
  <c r="K665" i="4" s="1"/>
  <c r="J365" i="4"/>
  <c r="K365" i="4" s="1"/>
  <c r="J290" i="4"/>
  <c r="K290" i="4" s="1"/>
  <c r="J364" i="4"/>
  <c r="K364" i="4" s="1"/>
  <c r="J393" i="4"/>
  <c r="K393" i="4" s="1"/>
  <c r="J515" i="4"/>
  <c r="J38" i="4"/>
  <c r="K38" i="4" s="1"/>
  <c r="J529" i="4"/>
  <c r="J564" i="4"/>
  <c r="J322" i="4"/>
  <c r="K322" i="4" s="1"/>
  <c r="J118" i="4"/>
  <c r="K118" i="4" s="1"/>
  <c r="J504" i="4"/>
  <c r="J536" i="4"/>
  <c r="J595" i="4"/>
  <c r="J40" i="4"/>
  <c r="K40" i="4" s="1"/>
  <c r="J162" i="4"/>
  <c r="K162" i="4" s="1"/>
  <c r="J167" i="4"/>
  <c r="K167" i="4" s="1"/>
  <c r="J470" i="4"/>
  <c r="J349" i="4"/>
  <c r="K349" i="4" s="1"/>
  <c r="J488" i="4"/>
  <c r="J305" i="4"/>
  <c r="K305" i="4" s="1"/>
  <c r="J558" i="4"/>
  <c r="J24" i="4"/>
  <c r="K24" i="4" s="1"/>
  <c r="J572" i="4"/>
  <c r="J579" i="4"/>
  <c r="J663" i="4"/>
  <c r="K663" i="4" s="1"/>
  <c r="I663" i="4"/>
  <c r="J174" i="4"/>
  <c r="K174" i="4" s="1"/>
  <c r="J127" i="4"/>
  <c r="K127" i="4" s="1"/>
  <c r="J473" i="4"/>
  <c r="J245" i="4"/>
  <c r="K245" i="4" s="1"/>
  <c r="J420" i="4"/>
  <c r="K420" i="4" s="1"/>
  <c r="J425" i="4"/>
  <c r="K425" i="4" s="1"/>
  <c r="J362" i="4"/>
  <c r="J551" i="4"/>
  <c r="J164" i="4"/>
  <c r="K164" i="4" s="1"/>
  <c r="J120" i="4"/>
  <c r="K120" i="4" s="1"/>
  <c r="J590" i="4"/>
  <c r="J212" i="4"/>
  <c r="K212" i="4" s="1"/>
  <c r="I626" i="4"/>
  <c r="J630" i="4"/>
  <c r="J58" i="4"/>
  <c r="K58" i="4" s="1"/>
  <c r="J584" i="4"/>
  <c r="J589" i="4"/>
  <c r="J350" i="4"/>
  <c r="K350" i="4" s="1"/>
  <c r="J416" i="4"/>
  <c r="K416" i="4" s="1"/>
  <c r="J224" i="4"/>
  <c r="K224" i="4" s="1"/>
  <c r="J512" i="4"/>
  <c r="J72" i="4"/>
  <c r="K72" i="4" s="1"/>
  <c r="J53" i="4"/>
  <c r="K53" i="4" s="1"/>
  <c r="J2" i="4"/>
  <c r="K2" i="4" s="1"/>
  <c r="J569" i="4"/>
  <c r="J324" i="4"/>
  <c r="K324" i="4" s="1"/>
  <c r="J176" i="4"/>
  <c r="K176" i="4" s="1"/>
  <c r="J561" i="4"/>
  <c r="J115" i="4"/>
  <c r="K115" i="4" s="1"/>
  <c r="J9" i="4"/>
  <c r="K9" i="4" s="1"/>
  <c r="J623" i="4"/>
  <c r="K623" i="4" s="1"/>
  <c r="I623" i="4"/>
  <c r="J371" i="4"/>
  <c r="K371" i="4" s="1"/>
  <c r="J466" i="4"/>
  <c r="J131" i="4"/>
  <c r="K131" i="4" s="1"/>
  <c r="J479" i="4"/>
  <c r="I662" i="4"/>
  <c r="J662" i="4"/>
  <c r="K662" i="4" s="1"/>
  <c r="J498" i="4"/>
  <c r="J508" i="4"/>
  <c r="J278" i="4"/>
  <c r="K278" i="4" s="1"/>
  <c r="J171" i="4"/>
  <c r="K171" i="4" s="1"/>
  <c r="J481" i="4"/>
  <c r="J487" i="4"/>
  <c r="J503" i="4"/>
  <c r="J75" i="4"/>
  <c r="K75" i="4" s="1"/>
  <c r="J415" i="4"/>
  <c r="K415" i="4" s="1"/>
  <c r="J283" i="4"/>
  <c r="K283" i="4" s="1"/>
  <c r="J464" i="4"/>
  <c r="J250" i="4"/>
  <c r="K250" i="4" s="1"/>
  <c r="J666" i="4"/>
  <c r="K666" i="4" s="1"/>
  <c r="J273" i="4"/>
  <c r="K273" i="4" s="1"/>
  <c r="J496" i="4"/>
  <c r="J304" i="4"/>
  <c r="K304" i="4" s="1"/>
  <c r="J366" i="4"/>
  <c r="K366" i="4" s="1"/>
  <c r="J129" i="4"/>
  <c r="K129" i="4" s="1"/>
  <c r="J80" i="4"/>
  <c r="K80" i="4" s="1"/>
  <c r="J369" i="4"/>
  <c r="K369" i="4" s="1"/>
  <c r="J302" i="4"/>
  <c r="K302" i="4" s="1"/>
  <c r="J403" i="4"/>
  <c r="K403" i="4" s="1"/>
  <c r="J206" i="4"/>
  <c r="K206" i="4" s="1"/>
  <c r="J159" i="4"/>
  <c r="K159" i="4" s="1"/>
  <c r="J505" i="4"/>
  <c r="J567" i="4"/>
  <c r="J459" i="4"/>
  <c r="J469" i="4"/>
  <c r="J173" i="4"/>
  <c r="K173" i="4" s="1"/>
  <c r="J210" i="4"/>
  <c r="K210" i="4" s="1"/>
  <c r="J52" i="4"/>
  <c r="K52" i="4" s="1"/>
  <c r="J156" i="4"/>
  <c r="K156" i="4" s="1"/>
  <c r="J506" i="4"/>
  <c r="J523" i="4"/>
  <c r="J124" i="4"/>
  <c r="K124" i="4" s="1"/>
  <c r="J301" i="4"/>
  <c r="K301" i="4" s="1"/>
  <c r="J4" i="4"/>
  <c r="K4" i="4" s="1"/>
  <c r="J7" i="4"/>
  <c r="K7" i="4" s="1"/>
  <c r="J463" i="4"/>
  <c r="J385" i="4"/>
  <c r="K385" i="4" s="1"/>
  <c r="J44" i="4"/>
  <c r="K44" i="4" s="1"/>
  <c r="J243" i="4"/>
  <c r="K243" i="4" s="1"/>
  <c r="J60" i="4"/>
  <c r="K60" i="4" s="1"/>
  <c r="J490" i="4"/>
  <c r="J30" i="4"/>
  <c r="K30" i="4" s="1"/>
  <c r="J414" i="4"/>
  <c r="K414" i="4" s="1"/>
  <c r="J520" i="4"/>
  <c r="J347" i="4"/>
  <c r="K347" i="4" s="1"/>
  <c r="J163" i="4"/>
  <c r="K163" i="4" s="1"/>
  <c r="J624" i="4"/>
  <c r="I624" i="4"/>
  <c r="J292" i="4"/>
  <c r="K292" i="4" s="1"/>
  <c r="J598" i="4"/>
  <c r="J47" i="4"/>
  <c r="K47" i="4" s="1"/>
  <c r="J509" i="4"/>
  <c r="J526" i="4"/>
  <c r="J397" i="4"/>
  <c r="K397" i="4" s="1"/>
  <c r="J320" i="4"/>
  <c r="K320" i="4" s="1"/>
  <c r="J222" i="4"/>
  <c r="K222" i="4" s="1"/>
  <c r="J59" i="4"/>
  <c r="K59" i="4" s="1"/>
  <c r="J35" i="4"/>
  <c r="K35" i="4" s="1"/>
  <c r="J467" i="4"/>
  <c r="J472" i="4"/>
  <c r="J95" i="4"/>
  <c r="K95" i="4" s="1"/>
  <c r="J521" i="4"/>
  <c r="J423" i="4"/>
  <c r="K423" i="4" s="1"/>
  <c r="J105" i="4"/>
  <c r="J483" i="4"/>
  <c r="K483" i="4" s="1"/>
  <c r="J493" i="4"/>
  <c r="J67" i="4"/>
  <c r="K67" i="4" s="1"/>
  <c r="J537" i="4"/>
  <c r="J553" i="4"/>
  <c r="J345" i="4"/>
  <c r="K345" i="4" s="1"/>
  <c r="J370" i="4"/>
  <c r="K370" i="4" s="1"/>
  <c r="J585" i="4"/>
  <c r="J259" i="4"/>
  <c r="K259" i="4" s="1"/>
  <c r="J525" i="4"/>
  <c r="J281" i="4"/>
  <c r="K281" i="4" s="1"/>
  <c r="J418" i="4"/>
  <c r="K418" i="4" s="1"/>
  <c r="J580" i="4"/>
  <c r="J86" i="4"/>
  <c r="K86" i="4" s="1"/>
  <c r="J494" i="4"/>
  <c r="J25" i="4"/>
  <c r="K25" i="4" s="1"/>
  <c r="J499" i="4"/>
  <c r="J195" i="4"/>
  <c r="K195" i="4" s="1"/>
  <c r="J541" i="4"/>
  <c r="K541" i="4" s="1"/>
  <c r="J107" i="4"/>
  <c r="K107" i="4" s="1"/>
  <c r="J239" i="4"/>
  <c r="K239" i="4" s="1"/>
  <c r="J157" i="4"/>
  <c r="K157" i="4" s="1"/>
  <c r="J81" i="4"/>
  <c r="K81" i="4" s="1"/>
  <c r="I627" i="4"/>
  <c r="J394" i="4"/>
  <c r="K394" i="4" s="1"/>
  <c r="J223" i="4"/>
  <c r="K223" i="4" s="1"/>
  <c r="J586" i="4"/>
  <c r="J507" i="4"/>
  <c r="J510" i="4"/>
  <c r="J527" i="4"/>
  <c r="J538" i="4"/>
  <c r="K538" i="4" s="1"/>
  <c r="J169" i="4" l="1"/>
  <c r="K169" i="4" s="1"/>
  <c r="J581" i="4"/>
  <c r="J502" i="4"/>
  <c r="J88" i="4"/>
  <c r="K88" i="4" s="1"/>
  <c r="J207" i="4"/>
  <c r="K207" i="4" s="1"/>
  <c r="J358" i="4"/>
  <c r="K358" i="4" s="1"/>
  <c r="J8" i="4"/>
  <c r="K8" i="4" s="1"/>
  <c r="J242" i="4"/>
  <c r="K242" i="4" s="1"/>
  <c r="J66" i="4"/>
  <c r="K66" i="4" s="1"/>
  <c r="D10" i="10" l="1"/>
  <c r="D11" i="10" l="1"/>
  <c r="D12" i="10" l="1"/>
</calcChain>
</file>

<file path=xl/sharedStrings.xml><?xml version="1.0" encoding="utf-8"?>
<sst xmlns="http://schemas.openxmlformats.org/spreadsheetml/2006/main" count="4044" uniqueCount="383">
  <si>
    <t>Centro</t>
  </si>
  <si>
    <t>Formato</t>
  </si>
  <si>
    <t>Supranumero</t>
  </si>
  <si>
    <t>Descripcion</t>
  </si>
  <si>
    <t>Plan (RD$)</t>
  </si>
  <si>
    <t>Real (RD$)</t>
  </si>
  <si>
    <t>Comprometido (RD$)</t>
  </si>
  <si>
    <t>Ejecutado Total (RD$)</t>
  </si>
  <si>
    <t>Pendiente (RD$)</t>
  </si>
  <si>
    <t>% Ejecucion</t>
  </si>
  <si>
    <t>Estatus</t>
  </si>
  <si>
    <t>A001</t>
  </si>
  <si>
    <t>Aires Acondicionados</t>
  </si>
  <si>
    <t>13.01.10</t>
  </si>
  <si>
    <t>Decoración de tienda</t>
  </si>
  <si>
    <t>02.03.01</t>
  </si>
  <si>
    <t>Edificios y mejoras arrendados</t>
  </si>
  <si>
    <t>14.03.01</t>
  </si>
  <si>
    <t>Estantes de cuartos fríos</t>
  </si>
  <si>
    <t>10.02.02</t>
  </si>
  <si>
    <t>Evaporadores</t>
  </si>
  <si>
    <t>08.03.04</t>
  </si>
  <si>
    <t>Instalaciones Electricas</t>
  </si>
  <si>
    <t>08.02.01</t>
  </si>
  <si>
    <t>Luminarias</t>
  </si>
  <si>
    <t>13.01.04</t>
  </si>
  <si>
    <t>Muebles de panaderia</t>
  </si>
  <si>
    <t>10.01.01</t>
  </si>
  <si>
    <t>Neveras</t>
  </si>
  <si>
    <t>14.01.03</t>
  </si>
  <si>
    <t>Pallet Jack</t>
  </si>
  <si>
    <t>10.02.05</t>
  </si>
  <si>
    <t>Puertas vaivén</t>
  </si>
  <si>
    <t>10.02.03</t>
  </si>
  <si>
    <t>Racks de refrigeración y chillers</t>
  </si>
  <si>
    <t>A002</t>
  </si>
  <si>
    <t>A003</t>
  </si>
  <si>
    <t>09.01.01</t>
  </si>
  <si>
    <t>Aires acondicionados</t>
  </si>
  <si>
    <t>02.01.02</t>
  </si>
  <si>
    <t>Mejoras a Tiendas y Áreas de Apoyo</t>
  </si>
  <si>
    <t>A004</t>
  </si>
  <si>
    <t>A005</t>
  </si>
  <si>
    <t>Balanzas</t>
  </si>
  <si>
    <t>03.02.06</t>
  </si>
  <si>
    <t>Impresoras y Multifuncionales</t>
  </si>
  <si>
    <t>A006</t>
  </si>
  <si>
    <t>07.03.01</t>
  </si>
  <si>
    <t>Montacargas y plataformas</t>
  </si>
  <si>
    <t>A007</t>
  </si>
  <si>
    <t>09.01.03</t>
  </si>
  <si>
    <t>Aire Acondicionado split</t>
  </si>
  <si>
    <t>A008</t>
  </si>
  <si>
    <t>12.02.01</t>
  </si>
  <si>
    <t>Rapeadoras</t>
  </si>
  <si>
    <t>03.04.02</t>
  </si>
  <si>
    <t>Scanners de Checkout y de mesa</t>
  </si>
  <si>
    <t>A009</t>
  </si>
  <si>
    <t>08.03.02</t>
  </si>
  <si>
    <t>Paneles Electricos</t>
  </si>
  <si>
    <t>08.03.01</t>
  </si>
  <si>
    <t>Transformadores</t>
  </si>
  <si>
    <t>A010</t>
  </si>
  <si>
    <t>08.01.01</t>
  </si>
  <si>
    <t>Plantas eléctricas y sub estaciones</t>
  </si>
  <si>
    <t>A011</t>
  </si>
  <si>
    <t>13.02.01</t>
  </si>
  <si>
    <t>Carritos de tienda</t>
  </si>
  <si>
    <t>05.02.01</t>
  </si>
  <si>
    <t>Contadora de billetes y monedas</t>
  </si>
  <si>
    <t>A012</t>
  </si>
  <si>
    <t>05.01.03</t>
  </si>
  <si>
    <t>Mesas</t>
  </si>
  <si>
    <t>A013</t>
  </si>
  <si>
    <t>A014</t>
  </si>
  <si>
    <t>Canastas de tienda</t>
  </si>
  <si>
    <t>A015</t>
  </si>
  <si>
    <t>A016</t>
  </si>
  <si>
    <t>13.03.07</t>
  </si>
  <si>
    <t>Lockers de empleados</t>
  </si>
  <si>
    <t>A018</t>
  </si>
  <si>
    <t>A019</t>
  </si>
  <si>
    <t>A020</t>
  </si>
  <si>
    <t>13.03.08</t>
  </si>
  <si>
    <t>Bombas de agua</t>
  </si>
  <si>
    <t>Ventiladores</t>
  </si>
  <si>
    <t>A021</t>
  </si>
  <si>
    <t>A022</t>
  </si>
  <si>
    <t>A023</t>
  </si>
  <si>
    <t>A024</t>
  </si>
  <si>
    <t>13.01.13</t>
  </si>
  <si>
    <t>Muebles de tienda</t>
  </si>
  <si>
    <t>02.01.01</t>
  </si>
  <si>
    <t>Tiendas</t>
  </si>
  <si>
    <t>A025</t>
  </si>
  <si>
    <t>13.02.02</t>
  </si>
  <si>
    <t>13.03.05</t>
  </si>
  <si>
    <t>Equipos de tienda</t>
  </si>
  <si>
    <t>A026</t>
  </si>
  <si>
    <t>11.01.02</t>
  </si>
  <si>
    <t>Camaras de seguridad y CCTV</t>
  </si>
  <si>
    <t>03.04.05</t>
  </si>
  <si>
    <t>HandHelds y accesorios</t>
  </si>
  <si>
    <t xml:space="preserve">Paneles    </t>
  </si>
  <si>
    <t>A027</t>
  </si>
  <si>
    <t>a028</t>
  </si>
  <si>
    <t>A028</t>
  </si>
  <si>
    <t>17.01.25</t>
  </si>
  <si>
    <t>Equipos de panaderia</t>
  </si>
  <si>
    <t>A029</t>
  </si>
  <si>
    <t>A030</t>
  </si>
  <si>
    <t>A031</t>
  </si>
  <si>
    <t>A032</t>
  </si>
  <si>
    <t>A033</t>
  </si>
  <si>
    <t>A034</t>
  </si>
  <si>
    <t>Paneles</t>
  </si>
  <si>
    <t>A035</t>
  </si>
  <si>
    <t>A036</t>
  </si>
  <si>
    <t>A037</t>
  </si>
  <si>
    <t>A038</t>
  </si>
  <si>
    <t>A039</t>
  </si>
  <si>
    <t>A040</t>
  </si>
  <si>
    <t>A041</t>
  </si>
  <si>
    <t>A042</t>
  </si>
  <si>
    <t>A044</t>
  </si>
  <si>
    <t>AF01</t>
  </si>
  <si>
    <t>09.02.01</t>
  </si>
  <si>
    <t>Extractores e inyectores</t>
  </si>
  <si>
    <t>CD01</t>
  </si>
  <si>
    <t>Logistica</t>
  </si>
  <si>
    <t>13.03.02</t>
  </si>
  <si>
    <t>Bumpers de tienda</t>
  </si>
  <si>
    <t>11.01.04</t>
  </si>
  <si>
    <t>Equipos de Seguridad</t>
  </si>
  <si>
    <t>13.03.03</t>
  </si>
  <si>
    <t>Escaleras electricas y rampas</t>
  </si>
  <si>
    <t>03.03.09</t>
  </si>
  <si>
    <t>Radios de Comunicacion</t>
  </si>
  <si>
    <t>05.01.02</t>
  </si>
  <si>
    <t>Sillas</t>
  </si>
  <si>
    <t>SIN SUPRA</t>
  </si>
  <si>
    <t>Sin plan / sin clasificar</t>
  </si>
  <si>
    <t>14.03.02</t>
  </si>
  <si>
    <t>Tramerías de almacén</t>
  </si>
  <si>
    <t>CFV1</t>
  </si>
  <si>
    <t>11.02.05</t>
  </si>
  <si>
    <t>Sistema de supresion de incendios</t>
  </si>
  <si>
    <t>CO01</t>
  </si>
  <si>
    <t>Formato de Apoyo</t>
  </si>
  <si>
    <t>06.02.01</t>
  </si>
  <si>
    <t>Carros</t>
  </si>
  <si>
    <t>06.02.03</t>
  </si>
  <si>
    <t>Furgoneta</t>
  </si>
  <si>
    <t>Imprevisto</t>
  </si>
  <si>
    <t>CPT1</t>
  </si>
  <si>
    <t>CT01</t>
  </si>
  <si>
    <t>CT02</t>
  </si>
  <si>
    <t>GA01</t>
  </si>
  <si>
    <t>14.01.02</t>
  </si>
  <si>
    <t>Compactadora de cartón</t>
  </si>
  <si>
    <t>LS01</t>
  </si>
  <si>
    <t>13.03.04</t>
  </si>
  <si>
    <t>Ascensores de tienda</t>
  </si>
  <si>
    <t>11.01.01</t>
  </si>
  <si>
    <t>Cajas fuertes</t>
  </si>
  <si>
    <t>17.02.01</t>
  </si>
  <si>
    <t>Carros de carniceria</t>
  </si>
  <si>
    <t>17.01.06</t>
  </si>
  <si>
    <t>Hornos Rostizador</t>
  </si>
  <si>
    <t>LS02</t>
  </si>
  <si>
    <t>Ls02</t>
  </si>
  <si>
    <t>14.02.06</t>
  </si>
  <si>
    <t>Carritos de gondoleros</t>
  </si>
  <si>
    <t>13.01.08</t>
  </si>
  <si>
    <t>Góndolas</t>
  </si>
  <si>
    <t>17.01.05</t>
  </si>
  <si>
    <t>Rebanadoras</t>
  </si>
  <si>
    <t>17.01.22</t>
  </si>
  <si>
    <t>Tenderizadoras</t>
  </si>
  <si>
    <t>MC01</t>
  </si>
  <si>
    <t>17.01.21</t>
  </si>
  <si>
    <t>Equipos y utensilios de cocina</t>
  </si>
  <si>
    <t>17.01.02</t>
  </si>
  <si>
    <t>Molinos de carnes</t>
  </si>
  <si>
    <t>17.01.04</t>
  </si>
  <si>
    <t>Sierras de carne</t>
  </si>
  <si>
    <t>MC02</t>
  </si>
  <si>
    <t>17.01.07</t>
  </si>
  <si>
    <t>Hornos de pan</t>
  </si>
  <si>
    <t>17.01.03</t>
  </si>
  <si>
    <t>Molinos ralladores de pan</t>
  </si>
  <si>
    <t xml:space="preserve">Tanque de presion </t>
  </si>
  <si>
    <t>MC03</t>
  </si>
  <si>
    <t>11.01.03</t>
  </si>
  <si>
    <t>Candados de seguridad</t>
  </si>
  <si>
    <t>12.03.29</t>
  </si>
  <si>
    <t>Lavadora/secadora industrial</t>
  </si>
  <si>
    <t>13.02.03</t>
  </si>
  <si>
    <t>Sillas de ruedas para compras</t>
  </si>
  <si>
    <t>MC04</t>
  </si>
  <si>
    <t>08.01.03</t>
  </si>
  <si>
    <t>Inversor</t>
  </si>
  <si>
    <t>MC05</t>
  </si>
  <si>
    <t>12.01.01</t>
  </si>
  <si>
    <t>Microondas</t>
  </si>
  <si>
    <t>MC06</t>
  </si>
  <si>
    <t>12.03.26</t>
  </si>
  <si>
    <t>Equipos tratamiento y purificacion de aguas</t>
  </si>
  <si>
    <t>Sirena</t>
  </si>
  <si>
    <t>Paneles de control</t>
  </si>
  <si>
    <t>MC07</t>
  </si>
  <si>
    <t>Evaporador</t>
  </si>
  <si>
    <t>MC08</t>
  </si>
  <si>
    <t>MC09</t>
  </si>
  <si>
    <t>12.02.02</t>
  </si>
  <si>
    <t>Empacadoras al vacio</t>
  </si>
  <si>
    <t>14.03.03</t>
  </si>
  <si>
    <t>Muelles niveladores</t>
  </si>
  <si>
    <t>10.02.01</t>
  </si>
  <si>
    <t>Paneles de cuarto frio</t>
  </si>
  <si>
    <t>17.01.24</t>
  </si>
  <si>
    <t>Purificadores de aguas</t>
  </si>
  <si>
    <t>MC10</t>
  </si>
  <si>
    <t>09.01.02</t>
  </si>
  <si>
    <t>Cortinas de aire</t>
  </si>
  <si>
    <t>MC11</t>
  </si>
  <si>
    <t>07.01.01</t>
  </si>
  <si>
    <t>Camiones</t>
  </si>
  <si>
    <t>MC12</t>
  </si>
  <si>
    <t>MC13</t>
  </si>
  <si>
    <t>MC14</t>
  </si>
  <si>
    <t>MC15</t>
  </si>
  <si>
    <t>MC16</t>
  </si>
  <si>
    <t>Calderos</t>
  </si>
  <si>
    <t>14.01.01</t>
  </si>
  <si>
    <t>Compactadora de basura</t>
  </si>
  <si>
    <t>Dispensador de funda</t>
  </si>
  <si>
    <t>05.01.01</t>
  </si>
  <si>
    <t>Escritorios</t>
  </si>
  <si>
    <t>Handhelds</t>
  </si>
  <si>
    <t>MC17</t>
  </si>
  <si>
    <t>17.01.15</t>
  </si>
  <si>
    <t>Fermentadoras</t>
  </si>
  <si>
    <t>MC18</t>
  </si>
  <si>
    <t>MC19</t>
  </si>
  <si>
    <t>MC20</t>
  </si>
  <si>
    <t>MC21</t>
  </si>
  <si>
    <t>17.02.02</t>
  </si>
  <si>
    <t>Carros de panaderia</t>
  </si>
  <si>
    <t>Compactadora rieles</t>
  </si>
  <si>
    <t>Recogida de basura</t>
  </si>
  <si>
    <t xml:space="preserve">Scanner de tecnologia </t>
  </si>
  <si>
    <t>UPS</t>
  </si>
  <si>
    <t>MC22</t>
  </si>
  <si>
    <t>11.02.04</t>
  </si>
  <si>
    <t>Bomba jockey</t>
  </si>
  <si>
    <t>Carros de compra</t>
  </si>
  <si>
    <t>Zafacon</t>
  </si>
  <si>
    <t>MC23</t>
  </si>
  <si>
    <t>11.02.03</t>
  </si>
  <si>
    <t>Motobomba SCI</t>
  </si>
  <si>
    <t>MC24</t>
  </si>
  <si>
    <t>MC25</t>
  </si>
  <si>
    <t>13.01.05</t>
  </si>
  <si>
    <t>Muebles de vegetales</t>
  </si>
  <si>
    <t>MC26</t>
  </si>
  <si>
    <t>MC27</t>
  </si>
  <si>
    <t>MC31</t>
  </si>
  <si>
    <t>MP03</t>
  </si>
  <si>
    <t>Multiplaza</t>
  </si>
  <si>
    <t>PA01</t>
  </si>
  <si>
    <t>Planta Panificadora</t>
  </si>
  <si>
    <t>PL01</t>
  </si>
  <si>
    <t>07.01.02</t>
  </si>
  <si>
    <t>Cabezotes</t>
  </si>
  <si>
    <t>07.02.02</t>
  </si>
  <si>
    <t>Furgones secos</t>
  </si>
  <si>
    <t>PR02</t>
  </si>
  <si>
    <t>Lavanderia Pressto</t>
  </si>
  <si>
    <t>12.03.33</t>
  </si>
  <si>
    <t>Planchas Industriales y accesorios</t>
  </si>
  <si>
    <t>PR03</t>
  </si>
  <si>
    <t>PR05</t>
  </si>
  <si>
    <t>PR08</t>
  </si>
  <si>
    <t>PR11</t>
  </si>
  <si>
    <t>PR13</t>
  </si>
  <si>
    <t>SP01</t>
  </si>
  <si>
    <t>SP02</t>
  </si>
  <si>
    <t>11.02.01</t>
  </si>
  <si>
    <t>Sistemas contra incendio</t>
  </si>
  <si>
    <t>SP03</t>
  </si>
  <si>
    <t>Instalacion de hornos</t>
  </si>
  <si>
    <t>SP04</t>
  </si>
  <si>
    <t>17.01.19</t>
  </si>
  <si>
    <t>Procesador de alimentos y vegetales</t>
  </si>
  <si>
    <t>SP05</t>
  </si>
  <si>
    <t>Accesorios para hornos</t>
  </si>
  <si>
    <t>SP06</t>
  </si>
  <si>
    <t>SP07</t>
  </si>
  <si>
    <t>Montacargas</t>
  </si>
  <si>
    <t>SP08</t>
  </si>
  <si>
    <t>SP09</t>
  </si>
  <si>
    <t>Hornos</t>
  </si>
  <si>
    <t>SP10</t>
  </si>
  <si>
    <t>SP13</t>
  </si>
  <si>
    <t xml:space="preserve">Pintura </t>
  </si>
  <si>
    <t>Mes</t>
  </si>
  <si>
    <t>Plan</t>
  </si>
  <si>
    <t>Ejecutado</t>
  </si>
  <si>
    <t>% Avance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</si>
  <si>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</si>
  <si>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</si>
  <si>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</si>
  <si>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</si>
  <si>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</si>
  <si>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</si>
  <si>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</si>
  <si>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</si>
  <si>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</si>
  <si>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</si>
  <si>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</si>
  <si>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Responsable</t>
  </si>
  <si>
    <t>Tipo de Match</t>
  </si>
  <si>
    <t>Sin match</t>
  </si>
  <si>
    <t>Aprezio</t>
  </si>
  <si>
    <t>Centro + Supranumero</t>
  </si>
  <si>
    <t>Mantenimiento</t>
  </si>
  <si>
    <t>Centro + Descripcion</t>
  </si>
  <si>
    <t>Operaciones</t>
  </si>
  <si>
    <t>Plataforma de metal</t>
  </si>
  <si>
    <t>TRANSFERENCIA DE FONDOS</t>
  </si>
  <si>
    <t>Lockers de tienda</t>
  </si>
  <si>
    <t>Remodelacion Sirena Go</t>
  </si>
  <si>
    <t xml:space="preserve">Muebles de flores </t>
  </si>
  <si>
    <t xml:space="preserve">TRANSFERENCIA DE FONDOS </t>
  </si>
  <si>
    <t xml:space="preserve">Fregadora de piso </t>
  </si>
  <si>
    <t xml:space="preserve">Mueble de merma </t>
  </si>
  <si>
    <t>Carros pequeños de tienda</t>
  </si>
  <si>
    <t>Hidrolavadora</t>
  </si>
  <si>
    <t xml:space="preserve">Secador de manos </t>
  </si>
  <si>
    <t>Ventilador industrial</t>
  </si>
  <si>
    <t>Banco de capacitores</t>
  </si>
  <si>
    <t>Silla de compra</t>
  </si>
  <si>
    <t>Hornos de confeccion</t>
  </si>
  <si>
    <t>Nevera</t>
  </si>
  <si>
    <t>Mobiliario</t>
  </si>
  <si>
    <t xml:space="preserve">Paneles  </t>
  </si>
  <si>
    <t>Rep. Fermentadora</t>
  </si>
  <si>
    <t>TRANSFERENCIA DE FONDOS DESDE MECCMANT</t>
  </si>
  <si>
    <t>Pendiente</t>
  </si>
  <si>
    <t>T4</t>
  </si>
  <si>
    <t>Media</t>
  </si>
  <si>
    <t>En proceso</t>
  </si>
  <si>
    <t>PA-004</t>
  </si>
  <si>
    <t>Alta</t>
  </si>
  <si>
    <t>15/10/2026</t>
  </si>
  <si>
    <t>PA-003</t>
  </si>
  <si>
    <t>T3</t>
  </si>
  <si>
    <t>PA-002</t>
  </si>
  <si>
    <t>Climatización</t>
  </si>
  <si>
    <t>PA-001</t>
  </si>
  <si>
    <t>Comentario</t>
  </si>
  <si>
    <t>Última actualización</t>
  </si>
  <si>
    <t>Próximo paso</t>
  </si>
  <si>
    <t>Impacto RD$</t>
  </si>
  <si>
    <t>Prioridad</t>
  </si>
  <si>
    <t>Fecha compromiso</t>
  </si>
  <si>
    <t>Acción</t>
  </si>
  <si>
    <t>Situación / Desviación</t>
  </si>
  <si>
    <t>Tema</t>
  </si>
  <si>
    <t>Trimestre</t>
  </si>
  <si>
    <t>Área</t>
  </si>
  <si>
    <t>ID</t>
  </si>
  <si>
    <t>Hornos de panaderia</t>
  </si>
  <si>
    <t xml:space="preserve">Equipos en transito </t>
  </si>
  <si>
    <t>Analia Peguero</t>
  </si>
  <si>
    <t>Recibir para proceder con el despachoa las tiendas</t>
  </si>
  <si>
    <t>Multicabezal</t>
  </si>
  <si>
    <t xml:space="preserve">Detector de metales </t>
  </si>
  <si>
    <t>Equipo en fabrica</t>
  </si>
  <si>
    <t>No se habia creado el proveedor</t>
  </si>
  <si>
    <t>Crear orden de compra</t>
  </si>
  <si>
    <t>Emitir 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</si>
</sst>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%"/>
    <numFmt numFmtId="165" formatCode="\$#,##0;&quot;($&quot;#,##0\);\-"/>
  </numFmts>
  <fonts count="6" x14ac:knownFonts="1">
    <font>
      <sz val="11"/>
      <color theme="1"/>
      <name val="Calibri"/>
    </font>
    <font>
      <sz val="1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 Light"/>
      <family val="2"/>
      <scheme val="major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FFF00"/>
      </patternFill>
    </fill>
    <fill>
      <patternFill patternType="solid">
        <fgColor rgb="FF174A8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rgb="FF92D050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6">
    <xf numFmtId="0" fontId="0" fillId="0" borderId="0"/>
    <xf numFmtId="44" fontId="1" fillId="0" borderId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</cellStyleXfs>
  <cellXfs count="115">
    <xf numFmtId="0" fontId="0" fillId="0" borderId="0" xfId="0"/>
    <xf numFmtId="44" fontId="1" fillId="0" borderId="0" xfId="1"/>
    <xf numFmtId="0" fontId="0" fillId="4" borderId="0" xfId="0" applyFill="1"/>
    <xf numFmtId="0" fontId="0" fillId="6" borderId="0" xfId="0" applyFill="1"/>
    <xf numFmtId="9" fontId="0" fillId="0" borderId="0" xfId="2" applyFont="1"/>
    <xf numFmtId="0" fontId="4" fillId="8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/>
    <xf numFmtId="0" fontId="0" fillId="9" borderId="3" xfId="0" applyFill="1" applyBorder="1"/>
    <xf numFmtId="44" fontId="1" fillId="9" borderId="3" xfId="1" applyFill="1" applyBorder="1"/>
    <xf numFmtId="0" fontId="0" fillId="9" borderId="4" xfId="0" applyFill="1" applyBorder="1"/>
    <xf numFmtId="44" fontId="1" fillId="0" borderId="3" xfId="1" applyBorder="1"/>
    <xf numFmtId="44" fontId="1" fillId="7" borderId="3" xfId="1" applyFill="1" applyBorder="1"/>
    <xf numFmtId="165" fontId="1" fillId="3" borderId="3" xfId="0" applyNumberFormat="1" applyFont="1" applyFill="1" applyBorder="1"/>
    <xf numFmtId="164" fontId="1" fillId="3" borderId="3" xfId="0" applyNumberFormat="1" applyFont="1" applyFill="1" applyBorder="1"/>
    <xf numFmtId="0" fontId="1" fillId="3" borderId="4" xfId="0" applyFont="1" applyFill="1" applyBorder="1"/>
    <xf numFmtId="0" fontId="1" fillId="9" borderId="3" xfId="0" applyFont="1" applyFill="1" applyBorder="1"/>
    <xf numFmtId="164" fontId="1" fillId="9" borderId="3" xfId="0" applyNumberFormat="1" applyFont="1" applyFill="1" applyBorder="1"/>
    <xf numFmtId="0" fontId="1" fillId="9" borderId="4" xfId="0" applyFont="1" applyFill="1" applyBorder="1"/>
    <xf numFmtId="0" fontId="1" fillId="0" borderId="3" xfId="0" applyFont="1" applyBorder="1"/>
    <xf numFmtId="165" fontId="1" fillId="0" borderId="3" xfId="0" applyNumberFormat="1" applyFont="1" applyBorder="1"/>
    <xf numFmtId="164" fontId="1" fillId="0" borderId="3" xfId="0" applyNumberFormat="1" applyFont="1" applyBorder="1"/>
    <xf numFmtId="0" fontId="1" fillId="0" borderId="4" xfId="0" applyFont="1" applyBorder="1"/>
    <xf numFmtId="0" fontId="0" fillId="0" borderId="3" xfId="0" applyBorder="1"/>
    <xf numFmtId="4" fontId="0" fillId="0" borderId="3" xfId="0" applyNumberFormat="1" applyBorder="1"/>
    <xf numFmtId="0" fontId="0" fillId="0" borderId="4" xfId="0" applyBorder="1"/>
    <xf numFmtId="4" fontId="0" fillId="9" borderId="3" xfId="0" applyNumberFormat="1" applyFill="1" applyBorder="1"/>
    <xf numFmtId="44" fontId="1" fillId="6" borderId="3" xfId="1" applyFill="1" applyBorder="1"/>
    <xf numFmtId="0" fontId="1" fillId="4" borderId="3" xfId="0" applyFont="1" applyFill="1" applyBorder="1"/>
    <xf numFmtId="0" fontId="0" fillId="4" borderId="3" xfId="0" applyFill="1" applyBorder="1"/>
    <xf numFmtId="164" fontId="1" fillId="4" borderId="3" xfId="0" applyNumberFormat="1" applyFont="1" applyFill="1" applyBorder="1"/>
    <xf numFmtId="0" fontId="1" fillId="4" borderId="4" xfId="0" applyFont="1" applyFill="1" applyBorder="1"/>
    <xf numFmtId="0" fontId="1" fillId="7" borderId="3" xfId="0" applyFont="1" applyFill="1" applyBorder="1"/>
    <xf numFmtId="0" fontId="0" fillId="7" borderId="3" xfId="0" applyFill="1" applyBorder="1"/>
    <xf numFmtId="0" fontId="1" fillId="6" borderId="3" xfId="0" applyFont="1" applyFill="1" applyBorder="1"/>
    <xf numFmtId="0" fontId="1" fillId="6" borderId="4" xfId="0" applyFont="1" applyFill="1" applyBorder="1"/>
    <xf numFmtId="43" fontId="5" fillId="0" borderId="0" xfId="0" applyNumberFormat="1" applyFont="1"/>
    <xf numFmtId="43" fontId="5" fillId="10" borderId="0" xfId="0" applyNumberFormat="1" applyFont="1" applyFill="1"/>
    <xf numFmtId="43" fontId="5" fillId="11" borderId="0" xfId="0" applyNumberFormat="1" applyFont="1" applyFill="1"/>
    <xf numFmtId="44" fontId="0" fillId="0" borderId="0" xfId="0" applyNumberFormat="1"/>
    <xf numFmtId="9" fontId="0" fillId="0" borderId="0" xfId="3" applyFont="1"/>
    <xf numFmtId="44" fontId="1" fillId="12" borderId="3" xfId="1" applyFill="1" applyBorder="1"/>
    <xf numFmtId="44" fontId="1" fillId="13" borderId="3" xfId="1" applyFill="1" applyBorder="1"/>
    <xf numFmtId="165" fontId="1" fillId="14" borderId="3" xfId="0" applyNumberFormat="1" applyFont="1" applyFill="1" applyBorder="1"/>
    <xf numFmtId="4" fontId="0" fillId="0" borderId="0" xfId="0" applyNumberFormat="1"/>
    <xf numFmtId="0" fontId="1" fillId="3" borderId="0" xfId="0" applyFont="1" applyFill="1"/>
    <xf numFmtId="44" fontId="1" fillId="15" borderId="3" xfId="1" applyFill="1" applyBorder="1"/>
    <xf numFmtId="44" fontId="1" fillId="16" borderId="3" xfId="1" applyFill="1" applyBorder="1"/>
    <xf numFmtId="0" fontId="1" fillId="0" borderId="0" xfId="0" applyFont="1"/>
    <xf numFmtId="0" fontId="1" fillId="3" borderId="1" xfId="0" applyFont="1" applyFill="1" applyBorder="1"/>
    <xf numFmtId="0" fontId="1" fillId="4" borderId="1" xfId="0" applyFont="1" applyFill="1" applyBorder="1"/>
    <xf numFmtId="44" fontId="1" fillId="9" borderId="1" xfId="1" applyFill="1" applyBorder="1"/>
    <xf numFmtId="165" fontId="1" fillId="4" borderId="1" xfId="0" applyNumberFormat="1" applyFont="1" applyFill="1" applyBorder="1"/>
    <xf numFmtId="164" fontId="1" fillId="3" borderId="0" xfId="0" applyNumberFormat="1" applyFont="1" applyFill="1"/>
    <xf numFmtId="164" fontId="1" fillId="4" borderId="1" xfId="0" applyNumberFormat="1" applyFont="1" applyFill="1" applyBorder="1"/>
    <xf numFmtId="0" fontId="1" fillId="4" borderId="2" xfId="0" applyFont="1" applyFill="1" applyBorder="1"/>
    <xf numFmtId="165" fontId="1" fillId="6" borderId="3" xfId="0" applyNumberFormat="1" applyFont="1" applyFill="1" applyBorder="1"/>
    <xf numFmtId="0" fontId="1" fillId="16" borderId="3" xfId="0" applyFont="1" applyFill="1" applyBorder="1"/>
    <xf numFmtId="165" fontId="1" fillId="16" borderId="3" xfId="0" applyNumberFormat="1" applyFont="1" applyFill="1" applyBorder="1"/>
    <xf numFmtId="0" fontId="1" fillId="15" borderId="3" xfId="0" applyFont="1" applyFill="1" applyBorder="1"/>
    <xf numFmtId="4" fontId="0" fillId="16" borderId="3" xfId="0" applyNumberFormat="1" applyFill="1" applyBorder="1"/>
    <xf numFmtId="0" fontId="1" fillId="6" borderId="0" xfId="0" applyFont="1" applyFill="1"/>
    <xf numFmtId="0" fontId="0" fillId="16" borderId="0" xfId="0" applyFill="1"/>
    <xf numFmtId="44" fontId="0" fillId="0" borderId="0" xfId="4" applyFont="1"/>
    <xf numFmtId="44" fontId="1" fillId="17" borderId="3" xfId="1" applyFill="1" applyBorder="1"/>
    <xf numFmtId="0" fontId="1" fillId="10" borderId="3" xfId="0" applyFont="1" applyFill="1" applyBorder="1"/>
    <xf numFmtId="0" fontId="1" fillId="18" borderId="3" xfId="0" applyFont="1" applyFill="1" applyBorder="1"/>
    <xf numFmtId="0" fontId="1" fillId="19" borderId="3" xfId="0" applyFont="1" applyFill="1" applyBorder="1"/>
    <xf numFmtId="0" fontId="1" fillId="18" borderId="0" xfId="0" applyFont="1" applyFill="1"/>
    <xf numFmtId="0" fontId="1" fillId="9" borderId="0" xfId="0" applyFont="1" applyFill="1"/>
    <xf numFmtId="0" fontId="1" fillId="16" borderId="0" xfId="0" applyFont="1" applyFill="1"/>
    <xf numFmtId="0" fontId="0" fillId="16" borderId="3" xfId="0" applyFill="1" applyBorder="1"/>
    <xf numFmtId="0" fontId="1" fillId="13" borderId="3" xfId="0" applyFont="1" applyFill="1" applyBorder="1"/>
    <xf numFmtId="165" fontId="1" fillId="13" borderId="3" xfId="0" applyNumberFormat="1" applyFont="1" applyFill="1" applyBorder="1"/>
    <xf numFmtId="164" fontId="1" fillId="13" borderId="3" xfId="0" applyNumberFormat="1" applyFont="1" applyFill="1" applyBorder="1"/>
    <xf numFmtId="0" fontId="1" fillId="13" borderId="4" xfId="0" applyFont="1" applyFill="1" applyBorder="1"/>
    <xf numFmtId="0" fontId="0" fillId="13" borderId="0" xfId="0" applyFill="1" applyAlignment="1">
      <alignment wrapText="1"/>
    </xf>
    <xf numFmtId="0" fontId="0" fillId="13" borderId="0" xfId="0" applyFill="1"/>
    <xf numFmtId="0" fontId="1" fillId="12" borderId="3" xfId="0" applyFont="1" applyFill="1" applyBorder="1"/>
    <xf numFmtId="165" fontId="1" fillId="7" borderId="3" xfId="0" applyNumberFormat="1" applyFont="1" applyFill="1" applyBorder="1"/>
    <xf numFmtId="164" fontId="1" fillId="12" borderId="3" xfId="0" applyNumberFormat="1" applyFont="1" applyFill="1" applyBorder="1"/>
    <xf numFmtId="0" fontId="1" fillId="12" borderId="4" xfId="0" applyFont="1" applyFill="1" applyBorder="1"/>
    <xf numFmtId="0" fontId="1" fillId="13" borderId="0" xfId="0" applyFont="1" applyFill="1"/>
    <xf numFmtId="164" fontId="1" fillId="13" borderId="0" xfId="0" applyNumberFormat="1" applyFont="1" applyFill="1"/>
    <xf numFmtId="0" fontId="1" fillId="7" borderId="0" xfId="0" applyFont="1" applyFill="1"/>
    <xf numFmtId="164" fontId="1" fillId="7" borderId="0" xfId="0" applyNumberFormat="1" applyFont="1" applyFill="1"/>
    <xf numFmtId="0" fontId="1" fillId="12" borderId="0" xfId="0" applyFont="1" applyFill="1"/>
    <xf numFmtId="164" fontId="1" fillId="12" borderId="0" xfId="0" applyNumberFormat="1" applyFont="1" applyFill="1"/>
    <xf numFmtId="0" fontId="0" fillId="9" borderId="0" xfId="0" applyFill="1"/>
    <xf numFmtId="4" fontId="0" fillId="9" borderId="0" xfId="0" applyNumberFormat="1" applyFill="1"/>
    <xf numFmtId="0" fontId="0" fillId="20" borderId="0" xfId="0" applyFill="1" applyAlignment="1">
      <alignment wrapText="1"/>
    </xf>
    <xf numFmtId="0" fontId="0" fillId="21" borderId="0" xfId="0" applyFill="1" applyAlignment="1">
      <alignment wrapText="1"/>
    </xf>
    <xf numFmtId="164" fontId="1" fillId="16" borderId="3" xfId="0" applyNumberFormat="1" applyFont="1" applyFill="1" applyBorder="1"/>
    <xf numFmtId="0" fontId="1" fillId="16" borderId="4" xfId="0" applyFont="1" applyFill="1" applyBorder="1"/>
    <xf numFmtId="44" fontId="1" fillId="22" borderId="3" xfId="1" applyFill="1" applyBorder="1"/>
    <xf numFmtId="44" fontId="1" fillId="23" borderId="3" xfId="1" applyFill="1" applyBorder="1"/>
    <xf numFmtId="44" fontId="0" fillId="13" borderId="0" xfId="0" applyNumberFormat="1" applyFill="1"/>
    <xf numFmtId="16" fontId="0" fillId="0" borderId="0" xfId="0" applyNumberFormat="1"/>
    <xf numFmtId="43" fontId="5" fillId="9" borderId="1" xfId="0" applyNumberFormat="1" applyFont="1" applyFill="1" applyBorder="1"/>
    <xf numFmtId="43" fontId="5" fillId="10" borderId="1" xfId="0" applyNumberFormat="1" applyFont="1" applyFill="1" applyBorder="1"/>
    <xf numFmtId="43" fontId="5" fillId="11" borderId="1" xfId="0" applyNumberFormat="1" applyFont="1" applyFill="1" applyBorder="1"/>
    <xf numFmtId="43" fontId="5" fillId="0" borderId="1" xfId="0" applyNumberFormat="1" applyFont="1" applyBorder="1"/>
    <xf numFmtId="9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4" fontId="3" fillId="0" borderId="0" xfId="0" applyNumberFormat="1" applyFont="1"/>
    <xf numFmtId="0" fontId="3" fillId="0" borderId="0" xfId="5"/>
    <xf numFmtId="14" fontId="3" fillId="0" borderId="0" xfId="5" applyNumberFormat="1"/>
    <xf numFmtId="9" fontId="3" fillId="0" borderId="0" xfId="5" applyNumberFormat="1"/>
    <xf numFmtId="4" fontId="3" fillId="0" borderId="0" xfId="5" applyNumberFormat="1"/>
    <xf numFmtId="44" fontId="3" fillId="0" borderId="0" xfId="4"/>
  </cellXfs>
  <cellStyles count="6">
    <cellStyle name="Currency" xfId="1" xr:uid="{00000000-0005-0000-0000-000000000000}"/>
    <cellStyle name="Moneda" xfId="4" builtinId="4"/>
    <cellStyle name="Normal" xfId="0" builtinId="0"/>
    <cellStyle name="Normal 2" xfId="5" xr:uid="{1F04CC4C-9A8C-4618-8853-F3C5533A4D58}"/>
    <cellStyle name="Percent" xfId="2" xr:uid="{00000000-0005-0000-0000-000002000000}"/>
    <cellStyle name="Porcentaje" xfId="3" builtinId="5"/>
  </cellStyles>
  <dxfs count="21">
    <dxf>
      <font>
        <u val="none"/>
        <sz val="11"/>
        <color theme="1"/>
        <name val="Calibri"/>
        <family val="2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;&quot;($&quot;#,##0\);\-"/>
      <fill>
        <patternFill patternType="solid">
          <fgColor indexed="64"/>
          <bgColor rgb="FFF2F2F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;&quot;($&quot;#,##0\);\-"/>
      <fill>
        <patternFill patternType="solid">
          <fgColor indexed="64"/>
          <bgColor rgb="FFF2F2F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4" formatCode="_-&quot;$&quot;* #,##0.00_-;\-&quot;$&quot;* #,##0.00_-;_-&quot;$&quot;* &quot;-&quot;??_-;_-@_-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indexed="64"/>
          <bgColor theme="0"/>
        </patternFill>
      </fill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D4A017"/>
      <rgbColor rgb="FFFF6600"/>
      <rgbColor rgb="FF66669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4A9B1-93EC-4EED-8676-389C741B5BCD}" name="Table2" displayName="Table2" ref="A1:M686" totalsRowShown="0" headerRowDxfId="20" tableBorderDxfId="19">
  <autoFilter ref="A1:M686" xr:uid="{6CB4A9B1-93EC-4EED-8676-389C741B5BCD}"/>
  <sortState xmlns:xlrd2="http://schemas.microsoft.com/office/spreadsheetml/2017/richdata2" ref="A27:M627">
    <sortCondition descending="1" ref="F1:F676"/>
  </sortState>
  <tableColumns count="13">
    <tableColumn id="1" xr3:uid="{8AC0A2DD-0C1A-4FCA-B819-ADF08F0E1153}" name="Centro" totalsRowDxfId="18"/>
    <tableColumn id="2" xr3:uid="{20E7D352-5C57-4B37-ACD3-35B64EB01EA1}" name="Formato" dataDxfId="17" totalsRowDxfId="16"/>
    <tableColumn id="3" xr3:uid="{B2F2E5D8-43B5-43A4-9FEB-A28FA2CC54FC}" name="Supranumero"/>
    <tableColumn id="4" xr3:uid="{94A9E106-20B9-4AC0-888E-3ABF496978B7}" name="Descripcion" totalsRowDxfId="15"/>
    <tableColumn id="5" xr3:uid="{89DF095A-ACCD-4999-805E-52E1C35EC87D}" name="Plan (RD$)" dataDxfId="14" totalsRowDxfId="13" dataCellStyle="Currency"/>
    <tableColumn id="6" xr3:uid="{E674E612-59B5-4FB6-9D32-F2347C393AF5}" name="Real (RD$)" dataDxfId="12" totalsRowDxfId="11" dataCellStyle="Currency"/>
    <tableColumn id="7" xr3:uid="{91333904-24DD-4457-8ECB-970E8151ED53}" name="Comprometido (RD$)" dataDxfId="10" totalsRowDxfId="9" dataCellStyle="Currency"/>
    <tableColumn id="8" xr3:uid="{C8C6B389-5D6A-4F2D-A800-ADD423E421ED}" name="Ejecutado Total (RD$)" dataDxfId="8" totalsRowDxfId="7" dataCellStyle="Currency"/>
    <tableColumn id="9" xr3:uid="{94256958-09A6-4DAC-8EA1-539981BD02CA}" name="Pendiente (RD$)" dataDxfId="6" totalsRowDxfId="5">
      <calculatedColumnFormula>E2-H2</calculatedColumnFormula>
    </tableColumn>
    <tableColumn id="10" xr3:uid="{3CC536C0-115A-46F1-8ED0-3BC7E81DCB70}" name="% Ejecucion"/>
    <tableColumn id="11" xr3:uid="{A1D2E4D4-C81A-4EDB-BB42-30DEBC7713EA}" name="Estatus"/>
    <tableColumn id="12" xr3:uid="{FDD485DD-F89D-4475-A5E2-66DB744CB1F7}" name="Responsable" dataDxfId="4" totalsRowDxfId="3"/>
    <tableColumn id="13" xr3:uid="{30D2EA82-1FA5-4B65-B618-265D9A3BEB45}" name="Tipo de Match" dataDxfId="2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D12" totalsRowShown="0">
  <autoFilter ref="A1:D12" xr:uid="{00000000-0009-0000-0100-000001000000}"/>
  <tableColumns count="4">
    <tableColumn id="1" xr3:uid="{00000000-0010-0000-0100-000001000000}" name="Mes"/>
    <tableColumn id="2" xr3:uid="{00000000-0010-0000-0100-000002000000}" name="Plan">
      <calculatedColumnFormula>+B1/2</calculatedColumnFormula>
    </tableColumn>
    <tableColumn id="3" xr3:uid="{00000000-0010-0000-0100-000003000000}" name="Ejecutado"/>
    <tableColumn id="4" xr3:uid="{00000000-0010-0000-0100-000004000000}" name="% Avance" dataDxfId="0">
      <calculatedColumnFormula>+#REF!/B2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98152-77F6-49B7-950E-ED1EC26A6F36}">
  <dimension ref="A1:P23"/>
  <sheetViews>
    <sheetView tabSelected="1" workbookViewId="0">
      <selection activeCell="H16" sqref="H16"/>
    </sheetView>
  </sheetViews>
  <sheetFormatPr baseColWidth="10" defaultColWidth="8.7265625" defaultRowHeight="14.5" x14ac:dyDescent="0.35"/>
  <cols>
    <col min="1" max="1" width="10.08984375" style="110" customWidth="1"/>
    <col min="2" max="2" width="14.1796875" style="110" bestFit="1" customWidth="1"/>
    <col min="3" max="4" width="8.7265625" style="110"/>
    <col min="5" max="5" width="20.453125" style="110" customWidth="1"/>
    <col min="6" max="6" width="33.6328125" style="110" customWidth="1"/>
    <col min="7" max="7" width="30.26953125" style="110" bestFit="1" customWidth="1"/>
    <col min="8" max="8" width="13.7265625" style="110" bestFit="1" customWidth="1"/>
    <col min="9" max="9" width="16.90625" style="110" bestFit="1" customWidth="1"/>
    <col min="10" max="10" width="10.08984375" style="110" bestFit="1" customWidth="1"/>
    <col min="11" max="11" width="8.7265625" style="110"/>
    <col min="12" max="12" width="13.54296875" style="110" bestFit="1" customWidth="1"/>
    <col min="13" max="13" width="9" style="110" bestFit="1" customWidth="1"/>
    <col min="14" max="14" width="44" style="110" bestFit="1" customWidth="1"/>
    <col min="15" max="15" width="18" style="110" bestFit="1" customWidth="1"/>
    <col min="16" max="16" width="36.1796875" style="110" bestFit="1" customWidth="1"/>
    <col min="17" max="16384" width="8.7265625" style="110"/>
  </cols>
  <sheetData>
    <row r="1" spans="1:16" x14ac:dyDescent="0.35">
      <c r="A1" s="110" t="s">
        <v>372</v>
      </c>
      <c r="B1" s="110" t="s">
        <v>371</v>
      </c>
      <c r="C1" s="110" t="s">
        <v>0</v>
      </c>
      <c r="D1" s="110" t="s">
        <v>370</v>
      </c>
      <c r="E1" s="110" t="s">
        <v>369</v>
      </c>
      <c r="F1" s="110" t="s">
        <v>368</v>
      </c>
      <c r="G1" s="110" t="s">
        <v>367</v>
      </c>
      <c r="H1" s="110" t="s">
        <v>321</v>
      </c>
      <c r="I1" s="110" t="s">
        <v>366</v>
      </c>
      <c r="J1" s="110" t="s">
        <v>10</v>
      </c>
      <c r="K1" s="110" t="s">
        <v>365</v>
      </c>
      <c r="L1" s="110" t="s">
        <v>364</v>
      </c>
      <c r="M1" s="110" t="s">
        <v>309</v>
      </c>
      <c r="N1" s="110" t="s">
        <v>363</v>
      </c>
      <c r="O1" s="110" t="s">
        <v>362</v>
      </c>
      <c r="P1" s="110" t="s">
        <v>361</v>
      </c>
    </row>
    <row r="2" spans="1:16" x14ac:dyDescent="0.35">
      <c r="A2" s="110" t="s">
        <v>360</v>
      </c>
      <c r="B2" s="110" t="s">
        <v>328</v>
      </c>
      <c r="C2" s="110" t="s">
        <v>208</v>
      </c>
      <c r="D2" s="110" t="s">
        <v>357</v>
      </c>
      <c r="E2" s="110" t="s">
        <v>373</v>
      </c>
      <c r="F2" s="110" t="s">
        <v>374</v>
      </c>
      <c r="H2" s="110" t="s">
        <v>375</v>
      </c>
      <c r="I2" s="111">
        <v>46310</v>
      </c>
      <c r="J2" s="110" t="s">
        <v>352</v>
      </c>
      <c r="K2" s="110" t="s">
        <v>351</v>
      </c>
      <c r="L2" s="114">
        <v>7441608.0000000009</v>
      </c>
      <c r="M2" s="112">
        <v>0.8</v>
      </c>
      <c r="N2" s="110" t="s">
        <v>376</v>
      </c>
      <c r="O2" s="111">
        <v>46275</v>
      </c>
    </row>
    <row r="3" spans="1:16" x14ac:dyDescent="0.35">
      <c r="A3" s="110" t="s">
        <v>358</v>
      </c>
      <c r="B3" s="110" t="s">
        <v>328</v>
      </c>
      <c r="C3" s="110" t="s">
        <v>208</v>
      </c>
      <c r="D3" s="110" t="s">
        <v>357</v>
      </c>
      <c r="E3" s="110" t="s">
        <v>359</v>
      </c>
      <c r="F3" s="110" t="s">
        <v>374</v>
      </c>
      <c r="H3" s="110" t="s">
        <v>375</v>
      </c>
      <c r="I3" s="111">
        <v>46325</v>
      </c>
      <c r="J3" s="110" t="s">
        <v>352</v>
      </c>
      <c r="K3" s="110" t="s">
        <v>351</v>
      </c>
      <c r="L3" s="114">
        <v>5367900</v>
      </c>
      <c r="M3" s="112">
        <v>0.6</v>
      </c>
      <c r="N3" s="110" t="s">
        <v>376</v>
      </c>
      <c r="O3" s="111">
        <v>46275</v>
      </c>
    </row>
    <row r="4" spans="1:16" x14ac:dyDescent="0.35">
      <c r="A4" s="110" t="s">
        <v>356</v>
      </c>
      <c r="B4" s="110" t="s">
        <v>326</v>
      </c>
      <c r="C4" s="110" t="s">
        <v>270</v>
      </c>
      <c r="D4" s="110" t="s">
        <v>350</v>
      </c>
      <c r="E4" s="110" t="s">
        <v>377</v>
      </c>
      <c r="F4" s="110" t="s">
        <v>379</v>
      </c>
      <c r="G4" s="110" t="s">
        <v>382</v>
      </c>
      <c r="H4" s="110" t="s">
        <v>375</v>
      </c>
      <c r="I4" s="110" t="s">
        <v>355</v>
      </c>
      <c r="J4" s="110" t="s">
        <v>349</v>
      </c>
      <c r="K4" s="110" t="s">
        <v>354</v>
      </c>
      <c r="L4" s="114">
        <v>4246398</v>
      </c>
      <c r="M4" s="112">
        <v>0.4</v>
      </c>
      <c r="N4" s="110" t="s">
        <v>382</v>
      </c>
      <c r="O4" s="111">
        <v>46275</v>
      </c>
    </row>
    <row r="5" spans="1:16" x14ac:dyDescent="0.35">
      <c r="A5" s="110" t="s">
        <v>353</v>
      </c>
      <c r="B5" s="110" t="s">
        <v>328</v>
      </c>
      <c r="C5" s="110" t="s">
        <v>270</v>
      </c>
      <c r="D5" s="110" t="s">
        <v>350</v>
      </c>
      <c r="E5" s="110" t="s">
        <v>378</v>
      </c>
      <c r="F5" s="110" t="s">
        <v>380</v>
      </c>
      <c r="G5" s="110" t="s">
        <v>381</v>
      </c>
      <c r="H5" s="110" t="s">
        <v>375</v>
      </c>
      <c r="I5" s="111">
        <v>46276</v>
      </c>
      <c r="J5" s="110" t="s">
        <v>349</v>
      </c>
      <c r="K5" s="110" t="s">
        <v>354</v>
      </c>
      <c r="L5" s="114">
        <v>2607720</v>
      </c>
      <c r="M5" s="112">
        <v>0.3</v>
      </c>
      <c r="N5" s="110" t="s">
        <v>381</v>
      </c>
      <c r="O5" s="111">
        <v>46275</v>
      </c>
    </row>
    <row r="13" spans="1:16" x14ac:dyDescent="0.35">
      <c r="G13" s="113"/>
    </row>
    <row r="14" spans="1:16" x14ac:dyDescent="0.35">
      <c r="G14" s="113"/>
    </row>
    <row r="15" spans="1:16" x14ac:dyDescent="0.35">
      <c r="G15" s="113"/>
    </row>
    <row r="16" spans="1:16" x14ac:dyDescent="0.35">
      <c r="H16" s="113"/>
    </row>
    <row r="17" spans="6:9" x14ac:dyDescent="0.35">
      <c r="G17" s="113"/>
      <c r="H17" s="113"/>
    </row>
    <row r="18" spans="6:9" x14ac:dyDescent="0.35">
      <c r="H18" s="113"/>
      <c r="I18" s="114"/>
    </row>
    <row r="19" spans="6:9" x14ac:dyDescent="0.35">
      <c r="G19" s="113"/>
      <c r="H19" s="113"/>
    </row>
    <row r="20" spans="6:9" x14ac:dyDescent="0.35">
      <c r="G20" s="113"/>
      <c r="H20" s="113"/>
    </row>
    <row r="23" spans="6:9" x14ac:dyDescent="0.35">
      <c r="F23" s="113"/>
      <c r="H23" s="1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W772"/>
  <sheetViews>
    <sheetView showGridLines="0" topLeftCell="F3" workbookViewId="0">
      <selection activeCell="L10" sqref="L10"/>
    </sheetView>
  </sheetViews>
  <sheetFormatPr baseColWidth="10" defaultColWidth="8.6328125" defaultRowHeight="14.5" x14ac:dyDescent="0.35"/>
  <cols>
    <col min="1" max="1" width="14" customWidth="1"/>
    <col min="2" max="2" width="26.453125" hidden="1" customWidth="1"/>
    <col min="3" max="3" width="14.81640625" hidden="1" customWidth="1"/>
    <col min="4" max="4" width="37.7265625" customWidth="1"/>
    <col min="5" max="6" width="16" style="1" customWidth="1"/>
    <col min="7" max="7" width="21.36328125" style="1" customWidth="1"/>
    <col min="8" max="8" width="22" style="1" customWidth="1"/>
    <col min="9" max="9" width="17.08984375" customWidth="1"/>
    <col min="10" max="10" width="13.6328125" customWidth="1"/>
    <col min="11" max="11" width="23.1796875" customWidth="1"/>
    <col min="12" max="12" width="24.453125" customWidth="1"/>
    <col min="13" max="13" width="22" customWidth="1"/>
    <col min="14" max="14" width="24.1796875" customWidth="1"/>
    <col min="15" max="15" width="9.81640625" bestFit="1" customWidth="1"/>
  </cols>
  <sheetData>
    <row r="1" spans="1:13" ht="25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5" t="s">
        <v>321</v>
      </c>
      <c r="M1" s="5" t="s">
        <v>322</v>
      </c>
    </row>
    <row r="2" spans="1:13" x14ac:dyDescent="0.35">
      <c r="A2" s="38" t="s">
        <v>270</v>
      </c>
      <c r="B2" s="38" t="s">
        <v>271</v>
      </c>
      <c r="C2" s="38" t="s">
        <v>107</v>
      </c>
      <c r="D2" s="38" t="s">
        <v>108</v>
      </c>
      <c r="E2" s="50">
        <v>92681500</v>
      </c>
      <c r="F2" s="50">
        <f>10664351.04-44409.09</f>
        <v>10619941.949999999</v>
      </c>
      <c r="G2" s="50">
        <v>4245902.59</v>
      </c>
      <c r="H2" s="50">
        <f>F2+G2</f>
        <v>14865844.539999999</v>
      </c>
      <c r="I2" s="60">
        <f>E2-H2</f>
        <v>77815655.460000008</v>
      </c>
      <c r="J2" s="18">
        <f t="shared" ref="J2:J9" si="0">IFERROR(H2/E2,0)</f>
        <v>0.16039710772915844</v>
      </c>
      <c r="K2" s="19" t="str">
        <f t="shared" ref="K2:K9" si="1">IF(E2=0,"Sin Plan",IF(J2&gt;=1,"Completado",IF(J2&gt;0.001,"En Progreso","Pendiente de ejecutar")))</f>
        <v>En Progreso</v>
      </c>
      <c r="L2" s="6" t="s">
        <v>328</v>
      </c>
      <c r="M2" s="6" t="s">
        <v>325</v>
      </c>
    </row>
    <row r="3" spans="1:13" x14ac:dyDescent="0.35">
      <c r="A3" s="61" t="s">
        <v>147</v>
      </c>
      <c r="B3" s="61" t="s">
        <v>148</v>
      </c>
      <c r="C3" s="61" t="s">
        <v>149</v>
      </c>
      <c r="D3" s="61" t="s">
        <v>150</v>
      </c>
      <c r="E3" s="51">
        <v>42400000</v>
      </c>
      <c r="F3" s="46">
        <v>20900165.120000001</v>
      </c>
      <c r="G3" s="51">
        <v>10359237.869999999</v>
      </c>
      <c r="H3" s="50">
        <f t="shared" ref="H3:H66" si="2">F3+G3</f>
        <v>31259402.990000002</v>
      </c>
      <c r="I3" s="60">
        <f t="shared" ref="I3:I66" si="3">E3-H3</f>
        <v>11140597.009999998</v>
      </c>
      <c r="J3" s="25">
        <f t="shared" si="0"/>
        <v>0.73725007051886793</v>
      </c>
      <c r="K3" s="26" t="str">
        <f t="shared" si="1"/>
        <v>En Progreso</v>
      </c>
      <c r="L3" s="6" t="s">
        <v>328</v>
      </c>
      <c r="M3" s="6" t="s">
        <v>325</v>
      </c>
    </row>
    <row r="4" spans="1:13" x14ac:dyDescent="0.35">
      <c r="A4" s="38" t="s">
        <v>213</v>
      </c>
      <c r="B4" s="38" t="s">
        <v>208</v>
      </c>
      <c r="C4" s="38" t="s">
        <v>39</v>
      </c>
      <c r="D4" s="38" t="s">
        <v>40</v>
      </c>
      <c r="E4" s="51">
        <v>26970000</v>
      </c>
      <c r="F4" s="51">
        <v>0</v>
      </c>
      <c r="G4" s="51">
        <v>26490051.02</v>
      </c>
      <c r="H4" s="50">
        <f t="shared" si="2"/>
        <v>26490051.02</v>
      </c>
      <c r="I4" s="60">
        <f t="shared" si="3"/>
        <v>479948.98000000045</v>
      </c>
      <c r="J4" s="34">
        <f t="shared" si="0"/>
        <v>0.98220433889506853</v>
      </c>
      <c r="K4" s="35" t="str">
        <f t="shared" si="1"/>
        <v>En Progreso</v>
      </c>
      <c r="L4" s="6" t="s">
        <v>326</v>
      </c>
      <c r="M4" s="6" t="s">
        <v>325</v>
      </c>
    </row>
    <row r="5" spans="1:13" x14ac:dyDescent="0.35">
      <c r="A5" s="61" t="s">
        <v>147</v>
      </c>
      <c r="B5" s="61" t="s">
        <v>148</v>
      </c>
      <c r="C5" s="61" t="s">
        <v>153</v>
      </c>
      <c r="D5" s="61" t="s">
        <v>153</v>
      </c>
      <c r="E5" s="51">
        <v>26000000</v>
      </c>
      <c r="F5" s="51">
        <v>0</v>
      </c>
      <c r="G5" s="51">
        <v>0</v>
      </c>
      <c r="H5" s="50">
        <f t="shared" si="2"/>
        <v>0</v>
      </c>
      <c r="I5" s="60">
        <f t="shared" si="3"/>
        <v>26000000</v>
      </c>
      <c r="J5" s="25">
        <f t="shared" si="0"/>
        <v>0</v>
      </c>
      <c r="K5" s="26" t="str">
        <f t="shared" si="1"/>
        <v>Pendiente de ejecutar</v>
      </c>
      <c r="L5" s="107" t="s">
        <v>326</v>
      </c>
      <c r="M5" s="6" t="s">
        <v>325</v>
      </c>
    </row>
    <row r="6" spans="1:13" x14ac:dyDescent="0.35">
      <c r="A6" s="38" t="s">
        <v>243</v>
      </c>
      <c r="B6" s="38" t="s">
        <v>208</v>
      </c>
      <c r="C6" s="38" t="s">
        <v>37</v>
      </c>
      <c r="D6" s="38" t="s">
        <v>38</v>
      </c>
      <c r="E6" s="51">
        <v>21240000</v>
      </c>
      <c r="F6" s="51">
        <v>0</v>
      </c>
      <c r="G6" s="51">
        <v>0</v>
      </c>
      <c r="H6" s="50">
        <f t="shared" si="2"/>
        <v>0</v>
      </c>
      <c r="I6" s="60">
        <f t="shared" si="3"/>
        <v>21240000</v>
      </c>
      <c r="J6" s="34">
        <f t="shared" si="0"/>
        <v>0</v>
      </c>
      <c r="K6" s="35" t="str">
        <f t="shared" si="1"/>
        <v>Pendiente de ejecutar</v>
      </c>
      <c r="L6" s="6" t="s">
        <v>326</v>
      </c>
      <c r="M6" s="6" t="s">
        <v>325</v>
      </c>
    </row>
    <row r="7" spans="1:13" x14ac:dyDescent="0.35">
      <c r="A7" s="63" t="s">
        <v>231</v>
      </c>
      <c r="B7" s="38" t="s">
        <v>208</v>
      </c>
      <c r="C7" s="63" t="s">
        <v>37</v>
      </c>
      <c r="D7" s="38" t="s">
        <v>38</v>
      </c>
      <c r="E7" s="50">
        <v>19653015.640000001</v>
      </c>
      <c r="F7" s="50">
        <v>0</v>
      </c>
      <c r="G7" s="50">
        <v>4224227.12</v>
      </c>
      <c r="H7" s="50">
        <f t="shared" si="2"/>
        <v>4224227.12</v>
      </c>
      <c r="I7" s="60">
        <f t="shared" si="3"/>
        <v>15428788.52</v>
      </c>
      <c r="J7" s="21">
        <f t="shared" si="0"/>
        <v>0.21494040392469763</v>
      </c>
      <c r="K7" s="22" t="str">
        <f t="shared" si="1"/>
        <v>En Progreso</v>
      </c>
      <c r="L7" s="6" t="s">
        <v>326</v>
      </c>
      <c r="M7" s="6" t="s">
        <v>325</v>
      </c>
    </row>
    <row r="8" spans="1:13" x14ac:dyDescent="0.35">
      <c r="A8" s="38" t="s">
        <v>169</v>
      </c>
      <c r="B8" s="38" t="s">
        <v>208</v>
      </c>
      <c r="C8" s="38" t="s">
        <v>37</v>
      </c>
      <c r="D8" s="38" t="s">
        <v>38</v>
      </c>
      <c r="E8" s="50">
        <v>15100000</v>
      </c>
      <c r="F8" s="50">
        <f>4120271.88*2</f>
        <v>8240543.7599999998</v>
      </c>
      <c r="G8" s="50">
        <v>70000</v>
      </c>
      <c r="H8" s="50">
        <f t="shared" si="2"/>
        <v>8310543.7599999998</v>
      </c>
      <c r="I8" s="60">
        <f t="shared" si="3"/>
        <v>6789456.2400000002</v>
      </c>
      <c r="J8" s="18">
        <f t="shared" si="0"/>
        <v>0.55036713642384105</v>
      </c>
      <c r="K8" s="19" t="str">
        <f t="shared" si="1"/>
        <v>En Progreso</v>
      </c>
      <c r="L8" s="6" t="s">
        <v>326</v>
      </c>
      <c r="M8" s="6" t="s">
        <v>325</v>
      </c>
    </row>
    <row r="9" spans="1:13" x14ac:dyDescent="0.35">
      <c r="A9" s="61" t="s">
        <v>229</v>
      </c>
      <c r="B9" s="38" t="s">
        <v>208</v>
      </c>
      <c r="C9" s="61" t="s">
        <v>37</v>
      </c>
      <c r="D9" s="38" t="s">
        <v>38</v>
      </c>
      <c r="E9" s="51">
        <v>13935000</v>
      </c>
      <c r="F9" s="51">
        <f>17067.28*3</f>
        <v>51201.84</v>
      </c>
      <c r="G9" s="51">
        <v>7818647.7199999997</v>
      </c>
      <c r="H9" s="50">
        <f t="shared" si="2"/>
        <v>7869849.5599999996</v>
      </c>
      <c r="I9" s="60">
        <f t="shared" si="3"/>
        <v>6065150.4400000004</v>
      </c>
      <c r="J9" s="25">
        <f t="shared" si="0"/>
        <v>0.56475418442769998</v>
      </c>
      <c r="K9" s="26" t="str">
        <f t="shared" si="1"/>
        <v>En Progreso</v>
      </c>
      <c r="L9" s="6" t="s">
        <v>326</v>
      </c>
      <c r="M9" s="6" t="s">
        <v>325</v>
      </c>
    </row>
    <row r="10" spans="1:13" x14ac:dyDescent="0.35">
      <c r="A10" s="70" t="s">
        <v>11</v>
      </c>
      <c r="B10" s="11" t="s">
        <v>324</v>
      </c>
      <c r="C10" s="12"/>
      <c r="D10" s="11" t="s">
        <v>12</v>
      </c>
      <c r="E10" s="13">
        <v>126000</v>
      </c>
      <c r="F10" s="13">
        <f>23075.48*2</f>
        <v>46150.96</v>
      </c>
      <c r="G10" s="13"/>
      <c r="H10" s="50">
        <f t="shared" si="2"/>
        <v>46150.96</v>
      </c>
      <c r="I10" s="60">
        <f t="shared" si="3"/>
        <v>79849.040000000008</v>
      </c>
      <c r="J10" s="25">
        <f>IFERROR(H10/E10,0)</f>
        <v>0.36627746031746033</v>
      </c>
      <c r="K10" s="26" t="str">
        <f>IF(E10=0,"Sin Plan",IF(J10&gt;=1,"Completado",IF(J10&gt;0.001,"En Progreso","Pendiente de ejecutar")))</f>
        <v>En Progreso</v>
      </c>
      <c r="L10" s="6" t="s">
        <v>328</v>
      </c>
      <c r="M10" s="6" t="s">
        <v>323</v>
      </c>
    </row>
    <row r="11" spans="1:13" x14ac:dyDescent="0.35">
      <c r="A11" s="61" t="s">
        <v>295</v>
      </c>
      <c r="B11" s="38" t="s">
        <v>208</v>
      </c>
      <c r="C11" s="61" t="s">
        <v>37</v>
      </c>
      <c r="D11" s="38" t="s">
        <v>38</v>
      </c>
      <c r="E11" s="51">
        <v>12480000</v>
      </c>
      <c r="F11" s="51">
        <v>602725.14</v>
      </c>
      <c r="G11" s="51">
        <v>0</v>
      </c>
      <c r="H11" s="50">
        <f t="shared" si="2"/>
        <v>602725.14</v>
      </c>
      <c r="I11" s="60">
        <f t="shared" si="3"/>
        <v>11877274.859999999</v>
      </c>
      <c r="J11" s="25">
        <f>IFERROR(H11/E11,0)</f>
        <v>4.8295283653846152E-2</v>
      </c>
      <c r="K11" s="26" t="str">
        <f>IF(E11=0,"Sin Plan",IF(J11&gt;=1,"Completado",IF(J11&gt;0.001,"En Progreso","Pendiente de ejecutar")))</f>
        <v>En Progreso</v>
      </c>
      <c r="L11" s="6" t="s">
        <v>326</v>
      </c>
      <c r="M11" s="6" t="s">
        <v>325</v>
      </c>
    </row>
    <row r="12" spans="1:13" x14ac:dyDescent="0.35">
      <c r="A12" s="38" t="s">
        <v>210</v>
      </c>
      <c r="B12" s="38" t="s">
        <v>208</v>
      </c>
      <c r="C12" s="38" t="s">
        <v>33</v>
      </c>
      <c r="D12" s="38" t="s">
        <v>34</v>
      </c>
      <c r="E12" s="50">
        <v>12275000</v>
      </c>
      <c r="F12" s="50">
        <v>0</v>
      </c>
      <c r="G12" s="50">
        <v>6068531.9199999999</v>
      </c>
      <c r="H12" s="50">
        <f t="shared" si="2"/>
        <v>6068531.9199999999</v>
      </c>
      <c r="I12" s="60">
        <f t="shared" si="3"/>
        <v>6206468.0800000001</v>
      </c>
      <c r="J12" s="18">
        <f>IFERROR(H12/E12,0)</f>
        <v>0.49438141914460282</v>
      </c>
      <c r="K12" s="19" t="str">
        <f>IF(E12=0,"Sin Plan",IF(J12&gt;=1,"Completado",IF(J12&gt;0.001,"En Progreso","Pendiente de ejecutar")))</f>
        <v>En Progreso</v>
      </c>
      <c r="L12" s="6" t="s">
        <v>326</v>
      </c>
      <c r="M12" s="6" t="s">
        <v>325</v>
      </c>
    </row>
    <row r="13" spans="1:13" x14ac:dyDescent="0.35">
      <c r="A13" s="70" t="s">
        <v>11</v>
      </c>
      <c r="B13" s="11" t="s">
        <v>324</v>
      </c>
      <c r="C13" s="11" t="s">
        <v>13</v>
      </c>
      <c r="D13" s="11" t="s">
        <v>14</v>
      </c>
      <c r="E13" s="15">
        <v>685000</v>
      </c>
      <c r="F13" s="15">
        <v>0</v>
      </c>
      <c r="G13" s="16">
        <v>716100</v>
      </c>
      <c r="H13" s="50">
        <f t="shared" si="2"/>
        <v>716100</v>
      </c>
      <c r="I13" s="60">
        <f t="shared" si="3"/>
        <v>-31100</v>
      </c>
      <c r="J13" s="25">
        <f t="shared" ref="J13:J20" si="4">IFERROR(H13/E13,0)</f>
        <v>1.0454014598540147</v>
      </c>
      <c r="K13" s="26" t="str">
        <f t="shared" ref="K13:K20" si="5">IF(E13=0,"Sin Plan",IF(J13&gt;=1,"Completado",IF(J13&gt;0.001,"En Progreso","Pendiente de ejecutar")))</f>
        <v>Completado</v>
      </c>
      <c r="L13" s="6" t="s">
        <v>328</v>
      </c>
      <c r="M13" s="6" t="s">
        <v>325</v>
      </c>
    </row>
    <row r="14" spans="1:13" x14ac:dyDescent="0.35">
      <c r="A14" s="70" t="s">
        <v>11</v>
      </c>
      <c r="B14" s="11" t="s">
        <v>324</v>
      </c>
      <c r="C14" s="11" t="s">
        <v>25</v>
      </c>
      <c r="D14" s="11" t="s">
        <v>26</v>
      </c>
      <c r="E14" s="15">
        <v>0</v>
      </c>
      <c r="F14" s="46">
        <v>43660.959999999999</v>
      </c>
      <c r="G14" s="16"/>
      <c r="H14" s="50">
        <f t="shared" si="2"/>
        <v>43660.959999999999</v>
      </c>
      <c r="I14" s="60">
        <f t="shared" si="3"/>
        <v>-43660.959999999999</v>
      </c>
      <c r="J14" s="25">
        <f t="shared" si="4"/>
        <v>0</v>
      </c>
      <c r="K14" s="26" t="str">
        <f t="shared" si="5"/>
        <v>Sin Plan</v>
      </c>
      <c r="L14" s="6" t="s">
        <v>328</v>
      </c>
      <c r="M14" s="6" t="s">
        <v>323</v>
      </c>
    </row>
    <row r="15" spans="1:13" x14ac:dyDescent="0.35">
      <c r="A15" s="70" t="s">
        <v>65</v>
      </c>
      <c r="B15" s="11" t="s">
        <v>324</v>
      </c>
      <c r="C15" s="11" t="s">
        <v>37</v>
      </c>
      <c r="D15" s="11" t="s">
        <v>38</v>
      </c>
      <c r="E15" s="13">
        <v>1589000</v>
      </c>
      <c r="F15" s="13">
        <v>424572.36</v>
      </c>
      <c r="G15" s="13">
        <v>0</v>
      </c>
      <c r="H15" s="50">
        <f t="shared" si="2"/>
        <v>424572.36</v>
      </c>
      <c r="I15" s="60">
        <f t="shared" si="3"/>
        <v>1164427.6400000001</v>
      </c>
      <c r="J15" s="25">
        <f t="shared" si="4"/>
        <v>0.26719468848332284</v>
      </c>
      <c r="K15" s="26" t="str">
        <f t="shared" si="5"/>
        <v>En Progreso</v>
      </c>
      <c r="L15" s="6" t="s">
        <v>326</v>
      </c>
      <c r="M15" s="6" t="s">
        <v>325</v>
      </c>
    </row>
    <row r="16" spans="1:13" x14ac:dyDescent="0.35">
      <c r="A16" s="11" t="s">
        <v>74</v>
      </c>
      <c r="B16" s="11" t="s">
        <v>324</v>
      </c>
      <c r="C16" s="11" t="s">
        <v>37</v>
      </c>
      <c r="D16" s="11" t="s">
        <v>38</v>
      </c>
      <c r="E16" s="13">
        <v>1526000</v>
      </c>
      <c r="F16" s="13">
        <v>628116.88</v>
      </c>
      <c r="G16" s="13">
        <v>0</v>
      </c>
      <c r="H16" s="50">
        <f t="shared" si="2"/>
        <v>628116.88</v>
      </c>
      <c r="I16" s="60">
        <f t="shared" si="3"/>
        <v>897883.12</v>
      </c>
      <c r="J16" s="25">
        <f t="shared" si="4"/>
        <v>0.41161001310615991</v>
      </c>
      <c r="K16" s="26" t="str">
        <f t="shared" si="5"/>
        <v>En Progreso</v>
      </c>
      <c r="L16" s="6" t="s">
        <v>326</v>
      </c>
      <c r="M16" s="6" t="s">
        <v>325</v>
      </c>
    </row>
    <row r="17" spans="1:13" x14ac:dyDescent="0.35">
      <c r="A17" s="20" t="s">
        <v>113</v>
      </c>
      <c r="B17" s="11" t="s">
        <v>324</v>
      </c>
      <c r="C17" s="20" t="s">
        <v>37</v>
      </c>
      <c r="D17" s="11" t="s">
        <v>38</v>
      </c>
      <c r="E17" s="13">
        <v>1526000</v>
      </c>
      <c r="F17" s="13">
        <v>362832.36</v>
      </c>
      <c r="G17" s="13">
        <v>0</v>
      </c>
      <c r="H17" s="50">
        <f t="shared" si="2"/>
        <v>362832.36</v>
      </c>
      <c r="I17" s="60">
        <f t="shared" si="3"/>
        <v>1163167.6400000001</v>
      </c>
      <c r="J17" s="25">
        <f t="shared" si="4"/>
        <v>0.23776694626474443</v>
      </c>
      <c r="K17" s="26" t="str">
        <f t="shared" si="5"/>
        <v>En Progreso</v>
      </c>
      <c r="L17" s="6" t="s">
        <v>326</v>
      </c>
      <c r="M17" s="6" t="s">
        <v>325</v>
      </c>
    </row>
    <row r="18" spans="1:13" x14ac:dyDescent="0.35">
      <c r="A18" s="20" t="s">
        <v>41</v>
      </c>
      <c r="B18" s="11" t="s">
        <v>324</v>
      </c>
      <c r="C18" s="20" t="s">
        <v>37</v>
      </c>
      <c r="D18" s="11" t="s">
        <v>38</v>
      </c>
      <c r="E18" s="13">
        <v>1463000</v>
      </c>
      <c r="F18" s="13">
        <v>612102.36</v>
      </c>
      <c r="G18" s="13">
        <v>0</v>
      </c>
      <c r="H18" s="50">
        <f t="shared" si="2"/>
        <v>612102.36</v>
      </c>
      <c r="I18" s="60">
        <f t="shared" si="3"/>
        <v>850897.64</v>
      </c>
      <c r="J18" s="25">
        <f t="shared" si="4"/>
        <v>0.41838848940533152</v>
      </c>
      <c r="K18" s="26" t="str">
        <f t="shared" si="5"/>
        <v>En Progreso</v>
      </c>
      <c r="L18" s="6" t="s">
        <v>326</v>
      </c>
      <c r="M18" s="6" t="s">
        <v>325</v>
      </c>
    </row>
    <row r="19" spans="1:13" x14ac:dyDescent="0.35">
      <c r="A19" s="20" t="s">
        <v>70</v>
      </c>
      <c r="B19" s="11" t="s">
        <v>324</v>
      </c>
      <c r="C19" s="20" t="s">
        <v>37</v>
      </c>
      <c r="D19" s="11" t="s">
        <v>38</v>
      </c>
      <c r="E19" s="13">
        <v>1463000</v>
      </c>
      <c r="F19" s="13">
        <v>612102.36</v>
      </c>
      <c r="G19" s="13">
        <v>0</v>
      </c>
      <c r="H19" s="50">
        <f t="shared" si="2"/>
        <v>612102.36</v>
      </c>
      <c r="I19" s="60">
        <f t="shared" si="3"/>
        <v>850897.64</v>
      </c>
      <c r="J19" s="25">
        <f t="shared" si="4"/>
        <v>0.41838848940533152</v>
      </c>
      <c r="K19" s="26" t="str">
        <f t="shared" si="5"/>
        <v>En Progreso</v>
      </c>
      <c r="L19" s="6" t="s">
        <v>326</v>
      </c>
      <c r="M19" s="6" t="s">
        <v>325</v>
      </c>
    </row>
    <row r="20" spans="1:13" x14ac:dyDescent="0.35">
      <c r="A20" s="11" t="s">
        <v>57</v>
      </c>
      <c r="B20" s="11" t="s">
        <v>324</v>
      </c>
      <c r="C20" s="11" t="s">
        <v>37</v>
      </c>
      <c r="D20" s="11" t="s">
        <v>38</v>
      </c>
      <c r="E20" s="15">
        <f>1400000+63000</f>
        <v>1463000</v>
      </c>
      <c r="F20" s="15">
        <v>635177.84000000008</v>
      </c>
      <c r="G20" s="15">
        <v>0</v>
      </c>
      <c r="H20" s="50">
        <f t="shared" si="2"/>
        <v>635177.84000000008</v>
      </c>
      <c r="I20" s="60">
        <f t="shared" si="3"/>
        <v>827822.15999999992</v>
      </c>
      <c r="J20" s="25">
        <f t="shared" si="4"/>
        <v>0.43416120300751887</v>
      </c>
      <c r="K20" s="26" t="str">
        <f t="shared" si="5"/>
        <v>En Progreso</v>
      </c>
      <c r="L20" s="6" t="s">
        <v>326</v>
      </c>
      <c r="M20" s="6" t="s">
        <v>325</v>
      </c>
    </row>
    <row r="21" spans="1:13" x14ac:dyDescent="0.35">
      <c r="A21" s="38" t="s">
        <v>186</v>
      </c>
      <c r="B21" s="38" t="s">
        <v>208</v>
      </c>
      <c r="C21" s="38" t="s">
        <v>39</v>
      </c>
      <c r="D21" s="38" t="s">
        <v>40</v>
      </c>
      <c r="E21" s="51">
        <v>8768000</v>
      </c>
      <c r="F21" s="51">
        <v>0</v>
      </c>
      <c r="G21" s="51">
        <v>6023870.4000000004</v>
      </c>
      <c r="H21" s="50">
        <f t="shared" si="2"/>
        <v>6023870.4000000004</v>
      </c>
      <c r="I21" s="60">
        <f t="shared" si="3"/>
        <v>2744129.5999999996</v>
      </c>
      <c r="J21" s="18">
        <f t="shared" ref="J21:J52" si="6">IFERROR(H21/E21,0)</f>
        <v>0.68702901459854016</v>
      </c>
      <c r="K21" s="19" t="str">
        <f t="shared" ref="K21:K52" si="7">IF(E21=0,"Sin Plan",IF(J21&gt;=1,"Completado",IF(J21&gt;0.001,"En Progreso","Pendiente de ejecutar")))</f>
        <v>En Progreso</v>
      </c>
      <c r="L21" s="6" t="s">
        <v>326</v>
      </c>
      <c r="M21" s="6" t="s">
        <v>325</v>
      </c>
    </row>
    <row r="22" spans="1:13" x14ac:dyDescent="0.35">
      <c r="A22" s="61" t="s">
        <v>125</v>
      </c>
      <c r="B22" s="38" t="s">
        <v>129</v>
      </c>
      <c r="C22" s="61" t="s">
        <v>47</v>
      </c>
      <c r="D22" s="61" t="s">
        <v>48</v>
      </c>
      <c r="E22" s="51">
        <v>8464000</v>
      </c>
      <c r="F22" s="51">
        <f>4353745.37+553294.48</f>
        <v>4907039.8499999996</v>
      </c>
      <c r="G22" s="51">
        <v>0</v>
      </c>
      <c r="H22" s="50">
        <f t="shared" si="2"/>
        <v>4907039.8499999996</v>
      </c>
      <c r="I22" s="60">
        <f t="shared" si="3"/>
        <v>3556960.1500000004</v>
      </c>
      <c r="J22" s="25">
        <f t="shared" si="6"/>
        <v>0.57975423558601125</v>
      </c>
      <c r="K22" s="26" t="str">
        <f t="shared" si="7"/>
        <v>En Progreso</v>
      </c>
      <c r="L22" s="6" t="s">
        <v>328</v>
      </c>
      <c r="M22" s="6" t="s">
        <v>325</v>
      </c>
    </row>
    <row r="23" spans="1:13" x14ac:dyDescent="0.35">
      <c r="A23" s="38" t="s">
        <v>270</v>
      </c>
      <c r="B23" s="38" t="s">
        <v>271</v>
      </c>
      <c r="C23" s="38" t="s">
        <v>39</v>
      </c>
      <c r="D23" s="38" t="s">
        <v>40</v>
      </c>
      <c r="E23" s="51">
        <v>8300000</v>
      </c>
      <c r="F23" s="98">
        <v>1157672.57</v>
      </c>
      <c r="G23" s="51">
        <v>0</v>
      </c>
      <c r="H23" s="50">
        <f t="shared" si="2"/>
        <v>1157672.57</v>
      </c>
      <c r="I23" s="60">
        <f t="shared" si="3"/>
        <v>7142327.4299999997</v>
      </c>
      <c r="J23" s="18">
        <f t="shared" si="6"/>
        <v>0.13947862289156626</v>
      </c>
      <c r="K23" s="19" t="str">
        <f t="shared" si="7"/>
        <v>En Progreso</v>
      </c>
      <c r="L23" s="6" t="s">
        <v>326</v>
      </c>
      <c r="M23" s="6" t="s">
        <v>325</v>
      </c>
    </row>
    <row r="24" spans="1:13" x14ac:dyDescent="0.35">
      <c r="A24" s="63" t="s">
        <v>270</v>
      </c>
      <c r="B24" s="63" t="s">
        <v>271</v>
      </c>
      <c r="C24" s="63" t="s">
        <v>37</v>
      </c>
      <c r="D24" s="38" t="s">
        <v>38</v>
      </c>
      <c r="E24" s="50">
        <v>8000000</v>
      </c>
      <c r="F24" s="98">
        <v>517449.16</v>
      </c>
      <c r="G24" s="31">
        <v>425000</v>
      </c>
      <c r="H24" s="50">
        <f t="shared" si="2"/>
        <v>942449.15999999992</v>
      </c>
      <c r="I24" s="60">
        <f t="shared" si="3"/>
        <v>7057550.8399999999</v>
      </c>
      <c r="J24" s="21">
        <f t="shared" si="6"/>
        <v>0.11780614499999999</v>
      </c>
      <c r="K24" s="22" t="str">
        <f t="shared" si="7"/>
        <v>En Progreso</v>
      </c>
      <c r="L24" s="6" t="s">
        <v>326</v>
      </c>
      <c r="M24" s="6" t="s">
        <v>325</v>
      </c>
    </row>
    <row r="25" spans="1:13" x14ac:dyDescent="0.35">
      <c r="A25" s="38" t="s">
        <v>210</v>
      </c>
      <c r="B25" s="38" t="s">
        <v>208</v>
      </c>
      <c r="C25" s="38" t="s">
        <v>39</v>
      </c>
      <c r="D25" s="38" t="s">
        <v>40</v>
      </c>
      <c r="E25" s="51">
        <v>7590000</v>
      </c>
      <c r="F25" s="51">
        <v>0</v>
      </c>
      <c r="G25" s="51">
        <v>0</v>
      </c>
      <c r="H25" s="50">
        <f t="shared" si="2"/>
        <v>0</v>
      </c>
      <c r="I25" s="60">
        <f t="shared" si="3"/>
        <v>7590000</v>
      </c>
      <c r="J25" s="18">
        <f t="shared" si="6"/>
        <v>0</v>
      </c>
      <c r="K25" s="19" t="str">
        <f t="shared" si="7"/>
        <v>Pendiente de ejecutar</v>
      </c>
      <c r="L25" s="6" t="s">
        <v>326</v>
      </c>
      <c r="M25" s="6" t="s">
        <v>325</v>
      </c>
    </row>
    <row r="26" spans="1:13" x14ac:dyDescent="0.35">
      <c r="A26" s="38" t="s">
        <v>128</v>
      </c>
      <c r="B26" s="38" t="s">
        <v>129</v>
      </c>
      <c r="C26" s="38" t="s">
        <v>130</v>
      </c>
      <c r="D26" s="38" t="s">
        <v>131</v>
      </c>
      <c r="E26" s="51">
        <v>7200224</v>
      </c>
      <c r="F26" s="51">
        <v>0</v>
      </c>
      <c r="G26" s="51">
        <v>9257658.2100000009</v>
      </c>
      <c r="H26" s="50">
        <f t="shared" si="2"/>
        <v>9257658.2100000009</v>
      </c>
      <c r="I26" s="60">
        <f t="shared" si="3"/>
        <v>-2057434.2100000009</v>
      </c>
      <c r="J26" s="18">
        <f t="shared" si="6"/>
        <v>1.2857458615176418</v>
      </c>
      <c r="K26" s="19" t="str">
        <f t="shared" si="7"/>
        <v>Completado</v>
      </c>
      <c r="L26" s="6" t="s">
        <v>326</v>
      </c>
      <c r="M26" s="6" t="s">
        <v>325</v>
      </c>
    </row>
    <row r="27" spans="1:13" x14ac:dyDescent="0.35">
      <c r="A27" s="61" t="s">
        <v>246</v>
      </c>
      <c r="B27" s="11" t="s">
        <v>208</v>
      </c>
      <c r="C27" s="36" t="s">
        <v>23</v>
      </c>
      <c r="D27" s="61" t="s">
        <v>24</v>
      </c>
      <c r="E27" s="51">
        <v>4284000</v>
      </c>
      <c r="F27" s="51"/>
      <c r="G27" s="51">
        <v>0</v>
      </c>
      <c r="H27" s="50">
        <f t="shared" si="2"/>
        <v>0</v>
      </c>
      <c r="I27" s="60">
        <f t="shared" si="3"/>
        <v>4284000</v>
      </c>
      <c r="J27" s="21">
        <f t="shared" si="6"/>
        <v>0</v>
      </c>
      <c r="K27" s="22" t="str">
        <f t="shared" si="7"/>
        <v>Pendiente de ejecutar</v>
      </c>
      <c r="L27" s="6" t="s">
        <v>326</v>
      </c>
      <c r="M27" s="6" t="s">
        <v>325</v>
      </c>
    </row>
    <row r="28" spans="1:13" x14ac:dyDescent="0.35">
      <c r="A28" s="38" t="s">
        <v>268</v>
      </c>
      <c r="B28" s="38" t="s">
        <v>269</v>
      </c>
      <c r="C28" s="38" t="s">
        <v>39</v>
      </c>
      <c r="D28" s="38" t="s">
        <v>40</v>
      </c>
      <c r="E28" s="50">
        <v>6655000</v>
      </c>
      <c r="F28" s="50">
        <v>0</v>
      </c>
      <c r="G28" s="50">
        <v>0</v>
      </c>
      <c r="H28" s="50">
        <f t="shared" si="2"/>
        <v>0</v>
      </c>
      <c r="I28" s="60">
        <f t="shared" si="3"/>
        <v>6655000</v>
      </c>
      <c r="J28" s="18">
        <f t="shared" si="6"/>
        <v>0</v>
      </c>
      <c r="K28" s="19" t="str">
        <f t="shared" si="7"/>
        <v>Pendiente de ejecutar</v>
      </c>
      <c r="L28" s="6" t="s">
        <v>326</v>
      </c>
      <c r="M28" s="6" t="s">
        <v>325</v>
      </c>
    </row>
    <row r="29" spans="1:13" x14ac:dyDescent="0.35">
      <c r="A29" s="63" t="s">
        <v>205</v>
      </c>
      <c r="B29" s="38" t="s">
        <v>208</v>
      </c>
      <c r="C29" s="63" t="s">
        <v>21</v>
      </c>
      <c r="D29" s="63" t="s">
        <v>22</v>
      </c>
      <c r="E29" s="50">
        <v>6280000</v>
      </c>
      <c r="F29" s="50">
        <v>0</v>
      </c>
      <c r="G29" s="68"/>
      <c r="H29" s="50">
        <f t="shared" si="2"/>
        <v>0</v>
      </c>
      <c r="I29" s="60">
        <f t="shared" si="3"/>
        <v>6280000</v>
      </c>
      <c r="J29" s="21">
        <f t="shared" si="6"/>
        <v>0</v>
      </c>
      <c r="K29" s="22" t="str">
        <f t="shared" si="7"/>
        <v>Pendiente de ejecutar</v>
      </c>
      <c r="L29" s="6" t="s">
        <v>326</v>
      </c>
      <c r="M29" s="6" t="s">
        <v>325</v>
      </c>
    </row>
    <row r="30" spans="1:13" x14ac:dyDescent="0.35">
      <c r="A30" s="38" t="s">
        <v>205</v>
      </c>
      <c r="B30" s="38" t="s">
        <v>208</v>
      </c>
      <c r="C30" s="38" t="s">
        <v>66</v>
      </c>
      <c r="D30" s="38" t="s">
        <v>67</v>
      </c>
      <c r="E30" s="51">
        <f>7598250-1404000</f>
        <v>6194250</v>
      </c>
      <c r="F30" s="51">
        <v>0</v>
      </c>
      <c r="G30" s="51">
        <v>0</v>
      </c>
      <c r="H30" s="50">
        <f t="shared" si="2"/>
        <v>0</v>
      </c>
      <c r="I30" s="60">
        <f t="shared" si="3"/>
        <v>6194250</v>
      </c>
      <c r="J30" s="34">
        <f t="shared" si="6"/>
        <v>0</v>
      </c>
      <c r="K30" s="35" t="str">
        <f t="shared" si="7"/>
        <v>Pendiente de ejecutar</v>
      </c>
      <c r="L30" s="6" t="s">
        <v>328</v>
      </c>
      <c r="M30" s="6" t="s">
        <v>325</v>
      </c>
    </row>
    <row r="31" spans="1:13" x14ac:dyDescent="0.35">
      <c r="A31" s="38" t="s">
        <v>169</v>
      </c>
      <c r="B31" s="38" t="s">
        <v>208</v>
      </c>
      <c r="C31" s="38" t="s">
        <v>39</v>
      </c>
      <c r="D31" s="38" t="s">
        <v>40</v>
      </c>
      <c r="E31" s="51">
        <v>6080000</v>
      </c>
      <c r="F31" s="51">
        <v>0</v>
      </c>
      <c r="G31" s="46">
        <v>3069000</v>
      </c>
      <c r="H31" s="50">
        <f t="shared" si="2"/>
        <v>3069000</v>
      </c>
      <c r="I31" s="60">
        <f t="shared" si="3"/>
        <v>3011000</v>
      </c>
      <c r="J31" s="18">
        <f t="shared" si="6"/>
        <v>0.50476973684210524</v>
      </c>
      <c r="K31" s="19" t="str">
        <f t="shared" si="7"/>
        <v>En Progreso</v>
      </c>
      <c r="L31" s="6" t="s">
        <v>326</v>
      </c>
      <c r="M31" s="6" t="s">
        <v>325</v>
      </c>
    </row>
    <row r="32" spans="1:13" x14ac:dyDescent="0.35">
      <c r="A32" s="38" t="s">
        <v>287</v>
      </c>
      <c r="B32" s="38" t="s">
        <v>208</v>
      </c>
      <c r="C32" s="38" t="s">
        <v>39</v>
      </c>
      <c r="D32" s="38" t="s">
        <v>40</v>
      </c>
      <c r="E32" s="50">
        <v>6000000</v>
      </c>
      <c r="F32" s="50">
        <v>219033</v>
      </c>
      <c r="G32" s="50">
        <v>373830</v>
      </c>
      <c r="H32" s="50">
        <f t="shared" si="2"/>
        <v>592863</v>
      </c>
      <c r="I32" s="60">
        <f t="shared" si="3"/>
        <v>5407137</v>
      </c>
      <c r="J32" s="34">
        <f t="shared" si="6"/>
        <v>9.8810499999999996E-2</v>
      </c>
      <c r="K32" s="35" t="str">
        <f t="shared" si="7"/>
        <v>En Progreso</v>
      </c>
      <c r="L32" s="6" t="s">
        <v>326</v>
      </c>
      <c r="M32" s="6" t="s">
        <v>325</v>
      </c>
    </row>
    <row r="33" spans="1:13" x14ac:dyDescent="0.35">
      <c r="A33" s="38" t="s">
        <v>240</v>
      </c>
      <c r="B33" s="38" t="s">
        <v>208</v>
      </c>
      <c r="C33" s="38" t="s">
        <v>33</v>
      </c>
      <c r="D33" s="38" t="s">
        <v>34</v>
      </c>
      <c r="E33" s="50">
        <v>5600000</v>
      </c>
      <c r="F33" s="50">
        <v>0</v>
      </c>
      <c r="G33" s="50">
        <v>2719482.69</v>
      </c>
      <c r="H33" s="50">
        <f t="shared" si="2"/>
        <v>2719482.69</v>
      </c>
      <c r="I33" s="60">
        <f t="shared" si="3"/>
        <v>2880517.31</v>
      </c>
      <c r="J33" s="18">
        <f t="shared" si="6"/>
        <v>0.48562190892857143</v>
      </c>
      <c r="K33" s="19" t="str">
        <f t="shared" si="7"/>
        <v>En Progreso</v>
      </c>
      <c r="L33" s="6" t="s">
        <v>326</v>
      </c>
      <c r="M33" s="6" t="s">
        <v>325</v>
      </c>
    </row>
    <row r="34" spans="1:13" x14ac:dyDescent="0.35">
      <c r="A34" s="63" t="s">
        <v>277</v>
      </c>
      <c r="B34" s="63" t="s">
        <v>278</v>
      </c>
      <c r="C34" s="63" t="s">
        <v>37</v>
      </c>
      <c r="D34" s="38" t="s">
        <v>38</v>
      </c>
      <c r="E34" s="50">
        <v>5600000</v>
      </c>
      <c r="F34" s="50">
        <v>0</v>
      </c>
      <c r="G34" s="50">
        <v>0</v>
      </c>
      <c r="H34" s="50">
        <f t="shared" si="2"/>
        <v>0</v>
      </c>
      <c r="I34" s="60">
        <f t="shared" si="3"/>
        <v>5600000</v>
      </c>
      <c r="J34" s="21">
        <f t="shared" si="6"/>
        <v>0</v>
      </c>
      <c r="K34" s="22" t="str">
        <f t="shared" si="7"/>
        <v>Pendiente de ejecutar</v>
      </c>
      <c r="L34" s="6" t="s">
        <v>326</v>
      </c>
      <c r="M34" s="6" t="s">
        <v>325</v>
      </c>
    </row>
    <row r="35" spans="1:13" x14ac:dyDescent="0.35">
      <c r="A35" s="38" t="s">
        <v>128</v>
      </c>
      <c r="B35" s="38" t="s">
        <v>129</v>
      </c>
      <c r="C35" s="38" t="s">
        <v>37</v>
      </c>
      <c r="D35" s="38" t="s">
        <v>38</v>
      </c>
      <c r="E35" s="50">
        <v>5500000</v>
      </c>
      <c r="F35" s="50">
        <v>21000</v>
      </c>
      <c r="G35" s="50">
        <v>0</v>
      </c>
      <c r="H35" s="50">
        <f t="shared" si="2"/>
        <v>21000</v>
      </c>
      <c r="I35" s="60">
        <f t="shared" si="3"/>
        <v>5479000</v>
      </c>
      <c r="J35" s="18">
        <f t="shared" si="6"/>
        <v>3.8181818181818182E-3</v>
      </c>
      <c r="K35" s="19" t="str">
        <f t="shared" si="7"/>
        <v>En Progreso</v>
      </c>
      <c r="L35" s="6" t="s">
        <v>326</v>
      </c>
      <c r="M35" s="6" t="s">
        <v>325</v>
      </c>
    </row>
    <row r="36" spans="1:13" x14ac:dyDescent="0.35">
      <c r="A36" s="63" t="s">
        <v>210</v>
      </c>
      <c r="B36" s="38" t="s">
        <v>208</v>
      </c>
      <c r="C36" s="63" t="s">
        <v>66</v>
      </c>
      <c r="D36" s="63" t="s">
        <v>67</v>
      </c>
      <c r="E36" s="50">
        <v>4835000</v>
      </c>
      <c r="F36" s="50">
        <v>0</v>
      </c>
      <c r="G36" s="50">
        <v>3774339.61</v>
      </c>
      <c r="H36" s="50">
        <f t="shared" si="2"/>
        <v>3774339.61</v>
      </c>
      <c r="I36" s="60">
        <f t="shared" si="3"/>
        <v>1060660.3900000001</v>
      </c>
      <c r="J36" s="21">
        <f t="shared" si="6"/>
        <v>0.78062866804550157</v>
      </c>
      <c r="K36" s="22" t="str">
        <f t="shared" si="7"/>
        <v>En Progreso</v>
      </c>
      <c r="L36" s="6" t="s">
        <v>328</v>
      </c>
      <c r="M36" s="6" t="s">
        <v>325</v>
      </c>
    </row>
    <row r="37" spans="1:13" x14ac:dyDescent="0.35">
      <c r="A37" s="20" t="s">
        <v>186</v>
      </c>
      <c r="B37" s="11" t="s">
        <v>208</v>
      </c>
      <c r="C37" s="20" t="s">
        <v>187</v>
      </c>
      <c r="D37" s="36" t="s">
        <v>188</v>
      </c>
      <c r="E37" s="13">
        <v>4780000</v>
      </c>
      <c r="F37" s="50">
        <v>0</v>
      </c>
      <c r="G37" s="15">
        <v>3081528.45</v>
      </c>
      <c r="H37" s="50">
        <f t="shared" ref="H37" si="8">F37+G37</f>
        <v>3081528.45</v>
      </c>
      <c r="I37" s="60">
        <f t="shared" si="3"/>
        <v>1698471.5499999998</v>
      </c>
      <c r="J37" s="21">
        <f t="shared" si="6"/>
        <v>0.64467122384937248</v>
      </c>
      <c r="K37" s="22" t="str">
        <f t="shared" si="7"/>
        <v>En Progreso</v>
      </c>
      <c r="L37" s="107" t="s">
        <v>328</v>
      </c>
      <c r="M37" s="6" t="s">
        <v>325</v>
      </c>
    </row>
    <row r="38" spans="1:13" x14ac:dyDescent="0.35">
      <c r="A38" s="11" t="s">
        <v>240</v>
      </c>
      <c r="B38" s="11" t="s">
        <v>208</v>
      </c>
      <c r="C38" s="11" t="s">
        <v>187</v>
      </c>
      <c r="D38" s="36" t="s">
        <v>188</v>
      </c>
      <c r="E38" s="15">
        <v>4780000</v>
      </c>
      <c r="F38" s="15">
        <v>0</v>
      </c>
      <c r="G38" s="15">
        <v>3081528.45</v>
      </c>
      <c r="H38" s="50">
        <f t="shared" si="2"/>
        <v>3081528.45</v>
      </c>
      <c r="I38" s="60">
        <f t="shared" si="3"/>
        <v>1698471.5499999998</v>
      </c>
      <c r="J38" s="18">
        <f t="shared" si="6"/>
        <v>0.64467122384937248</v>
      </c>
      <c r="K38" s="19" t="str">
        <f t="shared" si="7"/>
        <v>En Progreso</v>
      </c>
      <c r="L38" s="107" t="s">
        <v>328</v>
      </c>
      <c r="M38" s="6" t="s">
        <v>325</v>
      </c>
    </row>
    <row r="39" spans="1:13" x14ac:dyDescent="0.35">
      <c r="A39" s="36" t="s">
        <v>253</v>
      </c>
      <c r="B39" s="11" t="s">
        <v>208</v>
      </c>
      <c r="C39" s="38" t="s">
        <v>187</v>
      </c>
      <c r="D39" s="36" t="s">
        <v>188</v>
      </c>
      <c r="E39" s="31">
        <v>4780000</v>
      </c>
      <c r="F39" s="31">
        <v>0</v>
      </c>
      <c r="G39" s="31">
        <v>3081528.45</v>
      </c>
      <c r="H39" s="50">
        <f t="shared" si="2"/>
        <v>3081528.45</v>
      </c>
      <c r="I39" s="60">
        <f t="shared" si="3"/>
        <v>1698471.5499999998</v>
      </c>
      <c r="J39" s="18">
        <f t="shared" si="6"/>
        <v>0.64467122384937248</v>
      </c>
      <c r="K39" s="19" t="str">
        <f t="shared" si="7"/>
        <v>En Progreso</v>
      </c>
      <c r="L39" s="107" t="s">
        <v>328</v>
      </c>
      <c r="M39" s="6" t="s">
        <v>325</v>
      </c>
    </row>
    <row r="40" spans="1:13" x14ac:dyDescent="0.35">
      <c r="A40" s="23" t="s">
        <v>128</v>
      </c>
      <c r="B40" s="11" t="s">
        <v>129</v>
      </c>
      <c r="C40" s="23" t="s">
        <v>33</v>
      </c>
      <c r="D40" s="23" t="s">
        <v>34</v>
      </c>
      <c r="E40" s="15">
        <v>4500000</v>
      </c>
      <c r="F40" s="15">
        <v>3064270.22</v>
      </c>
      <c r="G40" s="15">
        <v>0</v>
      </c>
      <c r="H40" s="50">
        <f t="shared" si="2"/>
        <v>3064270.22</v>
      </c>
      <c r="I40" s="60">
        <f t="shared" si="3"/>
        <v>1435729.7799999998</v>
      </c>
      <c r="J40" s="25">
        <f t="shared" si="6"/>
        <v>0.68094893777777787</v>
      </c>
      <c r="K40" s="26" t="str">
        <f t="shared" si="7"/>
        <v>En Progreso</v>
      </c>
      <c r="L40" s="6" t="s">
        <v>326</v>
      </c>
      <c r="M40" s="6" t="s">
        <v>325</v>
      </c>
    </row>
    <row r="41" spans="1:13" x14ac:dyDescent="0.35">
      <c r="A41" s="11" t="s">
        <v>144</v>
      </c>
      <c r="B41" s="11" t="s">
        <v>129</v>
      </c>
      <c r="C41" s="11" t="s">
        <v>47</v>
      </c>
      <c r="D41" s="11" t="s">
        <v>48</v>
      </c>
      <c r="E41" s="15">
        <v>4410000</v>
      </c>
      <c r="F41" s="15">
        <v>0</v>
      </c>
      <c r="G41" s="15">
        <v>0</v>
      </c>
      <c r="H41" s="50">
        <f t="shared" si="2"/>
        <v>0</v>
      </c>
      <c r="I41" s="60">
        <f t="shared" si="3"/>
        <v>4410000</v>
      </c>
      <c r="J41" s="18">
        <f t="shared" si="6"/>
        <v>0</v>
      </c>
      <c r="K41" s="19" t="str">
        <f t="shared" si="7"/>
        <v>Pendiente de ejecutar</v>
      </c>
      <c r="L41" s="6" t="s">
        <v>328</v>
      </c>
      <c r="M41" s="6" t="s">
        <v>325</v>
      </c>
    </row>
    <row r="42" spans="1:13" x14ac:dyDescent="0.35">
      <c r="A42" s="32" t="s">
        <v>222</v>
      </c>
      <c r="B42" s="11" t="s">
        <v>208</v>
      </c>
      <c r="C42" s="32" t="s">
        <v>23</v>
      </c>
      <c r="D42" s="32" t="s">
        <v>24</v>
      </c>
      <c r="E42" s="13">
        <v>4356000</v>
      </c>
      <c r="F42" s="13">
        <v>2861682.71</v>
      </c>
      <c r="G42" s="13">
        <v>0</v>
      </c>
      <c r="H42" s="50">
        <f t="shared" si="2"/>
        <v>2861682.71</v>
      </c>
      <c r="I42" s="60">
        <f t="shared" si="3"/>
        <v>1494317.29</v>
      </c>
      <c r="J42" s="34">
        <f t="shared" si="6"/>
        <v>0.65695195362718084</v>
      </c>
      <c r="K42" s="35" t="str">
        <f t="shared" si="7"/>
        <v>En Progreso</v>
      </c>
      <c r="L42" s="6" t="s">
        <v>326</v>
      </c>
      <c r="M42" s="6" t="s">
        <v>325</v>
      </c>
    </row>
    <row r="43" spans="1:13" x14ac:dyDescent="0.35">
      <c r="A43" s="11" t="s">
        <v>292</v>
      </c>
      <c r="B43" s="11" t="s">
        <v>208</v>
      </c>
      <c r="C43" s="11" t="s">
        <v>39</v>
      </c>
      <c r="D43" s="11" t="s">
        <v>40</v>
      </c>
      <c r="E43" s="13">
        <v>4350000</v>
      </c>
      <c r="F43" s="13">
        <v>0</v>
      </c>
      <c r="G43" s="13">
        <v>0</v>
      </c>
      <c r="H43" s="50">
        <f t="shared" si="2"/>
        <v>0</v>
      </c>
      <c r="I43" s="60">
        <f t="shared" si="3"/>
        <v>4350000</v>
      </c>
      <c r="J43" s="18">
        <f t="shared" si="6"/>
        <v>0</v>
      </c>
      <c r="K43" s="19" t="str">
        <f t="shared" si="7"/>
        <v>Pendiente de ejecutar</v>
      </c>
      <c r="L43" s="6" t="s">
        <v>326</v>
      </c>
      <c r="M43" s="6" t="s">
        <v>325</v>
      </c>
    </row>
    <row r="44" spans="1:13" x14ac:dyDescent="0.35">
      <c r="A44" s="61" t="s">
        <v>246</v>
      </c>
      <c r="B44" s="38" t="s">
        <v>208</v>
      </c>
      <c r="C44" s="38" t="s">
        <v>37</v>
      </c>
      <c r="D44" s="61" t="s">
        <v>38</v>
      </c>
      <c r="E44" s="51">
        <v>7000000</v>
      </c>
      <c r="F44" s="51">
        <v>5175909.3</v>
      </c>
      <c r="G44" s="51">
        <v>0</v>
      </c>
      <c r="H44" s="50">
        <f t="shared" si="2"/>
        <v>5175909.3</v>
      </c>
      <c r="I44" s="60">
        <f t="shared" si="3"/>
        <v>1824090.7000000002</v>
      </c>
      <c r="J44" s="21">
        <f t="shared" si="6"/>
        <v>0.73941561428571423</v>
      </c>
      <c r="K44" s="22" t="str">
        <f t="shared" si="7"/>
        <v>En Progreso</v>
      </c>
      <c r="L44" s="6" t="s">
        <v>326</v>
      </c>
      <c r="M44" s="6" t="s">
        <v>325</v>
      </c>
    </row>
    <row r="45" spans="1:13" x14ac:dyDescent="0.35">
      <c r="A45" s="11" t="s">
        <v>160</v>
      </c>
      <c r="B45" s="11" t="s">
        <v>208</v>
      </c>
      <c r="C45" s="11" t="s">
        <v>39</v>
      </c>
      <c r="D45" s="11" t="s">
        <v>40</v>
      </c>
      <c r="E45" s="15">
        <v>4275000</v>
      </c>
      <c r="F45" s="15">
        <v>0</v>
      </c>
      <c r="G45" s="15">
        <v>1675080</v>
      </c>
      <c r="H45" s="50">
        <f t="shared" si="2"/>
        <v>1675080</v>
      </c>
      <c r="I45" s="60">
        <f t="shared" si="3"/>
        <v>2599920</v>
      </c>
      <c r="J45" s="18">
        <f t="shared" si="6"/>
        <v>0.39183157894736842</v>
      </c>
      <c r="K45" s="19" t="str">
        <f t="shared" si="7"/>
        <v>En Progreso</v>
      </c>
      <c r="L45" s="6" t="s">
        <v>326</v>
      </c>
      <c r="M45" s="6" t="s">
        <v>325</v>
      </c>
    </row>
    <row r="46" spans="1:13" x14ac:dyDescent="0.35">
      <c r="A46" s="23" t="s">
        <v>268</v>
      </c>
      <c r="B46" s="23" t="s">
        <v>269</v>
      </c>
      <c r="C46" s="23" t="s">
        <v>63</v>
      </c>
      <c r="D46" s="23" t="s">
        <v>64</v>
      </c>
      <c r="E46" s="15">
        <v>4100000</v>
      </c>
      <c r="F46" s="15">
        <v>0</v>
      </c>
      <c r="G46" s="15">
        <v>0</v>
      </c>
      <c r="H46" s="50">
        <f t="shared" si="2"/>
        <v>0</v>
      </c>
      <c r="I46" s="60">
        <f t="shared" si="3"/>
        <v>4100000</v>
      </c>
      <c r="J46" s="25">
        <f t="shared" si="6"/>
        <v>0</v>
      </c>
      <c r="K46" s="26" t="str">
        <f t="shared" si="7"/>
        <v>Pendiente de ejecutar</v>
      </c>
      <c r="L46" s="6" t="s">
        <v>326</v>
      </c>
      <c r="M46" s="6" t="s">
        <v>325</v>
      </c>
    </row>
    <row r="47" spans="1:13" x14ac:dyDescent="0.35">
      <c r="A47" s="11" t="s">
        <v>225</v>
      </c>
      <c r="B47" s="11" t="s">
        <v>208</v>
      </c>
      <c r="C47" s="11" t="s">
        <v>39</v>
      </c>
      <c r="D47" s="11" t="s">
        <v>40</v>
      </c>
      <c r="E47" s="13">
        <v>4000000</v>
      </c>
      <c r="F47" s="13">
        <v>0</v>
      </c>
      <c r="G47" s="13">
        <v>0</v>
      </c>
      <c r="H47" s="50">
        <f t="shared" si="2"/>
        <v>0</v>
      </c>
      <c r="I47" s="60">
        <f t="shared" si="3"/>
        <v>4000000</v>
      </c>
      <c r="J47" s="18">
        <f t="shared" si="6"/>
        <v>0</v>
      </c>
      <c r="K47" s="19" t="str">
        <f t="shared" si="7"/>
        <v>Pendiente de ejecutar</v>
      </c>
      <c r="L47" s="6" t="s">
        <v>326</v>
      </c>
      <c r="M47" s="6" t="s">
        <v>325</v>
      </c>
    </row>
    <row r="48" spans="1:13" x14ac:dyDescent="0.35">
      <c r="A48" s="20" t="s">
        <v>286</v>
      </c>
      <c r="B48" s="11" t="s">
        <v>208</v>
      </c>
      <c r="C48" s="20" t="s">
        <v>39</v>
      </c>
      <c r="D48" s="20" t="s">
        <v>40</v>
      </c>
      <c r="E48" s="13">
        <v>4000000</v>
      </c>
      <c r="F48" s="13">
        <v>0</v>
      </c>
      <c r="G48" s="13">
        <v>1961057.54</v>
      </c>
      <c r="H48" s="50">
        <f t="shared" si="2"/>
        <v>1961057.54</v>
      </c>
      <c r="I48" s="60">
        <f t="shared" si="3"/>
        <v>2038942.46</v>
      </c>
      <c r="J48" s="21">
        <f t="shared" si="6"/>
        <v>0.49026438500000002</v>
      </c>
      <c r="K48" s="22" t="str">
        <f t="shared" si="7"/>
        <v>En Progreso</v>
      </c>
      <c r="L48" s="6" t="s">
        <v>326</v>
      </c>
      <c r="M48" s="6" t="s">
        <v>325</v>
      </c>
    </row>
    <row r="49" spans="1:13" x14ac:dyDescent="0.35">
      <c r="A49" s="32" t="s">
        <v>212</v>
      </c>
      <c r="B49" s="11" t="s">
        <v>208</v>
      </c>
      <c r="C49" s="32" t="s">
        <v>66</v>
      </c>
      <c r="D49" s="32" t="s">
        <v>67</v>
      </c>
      <c r="E49" s="15">
        <v>3940500</v>
      </c>
      <c r="F49" s="15">
        <v>50601.04</v>
      </c>
      <c r="G49" s="15">
        <v>2986691.51</v>
      </c>
      <c r="H49" s="50">
        <f t="shared" si="2"/>
        <v>3037292.55</v>
      </c>
      <c r="I49" s="60">
        <f t="shared" si="3"/>
        <v>903207.45000000019</v>
      </c>
      <c r="J49" s="34">
        <f t="shared" si="6"/>
        <v>0.77078861819566036</v>
      </c>
      <c r="K49" s="35" t="str">
        <f t="shared" si="7"/>
        <v>En Progreso</v>
      </c>
      <c r="L49" s="6" t="s">
        <v>328</v>
      </c>
      <c r="M49" s="6" t="s">
        <v>325</v>
      </c>
    </row>
    <row r="50" spans="1:13" x14ac:dyDescent="0.35">
      <c r="A50" s="23" t="s">
        <v>290</v>
      </c>
      <c r="B50" s="11" t="s">
        <v>208</v>
      </c>
      <c r="C50" s="23" t="s">
        <v>39</v>
      </c>
      <c r="D50" s="23" t="s">
        <v>40</v>
      </c>
      <c r="E50" s="15">
        <v>3850000</v>
      </c>
      <c r="F50" s="15">
        <v>165127.6</v>
      </c>
      <c r="G50" s="15">
        <v>2139624.19</v>
      </c>
      <c r="H50" s="50">
        <f t="shared" si="2"/>
        <v>2304751.79</v>
      </c>
      <c r="I50" s="60">
        <f t="shared" si="3"/>
        <v>1545248.21</v>
      </c>
      <c r="J50" s="25">
        <f t="shared" si="6"/>
        <v>0.59863682857142864</v>
      </c>
      <c r="K50" s="26" t="str">
        <f t="shared" si="7"/>
        <v>En Progreso</v>
      </c>
      <c r="L50" s="6" t="s">
        <v>326</v>
      </c>
      <c r="M50" s="6" t="s">
        <v>325</v>
      </c>
    </row>
    <row r="51" spans="1:13" x14ac:dyDescent="0.35">
      <c r="A51" s="23" t="s">
        <v>144</v>
      </c>
      <c r="B51" s="11" t="s">
        <v>129</v>
      </c>
      <c r="C51" s="23" t="s">
        <v>134</v>
      </c>
      <c r="D51" s="23" t="s">
        <v>135</v>
      </c>
      <c r="E51" s="15">
        <v>3780000</v>
      </c>
      <c r="F51" s="15">
        <v>0</v>
      </c>
      <c r="G51" s="15">
        <v>0</v>
      </c>
      <c r="H51" s="50">
        <f t="shared" si="2"/>
        <v>0</v>
      </c>
      <c r="I51" s="60">
        <f t="shared" si="3"/>
        <v>3780000</v>
      </c>
      <c r="J51" s="25">
        <f t="shared" si="6"/>
        <v>0</v>
      </c>
      <c r="K51" s="26" t="str">
        <f t="shared" si="7"/>
        <v>Pendiente de ejecutar</v>
      </c>
      <c r="L51" s="6" t="s">
        <v>326</v>
      </c>
      <c r="M51" s="6" t="s">
        <v>325</v>
      </c>
    </row>
    <row r="52" spans="1:13" x14ac:dyDescent="0.35">
      <c r="A52" s="11" t="s">
        <v>202</v>
      </c>
      <c r="B52" s="11" t="s">
        <v>208</v>
      </c>
      <c r="C52" s="11" t="s">
        <v>66</v>
      </c>
      <c r="D52" s="11" t="s">
        <v>67</v>
      </c>
      <c r="E52" s="46">
        <v>3750000</v>
      </c>
      <c r="F52" s="15">
        <v>0</v>
      </c>
      <c r="G52" s="15">
        <v>3072841.46</v>
      </c>
      <c r="H52" s="50">
        <f t="shared" si="2"/>
        <v>3072841.46</v>
      </c>
      <c r="I52" s="60">
        <f t="shared" si="3"/>
        <v>677158.54</v>
      </c>
      <c r="J52" s="18">
        <f t="shared" si="6"/>
        <v>0.81942438933333328</v>
      </c>
      <c r="K52" s="19" t="str">
        <f t="shared" si="7"/>
        <v>En Progreso</v>
      </c>
      <c r="L52" s="6" t="s">
        <v>328</v>
      </c>
      <c r="M52" s="6" t="s">
        <v>325</v>
      </c>
    </row>
    <row r="53" spans="1:13" x14ac:dyDescent="0.35">
      <c r="A53" s="11" t="s">
        <v>232</v>
      </c>
      <c r="B53" s="11" t="s">
        <v>208</v>
      </c>
      <c r="C53" s="11" t="s">
        <v>66</v>
      </c>
      <c r="D53" s="11" t="s">
        <v>67</v>
      </c>
      <c r="E53" s="45">
        <v>3750000</v>
      </c>
      <c r="F53" s="13">
        <v>0</v>
      </c>
      <c r="G53" s="45">
        <v>3613918.33</v>
      </c>
      <c r="H53" s="50">
        <f t="shared" si="2"/>
        <v>3613918.33</v>
      </c>
      <c r="I53" s="60">
        <f t="shared" si="3"/>
        <v>136081.66999999993</v>
      </c>
      <c r="J53" s="18">
        <f t="shared" ref="J53:J84" si="9">IFERROR(H53/E53,0)</f>
        <v>0.96371155466666669</v>
      </c>
      <c r="K53" s="19" t="str">
        <f t="shared" ref="K53:K84" si="10">IF(E53=0,"Sin Plan",IF(J53&gt;=1,"Completado",IF(J53&gt;0.001,"En Progreso","Pendiente de ejecutar")))</f>
        <v>En Progreso</v>
      </c>
      <c r="L53" s="6" t="s">
        <v>328</v>
      </c>
      <c r="M53" s="6" t="s">
        <v>325</v>
      </c>
    </row>
    <row r="54" spans="1:13" s="2" customFormat="1" x14ac:dyDescent="0.35">
      <c r="A54" s="23" t="s">
        <v>292</v>
      </c>
      <c r="B54" s="11" t="s">
        <v>208</v>
      </c>
      <c r="C54" s="23" t="s">
        <v>63</v>
      </c>
      <c r="D54" s="23" t="s">
        <v>64</v>
      </c>
      <c r="E54" s="15">
        <v>3650000</v>
      </c>
      <c r="F54" s="15">
        <v>0</v>
      </c>
      <c r="G54" s="15">
        <v>0</v>
      </c>
      <c r="H54" s="50">
        <f t="shared" si="2"/>
        <v>0</v>
      </c>
      <c r="I54" s="60">
        <f t="shared" si="3"/>
        <v>3650000</v>
      </c>
      <c r="J54" s="25">
        <f t="shared" si="9"/>
        <v>0</v>
      </c>
      <c r="K54" s="26" t="str">
        <f t="shared" si="10"/>
        <v>Pendiente de ejecutar</v>
      </c>
      <c r="L54" s="6" t="s">
        <v>326</v>
      </c>
      <c r="M54" s="6" t="s">
        <v>325</v>
      </c>
    </row>
    <row r="55" spans="1:13" x14ac:dyDescent="0.35">
      <c r="A55" s="11" t="s">
        <v>268</v>
      </c>
      <c r="B55" s="11" t="s">
        <v>269</v>
      </c>
      <c r="C55" s="11" t="s">
        <v>13</v>
      </c>
      <c r="D55" s="11" t="s">
        <v>14</v>
      </c>
      <c r="E55" s="15">
        <v>3630000</v>
      </c>
      <c r="F55" s="15">
        <v>0</v>
      </c>
      <c r="G55" s="15">
        <v>0</v>
      </c>
      <c r="H55" s="50">
        <f t="shared" si="2"/>
        <v>0</v>
      </c>
      <c r="I55" s="60">
        <f t="shared" si="3"/>
        <v>3630000</v>
      </c>
      <c r="J55" s="18">
        <f t="shared" si="9"/>
        <v>0</v>
      </c>
      <c r="K55" s="19" t="str">
        <f t="shared" si="10"/>
        <v>Pendiente de ejecutar</v>
      </c>
      <c r="L55" s="6" t="s">
        <v>328</v>
      </c>
      <c r="M55" s="6" t="s">
        <v>325</v>
      </c>
    </row>
    <row r="56" spans="1:13" x14ac:dyDescent="0.35">
      <c r="A56" s="20" t="s">
        <v>82</v>
      </c>
      <c r="B56" s="11" t="s">
        <v>324</v>
      </c>
      <c r="C56" s="20" t="s">
        <v>37</v>
      </c>
      <c r="D56" s="11" t="s">
        <v>38</v>
      </c>
      <c r="E56" s="13">
        <v>1400000</v>
      </c>
      <c r="F56" s="13">
        <f>410160+326559.32</f>
        <v>736719.32000000007</v>
      </c>
      <c r="G56" s="15"/>
      <c r="H56" s="50">
        <f t="shared" si="2"/>
        <v>736719.32000000007</v>
      </c>
      <c r="I56" s="60">
        <f t="shared" si="3"/>
        <v>663280.67999999993</v>
      </c>
      <c r="J56" s="25">
        <f t="shared" si="9"/>
        <v>0.52622808571428581</v>
      </c>
      <c r="K56" s="26" t="str">
        <f t="shared" si="10"/>
        <v>En Progreso</v>
      </c>
      <c r="L56" s="6" t="s">
        <v>326</v>
      </c>
      <c r="M56" s="6" t="s">
        <v>325</v>
      </c>
    </row>
    <row r="57" spans="1:13" x14ac:dyDescent="0.35">
      <c r="A57" s="23" t="s">
        <v>213</v>
      </c>
      <c r="B57" s="11" t="s">
        <v>208</v>
      </c>
      <c r="C57" s="23" t="s">
        <v>63</v>
      </c>
      <c r="D57" s="23" t="s">
        <v>64</v>
      </c>
      <c r="E57" s="15">
        <v>3530000</v>
      </c>
      <c r="F57" s="15">
        <v>0</v>
      </c>
      <c r="G57" s="15">
        <v>0</v>
      </c>
      <c r="H57" s="50">
        <f t="shared" si="2"/>
        <v>0</v>
      </c>
      <c r="I57" s="60">
        <f t="shared" si="3"/>
        <v>3530000</v>
      </c>
      <c r="J57" s="25">
        <f t="shared" si="9"/>
        <v>0</v>
      </c>
      <c r="K57" s="26" t="str">
        <f t="shared" si="10"/>
        <v>Pendiente de ejecutar</v>
      </c>
      <c r="L57" s="6" t="s">
        <v>326</v>
      </c>
      <c r="M57" s="6" t="s">
        <v>325</v>
      </c>
    </row>
    <row r="58" spans="1:13" x14ac:dyDescent="0.35">
      <c r="A58" s="11" t="s">
        <v>272</v>
      </c>
      <c r="B58" s="11" t="s">
        <v>129</v>
      </c>
      <c r="C58" s="11" t="s">
        <v>275</v>
      </c>
      <c r="D58" s="11" t="s">
        <v>276</v>
      </c>
      <c r="E58" s="15">
        <v>3320000</v>
      </c>
      <c r="F58" s="15">
        <v>0</v>
      </c>
      <c r="G58" s="15">
        <v>0</v>
      </c>
      <c r="H58" s="50">
        <f t="shared" si="2"/>
        <v>0</v>
      </c>
      <c r="I58" s="60">
        <f t="shared" si="3"/>
        <v>3320000</v>
      </c>
      <c r="J58" s="18">
        <f t="shared" si="9"/>
        <v>0</v>
      </c>
      <c r="K58" s="19" t="str">
        <f t="shared" si="10"/>
        <v>Pendiente de ejecutar</v>
      </c>
      <c r="L58" s="6" t="s">
        <v>328</v>
      </c>
      <c r="M58" s="6" t="s">
        <v>325</v>
      </c>
    </row>
    <row r="59" spans="1:13" x14ac:dyDescent="0.35">
      <c r="A59" s="23" t="s">
        <v>290</v>
      </c>
      <c r="B59" s="11" t="s">
        <v>208</v>
      </c>
      <c r="C59" s="23" t="s">
        <v>187</v>
      </c>
      <c r="D59" s="36" t="s">
        <v>188</v>
      </c>
      <c r="E59" s="15">
        <v>3300000</v>
      </c>
      <c r="F59" s="15">
        <v>0</v>
      </c>
      <c r="G59" s="15">
        <v>2555413.83</v>
      </c>
      <c r="H59" s="50">
        <f t="shared" si="2"/>
        <v>2555413.83</v>
      </c>
      <c r="I59" s="60">
        <f t="shared" si="3"/>
        <v>744586.16999999993</v>
      </c>
      <c r="J59" s="25">
        <f t="shared" si="9"/>
        <v>0.77436782727272735</v>
      </c>
      <c r="K59" s="26" t="str">
        <f t="shared" si="10"/>
        <v>En Progreso</v>
      </c>
      <c r="L59" s="107" t="s">
        <v>328</v>
      </c>
      <c r="M59" s="6" t="s">
        <v>325</v>
      </c>
    </row>
    <row r="60" spans="1:13" x14ac:dyDescent="0.35">
      <c r="A60" s="11" t="s">
        <v>202</v>
      </c>
      <c r="B60" s="11" t="s">
        <v>208</v>
      </c>
      <c r="C60" s="11" t="s">
        <v>21</v>
      </c>
      <c r="D60" s="11" t="s">
        <v>22</v>
      </c>
      <c r="E60" s="45">
        <v>3030000</v>
      </c>
      <c r="F60" s="13">
        <v>0</v>
      </c>
      <c r="G60" s="13">
        <v>0</v>
      </c>
      <c r="H60" s="50">
        <f t="shared" si="2"/>
        <v>0</v>
      </c>
      <c r="I60" s="60">
        <f t="shared" si="3"/>
        <v>3030000</v>
      </c>
      <c r="J60" s="18">
        <f t="shared" si="9"/>
        <v>0</v>
      </c>
      <c r="K60" s="19" t="str">
        <f t="shared" si="10"/>
        <v>Pendiente de ejecutar</v>
      </c>
      <c r="L60" s="6" t="s">
        <v>326</v>
      </c>
      <c r="M60" s="6" t="s">
        <v>325</v>
      </c>
    </row>
    <row r="61" spans="1:13" x14ac:dyDescent="0.35">
      <c r="A61" s="23" t="s">
        <v>262</v>
      </c>
      <c r="B61" s="11" t="s">
        <v>208</v>
      </c>
      <c r="C61" s="23" t="s">
        <v>90</v>
      </c>
      <c r="D61" s="23" t="s">
        <v>91</v>
      </c>
      <c r="E61" s="15">
        <v>2945000</v>
      </c>
      <c r="F61" s="15">
        <v>0</v>
      </c>
      <c r="G61" s="15">
        <v>178224.76</v>
      </c>
      <c r="H61" s="50">
        <f t="shared" si="2"/>
        <v>178224.76</v>
      </c>
      <c r="I61" s="60">
        <f t="shared" si="3"/>
        <v>2766775.24</v>
      </c>
      <c r="J61" s="25">
        <f t="shared" si="9"/>
        <v>6.0517745331069614E-2</v>
      </c>
      <c r="K61" s="26" t="str">
        <f t="shared" si="10"/>
        <v>En Progreso</v>
      </c>
      <c r="L61" s="6" t="s">
        <v>328</v>
      </c>
      <c r="M61" s="6" t="s">
        <v>325</v>
      </c>
    </row>
    <row r="62" spans="1:13" x14ac:dyDescent="0.35">
      <c r="A62" s="11" t="s">
        <v>94</v>
      </c>
      <c r="B62" s="11" t="s">
        <v>324</v>
      </c>
      <c r="C62" s="11" t="s">
        <v>37</v>
      </c>
      <c r="D62" s="11" t="s">
        <v>38</v>
      </c>
      <c r="E62" s="15">
        <v>1400000</v>
      </c>
      <c r="F62" s="16">
        <v>744128.12</v>
      </c>
      <c r="G62" s="15"/>
      <c r="H62" s="50">
        <f t="shared" si="2"/>
        <v>744128.12</v>
      </c>
      <c r="I62" s="60">
        <f t="shared" si="3"/>
        <v>655871.88</v>
      </c>
      <c r="J62" s="25">
        <f t="shared" si="9"/>
        <v>0.53152008571428566</v>
      </c>
      <c r="K62" s="26" t="str">
        <f t="shared" si="10"/>
        <v>En Progreso</v>
      </c>
      <c r="L62" s="6" t="s">
        <v>326</v>
      </c>
      <c r="M62" s="6" t="s">
        <v>325</v>
      </c>
    </row>
    <row r="63" spans="1:13" x14ac:dyDescent="0.35">
      <c r="A63" s="23" t="s">
        <v>270</v>
      </c>
      <c r="B63" s="23" t="s">
        <v>271</v>
      </c>
      <c r="C63" s="23" t="s">
        <v>216</v>
      </c>
      <c r="D63" s="23" t="s">
        <v>217</v>
      </c>
      <c r="E63" s="15">
        <v>2700000</v>
      </c>
      <c r="F63" s="15">
        <v>0</v>
      </c>
      <c r="G63" s="15">
        <v>0</v>
      </c>
      <c r="H63" s="50">
        <f t="shared" si="2"/>
        <v>0</v>
      </c>
      <c r="I63" s="60">
        <f t="shared" si="3"/>
        <v>2700000</v>
      </c>
      <c r="J63" s="25">
        <f t="shared" si="9"/>
        <v>0</v>
      </c>
      <c r="K63" s="26" t="str">
        <f t="shared" si="10"/>
        <v>Pendiente de ejecutar</v>
      </c>
      <c r="L63" s="6" t="s">
        <v>326</v>
      </c>
      <c r="M63" s="6" t="s">
        <v>325</v>
      </c>
    </row>
    <row r="64" spans="1:13" x14ac:dyDescent="0.35">
      <c r="A64" s="11" t="s">
        <v>154</v>
      </c>
      <c r="B64" s="11" t="s">
        <v>129</v>
      </c>
      <c r="C64" s="11" t="s">
        <v>47</v>
      </c>
      <c r="D64" s="11" t="s">
        <v>48</v>
      </c>
      <c r="E64" s="13">
        <v>2646000</v>
      </c>
      <c r="F64" s="13">
        <v>0</v>
      </c>
      <c r="G64" s="13">
        <v>0</v>
      </c>
      <c r="H64" s="50">
        <f t="shared" si="2"/>
        <v>0</v>
      </c>
      <c r="I64" s="60">
        <f t="shared" si="3"/>
        <v>2646000</v>
      </c>
      <c r="J64" s="18">
        <f t="shared" si="9"/>
        <v>0</v>
      </c>
      <c r="K64" s="19" t="str">
        <f t="shared" si="10"/>
        <v>Pendiente de ejecutar</v>
      </c>
      <c r="L64" s="6" t="s">
        <v>328</v>
      </c>
      <c r="M64" s="6" t="s">
        <v>325</v>
      </c>
    </row>
    <row r="65" spans="1:13" x14ac:dyDescent="0.35">
      <c r="A65" s="23" t="s">
        <v>160</v>
      </c>
      <c r="B65" s="11" t="s">
        <v>208</v>
      </c>
      <c r="C65" s="23" t="s">
        <v>21</v>
      </c>
      <c r="D65" s="23" t="s">
        <v>22</v>
      </c>
      <c r="E65" s="15">
        <v>2600000</v>
      </c>
      <c r="F65" s="15">
        <v>0</v>
      </c>
      <c r="G65" s="15">
        <v>0</v>
      </c>
      <c r="H65" s="50">
        <f t="shared" si="2"/>
        <v>0</v>
      </c>
      <c r="I65" s="60">
        <f t="shared" si="3"/>
        <v>2600000</v>
      </c>
      <c r="J65" s="25">
        <f t="shared" si="9"/>
        <v>0</v>
      </c>
      <c r="K65" s="26" t="str">
        <f t="shared" si="10"/>
        <v>Pendiente de ejecutar</v>
      </c>
      <c r="L65" s="6" t="s">
        <v>326</v>
      </c>
      <c r="M65" s="6" t="s">
        <v>325</v>
      </c>
    </row>
    <row r="66" spans="1:13" x14ac:dyDescent="0.35">
      <c r="A66" s="11" t="s">
        <v>186</v>
      </c>
      <c r="B66" s="11" t="s">
        <v>208</v>
      </c>
      <c r="C66" s="11" t="s">
        <v>37</v>
      </c>
      <c r="D66" s="11" t="s">
        <v>38</v>
      </c>
      <c r="E66" s="13">
        <v>2500000</v>
      </c>
      <c r="F66" s="46">
        <v>7675736.4500000002</v>
      </c>
      <c r="G66" s="50">
        <f>776630+70000</f>
        <v>846630</v>
      </c>
      <c r="H66" s="50">
        <f t="shared" si="2"/>
        <v>8522366.4499999993</v>
      </c>
      <c r="I66" s="60">
        <f t="shared" si="3"/>
        <v>-6022366.4499999993</v>
      </c>
      <c r="J66" s="18">
        <f t="shared" si="9"/>
        <v>3.4089465799999998</v>
      </c>
      <c r="K66" s="19" t="str">
        <f t="shared" si="10"/>
        <v>Completado</v>
      </c>
      <c r="L66" s="6" t="s">
        <v>326</v>
      </c>
      <c r="M66" s="6" t="s">
        <v>325</v>
      </c>
    </row>
    <row r="67" spans="1:13" x14ac:dyDescent="0.35">
      <c r="A67" s="23" t="s">
        <v>232</v>
      </c>
      <c r="B67" s="11" t="s">
        <v>208</v>
      </c>
      <c r="C67" s="23" t="s">
        <v>167</v>
      </c>
      <c r="D67" s="23" t="s">
        <v>168</v>
      </c>
      <c r="E67" s="46">
        <v>2200000</v>
      </c>
      <c r="F67" s="15">
        <v>0</v>
      </c>
      <c r="G67" s="51">
        <v>0</v>
      </c>
      <c r="H67" s="50">
        <f t="shared" ref="H67:H130" si="11">F67+G67</f>
        <v>0</v>
      </c>
      <c r="I67" s="60">
        <f t="shared" ref="I67:I130" si="12">E67-H67</f>
        <v>2200000</v>
      </c>
      <c r="J67" s="25">
        <f t="shared" si="9"/>
        <v>0</v>
      </c>
      <c r="K67" s="26" t="str">
        <f t="shared" si="10"/>
        <v>Pendiente de ejecutar</v>
      </c>
      <c r="L67" s="6" t="s">
        <v>328</v>
      </c>
      <c r="M67" s="6" t="s">
        <v>325</v>
      </c>
    </row>
    <row r="68" spans="1:13" x14ac:dyDescent="0.35">
      <c r="A68" s="11" t="s">
        <v>283</v>
      </c>
      <c r="B68" s="11" t="s">
        <v>278</v>
      </c>
      <c r="C68" s="11" t="s">
        <v>195</v>
      </c>
      <c r="D68" s="11" t="s">
        <v>196</v>
      </c>
      <c r="E68" s="13">
        <v>2150000</v>
      </c>
      <c r="F68" s="13">
        <v>0</v>
      </c>
      <c r="G68" s="13">
        <v>2608615.63</v>
      </c>
      <c r="H68" s="50">
        <f t="shared" si="11"/>
        <v>2608615.63</v>
      </c>
      <c r="I68" s="60">
        <f t="shared" si="12"/>
        <v>-458615.62999999989</v>
      </c>
      <c r="J68" s="18">
        <f t="shared" si="9"/>
        <v>1.2133095953488371</v>
      </c>
      <c r="K68" s="19" t="str">
        <f t="shared" si="10"/>
        <v>Completado</v>
      </c>
      <c r="L68" s="6" t="s">
        <v>328</v>
      </c>
      <c r="M68" s="6" t="s">
        <v>325</v>
      </c>
    </row>
    <row r="69" spans="1:13" x14ac:dyDescent="0.35">
      <c r="A69" s="20" t="s">
        <v>240</v>
      </c>
      <c r="B69" s="11" t="s">
        <v>208</v>
      </c>
      <c r="C69" s="20" t="s">
        <v>241</v>
      </c>
      <c r="D69" s="20" t="s">
        <v>242</v>
      </c>
      <c r="E69" s="13">
        <v>2130000</v>
      </c>
      <c r="F69" s="13">
        <v>0</v>
      </c>
      <c r="G69" s="13">
        <v>0</v>
      </c>
      <c r="H69" s="50">
        <f t="shared" si="11"/>
        <v>0</v>
      </c>
      <c r="I69" s="60">
        <f t="shared" si="12"/>
        <v>2130000</v>
      </c>
      <c r="J69" s="21">
        <f t="shared" si="9"/>
        <v>0</v>
      </c>
      <c r="K69" s="22" t="str">
        <f t="shared" si="10"/>
        <v>Pendiente de ejecutar</v>
      </c>
      <c r="L69" s="6" t="s">
        <v>326</v>
      </c>
      <c r="M69" s="6" t="s">
        <v>325</v>
      </c>
    </row>
    <row r="70" spans="1:13" x14ac:dyDescent="0.35">
      <c r="A70" s="36" t="s">
        <v>253</v>
      </c>
      <c r="B70" s="11" t="s">
        <v>208</v>
      </c>
      <c r="C70" s="38" t="s">
        <v>241</v>
      </c>
      <c r="D70" s="38" t="s">
        <v>242</v>
      </c>
      <c r="E70" s="31">
        <v>2130000</v>
      </c>
      <c r="F70" s="31">
        <v>0</v>
      </c>
      <c r="G70" s="31">
        <v>0</v>
      </c>
      <c r="H70" s="50">
        <f t="shared" si="11"/>
        <v>0</v>
      </c>
      <c r="I70" s="60">
        <f t="shared" si="12"/>
        <v>2130000</v>
      </c>
      <c r="J70" s="18">
        <f t="shared" si="9"/>
        <v>0</v>
      </c>
      <c r="K70" s="19" t="str">
        <f t="shared" si="10"/>
        <v>Pendiente de ejecutar</v>
      </c>
      <c r="L70" s="6" t="s">
        <v>326</v>
      </c>
      <c r="M70" s="6" t="s">
        <v>325</v>
      </c>
    </row>
    <row r="71" spans="1:13" x14ac:dyDescent="0.35">
      <c r="A71" s="20" t="s">
        <v>49</v>
      </c>
      <c r="B71" s="11" t="s">
        <v>324</v>
      </c>
      <c r="C71" s="20" t="s">
        <v>37</v>
      </c>
      <c r="D71" s="11" t="s">
        <v>38</v>
      </c>
      <c r="E71" s="13">
        <v>189000</v>
      </c>
      <c r="F71" s="13">
        <v>23075.48</v>
      </c>
      <c r="G71" s="13"/>
      <c r="H71" s="50">
        <f t="shared" si="11"/>
        <v>23075.48</v>
      </c>
      <c r="I71" s="60">
        <f t="shared" si="12"/>
        <v>165924.51999999999</v>
      </c>
      <c r="J71" s="25">
        <f t="shared" si="9"/>
        <v>0.12209248677248677</v>
      </c>
      <c r="K71" s="26" t="str">
        <f t="shared" si="10"/>
        <v>En Progreso</v>
      </c>
      <c r="L71" s="6" t="s">
        <v>326</v>
      </c>
      <c r="M71" s="6" t="s">
        <v>325</v>
      </c>
    </row>
    <row r="72" spans="1:13" x14ac:dyDescent="0.35">
      <c r="A72" s="11" t="s">
        <v>229</v>
      </c>
      <c r="B72" s="11" t="s">
        <v>208</v>
      </c>
      <c r="C72" s="11" t="s">
        <v>39</v>
      </c>
      <c r="D72" s="11" t="s">
        <v>40</v>
      </c>
      <c r="E72" s="15">
        <v>2000000</v>
      </c>
      <c r="F72" s="15">
        <v>0</v>
      </c>
      <c r="G72" s="15">
        <v>967587.5</v>
      </c>
      <c r="H72" s="50">
        <f t="shared" si="11"/>
        <v>967587.5</v>
      </c>
      <c r="I72" s="60">
        <f t="shared" si="12"/>
        <v>1032412.5</v>
      </c>
      <c r="J72" s="18">
        <f t="shared" si="9"/>
        <v>0.48379375000000002</v>
      </c>
      <c r="K72" s="19" t="str">
        <f t="shared" si="10"/>
        <v>En Progreso</v>
      </c>
      <c r="L72" s="6" t="s">
        <v>326</v>
      </c>
      <c r="M72" s="6" t="s">
        <v>325</v>
      </c>
    </row>
    <row r="73" spans="1:13" x14ac:dyDescent="0.35">
      <c r="A73" s="23" t="s">
        <v>258</v>
      </c>
      <c r="B73" s="11" t="s">
        <v>208</v>
      </c>
      <c r="C73" s="23" t="s">
        <v>187</v>
      </c>
      <c r="D73" s="36" t="s">
        <v>188</v>
      </c>
      <c r="E73" s="15">
        <v>2000000</v>
      </c>
      <c r="F73" s="15">
        <v>0</v>
      </c>
      <c r="G73" s="15">
        <v>0</v>
      </c>
      <c r="H73" s="50">
        <f t="shared" si="11"/>
        <v>0</v>
      </c>
      <c r="I73" s="60">
        <f t="shared" si="12"/>
        <v>2000000</v>
      </c>
      <c r="J73" s="25">
        <f t="shared" si="9"/>
        <v>0</v>
      </c>
      <c r="K73" s="26" t="str">
        <f t="shared" si="10"/>
        <v>Pendiente de ejecutar</v>
      </c>
      <c r="L73" s="107" t="s">
        <v>328</v>
      </c>
      <c r="M73" s="6" t="s">
        <v>325</v>
      </c>
    </row>
    <row r="74" spans="1:13" x14ac:dyDescent="0.35">
      <c r="A74" s="11" t="s">
        <v>295</v>
      </c>
      <c r="B74" s="11" t="s">
        <v>208</v>
      </c>
      <c r="C74" s="11" t="s">
        <v>39</v>
      </c>
      <c r="D74" s="11" t="s">
        <v>40</v>
      </c>
      <c r="E74" s="15">
        <v>2000000</v>
      </c>
      <c r="F74" s="15"/>
      <c r="G74" s="15">
        <v>0</v>
      </c>
      <c r="H74" s="50">
        <f t="shared" si="11"/>
        <v>0</v>
      </c>
      <c r="I74" s="60">
        <f t="shared" si="12"/>
        <v>2000000</v>
      </c>
      <c r="J74" s="18">
        <f t="shared" si="9"/>
        <v>0</v>
      </c>
      <c r="K74" s="19" t="str">
        <f t="shared" si="10"/>
        <v>Pendiente de ejecutar</v>
      </c>
      <c r="L74" s="6" t="s">
        <v>326</v>
      </c>
      <c r="M74" s="6" t="s">
        <v>325</v>
      </c>
    </row>
    <row r="75" spans="1:13" x14ac:dyDescent="0.35">
      <c r="A75" s="23" t="s">
        <v>128</v>
      </c>
      <c r="B75" s="11" t="s">
        <v>129</v>
      </c>
      <c r="C75" s="23" t="s">
        <v>134</v>
      </c>
      <c r="D75" s="23" t="s">
        <v>135</v>
      </c>
      <c r="E75" s="15">
        <v>1912000</v>
      </c>
      <c r="F75" s="15">
        <v>0</v>
      </c>
      <c r="G75" s="15">
        <v>0</v>
      </c>
      <c r="H75" s="50">
        <f t="shared" si="11"/>
        <v>0</v>
      </c>
      <c r="I75" s="60">
        <f t="shared" si="12"/>
        <v>1912000</v>
      </c>
      <c r="J75" s="25">
        <f t="shared" si="9"/>
        <v>0</v>
      </c>
      <c r="K75" s="26" t="str">
        <f t="shared" si="10"/>
        <v>Pendiente de ejecutar</v>
      </c>
      <c r="L75" s="6" t="s">
        <v>326</v>
      </c>
      <c r="M75" s="6" t="s">
        <v>325</v>
      </c>
    </row>
    <row r="76" spans="1:13" x14ac:dyDescent="0.35">
      <c r="A76" s="70" t="s">
        <v>11</v>
      </c>
      <c r="B76" s="11" t="s">
        <v>324</v>
      </c>
      <c r="C76" s="11" t="s">
        <v>29</v>
      </c>
      <c r="D76" s="11" t="s">
        <v>30</v>
      </c>
      <c r="E76" s="15">
        <v>0</v>
      </c>
      <c r="F76" s="46">
        <v>134910.60999999999</v>
      </c>
      <c r="G76" s="15">
        <v>0</v>
      </c>
      <c r="H76" s="50">
        <f t="shared" si="11"/>
        <v>134910.60999999999</v>
      </c>
      <c r="I76" s="60">
        <f t="shared" si="12"/>
        <v>-134910.60999999999</v>
      </c>
      <c r="J76" s="25">
        <f t="shared" si="9"/>
        <v>0</v>
      </c>
      <c r="K76" s="26" t="str">
        <f t="shared" si="10"/>
        <v>Sin Plan</v>
      </c>
      <c r="L76" s="6" t="s">
        <v>328</v>
      </c>
      <c r="M76" s="6" t="s">
        <v>323</v>
      </c>
    </row>
    <row r="77" spans="1:13" s="2" customFormat="1" x14ac:dyDescent="0.35">
      <c r="A77" s="63" t="s">
        <v>205</v>
      </c>
      <c r="B77" s="11" t="s">
        <v>208</v>
      </c>
      <c r="C77" s="20" t="s">
        <v>39</v>
      </c>
      <c r="D77" s="63" t="s">
        <v>332</v>
      </c>
      <c r="E77" s="50">
        <v>1755000</v>
      </c>
      <c r="F77" s="50">
        <v>166500</v>
      </c>
      <c r="G77" s="50">
        <v>0</v>
      </c>
      <c r="H77" s="50">
        <f t="shared" si="11"/>
        <v>166500</v>
      </c>
      <c r="I77" s="60">
        <f t="shared" si="12"/>
        <v>1588500</v>
      </c>
      <c r="J77" s="21">
        <f t="shared" si="9"/>
        <v>9.4871794871794868E-2</v>
      </c>
      <c r="K77" s="22" t="str">
        <f t="shared" si="10"/>
        <v>En Progreso</v>
      </c>
      <c r="L77" s="6" t="s">
        <v>326</v>
      </c>
      <c r="M77" s="6" t="s">
        <v>325</v>
      </c>
    </row>
    <row r="78" spans="1:13" x14ac:dyDescent="0.35">
      <c r="A78" s="11" t="s">
        <v>160</v>
      </c>
      <c r="B78" s="11" t="s">
        <v>208</v>
      </c>
      <c r="C78" s="11" t="s">
        <v>161</v>
      </c>
      <c r="D78" s="11" t="s">
        <v>162</v>
      </c>
      <c r="E78" s="15">
        <v>1743572.42</v>
      </c>
      <c r="F78" s="15">
        <v>461512.1</v>
      </c>
      <c r="G78" s="46">
        <v>700550.5</v>
      </c>
      <c r="H78" s="50">
        <f t="shared" si="11"/>
        <v>1162062.6000000001</v>
      </c>
      <c r="I78" s="60">
        <f t="shared" si="12"/>
        <v>581509.81999999983</v>
      </c>
      <c r="J78" s="18">
        <f t="shared" si="9"/>
        <v>0.66648370131938661</v>
      </c>
      <c r="K78" s="19" t="str">
        <f t="shared" si="10"/>
        <v>En Progreso</v>
      </c>
      <c r="L78" s="6" t="s">
        <v>326</v>
      </c>
      <c r="M78" s="6" t="s">
        <v>325</v>
      </c>
    </row>
    <row r="79" spans="1:13" x14ac:dyDescent="0.35">
      <c r="A79" s="63" t="s">
        <v>205</v>
      </c>
      <c r="B79" s="11" t="s">
        <v>208</v>
      </c>
      <c r="C79" s="20" t="s">
        <v>95</v>
      </c>
      <c r="D79" s="63" t="s">
        <v>67</v>
      </c>
      <c r="E79" s="50">
        <v>1700000</v>
      </c>
      <c r="F79" s="50">
        <v>0</v>
      </c>
      <c r="G79" s="50">
        <v>0</v>
      </c>
      <c r="H79" s="50">
        <f t="shared" si="11"/>
        <v>0</v>
      </c>
      <c r="I79" s="60">
        <f t="shared" si="12"/>
        <v>1700000</v>
      </c>
      <c r="J79" s="21">
        <f t="shared" si="9"/>
        <v>0</v>
      </c>
      <c r="K79" s="22" t="str">
        <f t="shared" si="10"/>
        <v>Pendiente de ejecutar</v>
      </c>
      <c r="L79" s="6" t="s">
        <v>328</v>
      </c>
      <c r="M79" s="6" t="s">
        <v>325</v>
      </c>
    </row>
    <row r="80" spans="1:13" x14ac:dyDescent="0.35">
      <c r="A80" s="11" t="s">
        <v>232</v>
      </c>
      <c r="B80" s="11" t="s">
        <v>208</v>
      </c>
      <c r="C80" s="11" t="s">
        <v>234</v>
      </c>
      <c r="D80" s="11" t="s">
        <v>235</v>
      </c>
      <c r="E80" s="46">
        <v>1685000</v>
      </c>
      <c r="F80" s="46">
        <v>40000</v>
      </c>
      <c r="G80" s="51">
        <v>0</v>
      </c>
      <c r="H80" s="50">
        <f t="shared" si="11"/>
        <v>40000</v>
      </c>
      <c r="I80" s="60">
        <f t="shared" si="12"/>
        <v>1645000</v>
      </c>
      <c r="J80" s="18">
        <f t="shared" si="9"/>
        <v>2.3738872403560832E-2</v>
      </c>
      <c r="K80" s="19" t="str">
        <f t="shared" si="10"/>
        <v>En Progreso</v>
      </c>
      <c r="L80" s="6" t="s">
        <v>328</v>
      </c>
      <c r="M80" s="6" t="s">
        <v>325</v>
      </c>
    </row>
    <row r="81" spans="1:13" x14ac:dyDescent="0.35">
      <c r="A81" s="61" t="s">
        <v>246</v>
      </c>
      <c r="B81" s="11" t="s">
        <v>208</v>
      </c>
      <c r="C81" s="36" t="s">
        <v>200</v>
      </c>
      <c r="D81" s="61" t="s">
        <v>201</v>
      </c>
      <c r="E81" s="51">
        <v>120000</v>
      </c>
      <c r="F81" s="51"/>
      <c r="G81" s="51">
        <v>0</v>
      </c>
      <c r="H81" s="50">
        <f t="shared" si="11"/>
        <v>0</v>
      </c>
      <c r="I81" s="60">
        <f t="shared" si="12"/>
        <v>120000</v>
      </c>
      <c r="J81" s="25">
        <f t="shared" si="9"/>
        <v>0</v>
      </c>
      <c r="K81" s="26" t="str">
        <f t="shared" si="10"/>
        <v>Pendiente de ejecutar</v>
      </c>
      <c r="L81" s="6" t="s">
        <v>326</v>
      </c>
      <c r="M81" s="6" t="s">
        <v>325</v>
      </c>
    </row>
    <row r="82" spans="1:13" x14ac:dyDescent="0.35">
      <c r="A82" s="11" t="s">
        <v>287</v>
      </c>
      <c r="B82" s="11" t="s">
        <v>208</v>
      </c>
      <c r="C82" s="11" t="s">
        <v>234</v>
      </c>
      <c r="D82" s="11" t="s">
        <v>235</v>
      </c>
      <c r="E82" s="15">
        <v>1685000</v>
      </c>
      <c r="F82" s="15">
        <v>27600</v>
      </c>
      <c r="G82" s="15">
        <v>0</v>
      </c>
      <c r="H82" s="50">
        <f t="shared" si="11"/>
        <v>27600</v>
      </c>
      <c r="I82" s="60">
        <f t="shared" si="12"/>
        <v>1657400</v>
      </c>
      <c r="J82" s="18">
        <f t="shared" si="9"/>
        <v>1.6379821958456973E-2</v>
      </c>
      <c r="K82" s="19" t="str">
        <f t="shared" si="10"/>
        <v>En Progreso</v>
      </c>
      <c r="L82" s="6" t="s">
        <v>326</v>
      </c>
      <c r="M82" s="6" t="s">
        <v>325</v>
      </c>
    </row>
    <row r="83" spans="1:13" x14ac:dyDescent="0.35">
      <c r="A83" s="20" t="s">
        <v>292</v>
      </c>
      <c r="B83" s="11" t="s">
        <v>208</v>
      </c>
      <c r="C83" s="20" t="s">
        <v>234</v>
      </c>
      <c r="D83" s="20" t="s">
        <v>235</v>
      </c>
      <c r="E83" s="13">
        <v>1685000</v>
      </c>
      <c r="F83" s="45">
        <v>45000</v>
      </c>
      <c r="G83" s="13">
        <v>0</v>
      </c>
      <c r="H83" s="50">
        <f t="shared" si="11"/>
        <v>45000</v>
      </c>
      <c r="I83" s="60">
        <f t="shared" si="12"/>
        <v>1640000</v>
      </c>
      <c r="J83" s="21">
        <f t="shared" si="9"/>
        <v>2.6706231454005934E-2</v>
      </c>
      <c r="K83" s="22" t="str">
        <f t="shared" si="10"/>
        <v>En Progreso</v>
      </c>
      <c r="L83" s="6" t="s">
        <v>326</v>
      </c>
      <c r="M83" s="6" t="s">
        <v>325</v>
      </c>
    </row>
    <row r="84" spans="1:13" x14ac:dyDescent="0.35">
      <c r="A84" s="36" t="s">
        <v>253</v>
      </c>
      <c r="B84" s="11" t="s">
        <v>208</v>
      </c>
      <c r="C84" s="38" t="s">
        <v>83</v>
      </c>
      <c r="D84" s="38" t="s">
        <v>84</v>
      </c>
      <c r="E84" s="31">
        <v>1644900</v>
      </c>
      <c r="F84" s="16">
        <v>81650</v>
      </c>
      <c r="G84" s="31">
        <v>0</v>
      </c>
      <c r="H84" s="50">
        <f t="shared" si="11"/>
        <v>81650</v>
      </c>
      <c r="I84" s="60">
        <f t="shared" si="12"/>
        <v>1563250</v>
      </c>
      <c r="J84" s="18">
        <f t="shared" si="9"/>
        <v>4.96382758830324E-2</v>
      </c>
      <c r="K84" s="19" t="str">
        <f t="shared" si="10"/>
        <v>En Progreso</v>
      </c>
      <c r="L84" s="6" t="s">
        <v>326</v>
      </c>
      <c r="M84" s="6" t="s">
        <v>325</v>
      </c>
    </row>
    <row r="85" spans="1:13" x14ac:dyDescent="0.35">
      <c r="A85" s="20" t="s">
        <v>229</v>
      </c>
      <c r="B85" s="11" t="s">
        <v>208</v>
      </c>
      <c r="C85" s="20" t="s">
        <v>21</v>
      </c>
      <c r="D85" s="20" t="s">
        <v>22</v>
      </c>
      <c r="E85" s="13">
        <v>1620000</v>
      </c>
      <c r="F85" s="13">
        <v>0</v>
      </c>
      <c r="G85" s="13">
        <v>0</v>
      </c>
      <c r="H85" s="50">
        <f t="shared" si="11"/>
        <v>0</v>
      </c>
      <c r="I85" s="60">
        <f t="shared" si="12"/>
        <v>1620000</v>
      </c>
      <c r="J85" s="21">
        <f t="shared" ref="J85:J102" si="13">IFERROR(H85/E85,0)</f>
        <v>0</v>
      </c>
      <c r="K85" s="22" t="str">
        <f t="shared" ref="K85:K102" si="14">IF(E85=0,"Sin Plan",IF(J85&gt;=1,"Completado",IF(J85&gt;0.001,"En Progreso","Pendiente de ejecutar")))</f>
        <v>Pendiente de ejecutar</v>
      </c>
      <c r="L85" s="6" t="s">
        <v>326</v>
      </c>
      <c r="M85" s="6" t="s">
        <v>325</v>
      </c>
    </row>
    <row r="86" spans="1:13" x14ac:dyDescent="0.35">
      <c r="A86" s="11" t="s">
        <v>298</v>
      </c>
      <c r="B86" s="11" t="s">
        <v>208</v>
      </c>
      <c r="C86" s="11" t="s">
        <v>39</v>
      </c>
      <c r="D86" s="11" t="s">
        <v>40</v>
      </c>
      <c r="E86" s="13">
        <v>1605000</v>
      </c>
      <c r="F86" s="13">
        <v>0</v>
      </c>
      <c r="G86" s="13">
        <v>0</v>
      </c>
      <c r="H86" s="50">
        <f t="shared" si="11"/>
        <v>0</v>
      </c>
      <c r="I86" s="60">
        <f t="shared" si="12"/>
        <v>1605000</v>
      </c>
      <c r="J86" s="18">
        <f t="shared" si="13"/>
        <v>0</v>
      </c>
      <c r="K86" s="19" t="str">
        <f t="shared" si="14"/>
        <v>Pendiente de ejecutar</v>
      </c>
      <c r="L86" s="6" t="s">
        <v>326</v>
      </c>
      <c r="M86" s="6" t="s">
        <v>325</v>
      </c>
    </row>
    <row r="87" spans="1:13" x14ac:dyDescent="0.35">
      <c r="A87" s="20" t="s">
        <v>212</v>
      </c>
      <c r="B87" s="11" t="s">
        <v>208</v>
      </c>
      <c r="C87" s="20" t="s">
        <v>39</v>
      </c>
      <c r="D87" s="20" t="s">
        <v>40</v>
      </c>
      <c r="E87" s="13">
        <v>1600000</v>
      </c>
      <c r="F87" s="13">
        <v>0</v>
      </c>
      <c r="G87" s="13">
        <v>757776.6</v>
      </c>
      <c r="H87" s="50">
        <f t="shared" si="11"/>
        <v>757776.6</v>
      </c>
      <c r="I87" s="60">
        <f t="shared" si="12"/>
        <v>842223.4</v>
      </c>
      <c r="J87" s="21">
        <f t="shared" si="13"/>
        <v>0.47361037499999997</v>
      </c>
      <c r="K87" s="22" t="str">
        <f t="shared" si="14"/>
        <v>En Progreso</v>
      </c>
      <c r="L87" s="6" t="s">
        <v>326</v>
      </c>
      <c r="M87" s="6" t="s">
        <v>325</v>
      </c>
    </row>
    <row r="88" spans="1:13" x14ac:dyDescent="0.35">
      <c r="A88" s="11" t="s">
        <v>62</v>
      </c>
      <c r="B88" s="11" t="s">
        <v>324</v>
      </c>
      <c r="C88" s="11" t="s">
        <v>37</v>
      </c>
      <c r="D88" s="11" t="s">
        <v>38</v>
      </c>
      <c r="E88" s="13">
        <v>63000</v>
      </c>
      <c r="F88" s="13">
        <f>17067.28+16014.52</f>
        <v>33081.800000000003</v>
      </c>
      <c r="G88" s="13">
        <v>0</v>
      </c>
      <c r="H88" s="50">
        <f t="shared" si="11"/>
        <v>33081.800000000003</v>
      </c>
      <c r="I88" s="60">
        <f t="shared" si="12"/>
        <v>29918.199999999997</v>
      </c>
      <c r="J88" s="25">
        <f t="shared" si="13"/>
        <v>0.52510793650793652</v>
      </c>
      <c r="K88" s="26" t="str">
        <f t="shared" si="14"/>
        <v>En Progreso</v>
      </c>
      <c r="L88" s="6" t="s">
        <v>326</v>
      </c>
      <c r="M88" s="6" t="s">
        <v>325</v>
      </c>
    </row>
    <row r="89" spans="1:13" x14ac:dyDescent="0.35">
      <c r="A89" s="23" t="s">
        <v>222</v>
      </c>
      <c r="B89" s="11" t="s">
        <v>208</v>
      </c>
      <c r="C89" s="23" t="s">
        <v>39</v>
      </c>
      <c r="D89" s="23" t="s">
        <v>40</v>
      </c>
      <c r="E89" s="15">
        <v>1527720</v>
      </c>
      <c r="F89" s="15">
        <v>959867.4</v>
      </c>
      <c r="G89" s="15">
        <v>686340.98</v>
      </c>
      <c r="H89" s="50">
        <f t="shared" si="11"/>
        <v>1646208.38</v>
      </c>
      <c r="I89" s="60">
        <f t="shared" si="12"/>
        <v>-118488.37999999989</v>
      </c>
      <c r="J89" s="25">
        <f t="shared" si="13"/>
        <v>1.0775589636844447</v>
      </c>
      <c r="K89" s="26" t="str">
        <f t="shared" si="14"/>
        <v>Completado</v>
      </c>
      <c r="L89" s="6" t="s">
        <v>326</v>
      </c>
      <c r="M89" s="6" t="s">
        <v>325</v>
      </c>
    </row>
    <row r="90" spans="1:13" x14ac:dyDescent="0.35">
      <c r="A90" s="71" t="s">
        <v>73</v>
      </c>
      <c r="B90" s="11" t="s">
        <v>324</v>
      </c>
      <c r="C90" s="20" t="s">
        <v>37</v>
      </c>
      <c r="D90" s="11" t="s">
        <v>38</v>
      </c>
      <c r="E90" s="13">
        <v>63000</v>
      </c>
      <c r="F90" s="13">
        <v>23075.48</v>
      </c>
      <c r="G90" s="13">
        <v>0</v>
      </c>
      <c r="H90" s="50">
        <f t="shared" si="11"/>
        <v>23075.48</v>
      </c>
      <c r="I90" s="60">
        <f t="shared" si="12"/>
        <v>39924.520000000004</v>
      </c>
      <c r="J90" s="25">
        <f t="shared" si="13"/>
        <v>0.36627746031746033</v>
      </c>
      <c r="K90" s="26" t="str">
        <f t="shared" si="14"/>
        <v>En Progreso</v>
      </c>
      <c r="L90" s="6" t="s">
        <v>326</v>
      </c>
      <c r="M90" s="6" t="s">
        <v>325</v>
      </c>
    </row>
    <row r="91" spans="1:13" x14ac:dyDescent="0.35">
      <c r="A91" s="70" t="s">
        <v>76</v>
      </c>
      <c r="B91" s="11" t="s">
        <v>324</v>
      </c>
      <c r="C91" s="11" t="s">
        <v>37</v>
      </c>
      <c r="D91" s="11" t="s">
        <v>38</v>
      </c>
      <c r="E91" s="15">
        <v>63000</v>
      </c>
      <c r="F91" s="15">
        <v>23075.48</v>
      </c>
      <c r="G91" s="15">
        <v>0</v>
      </c>
      <c r="H91" s="50">
        <f t="shared" si="11"/>
        <v>23075.48</v>
      </c>
      <c r="I91" s="60">
        <f t="shared" si="12"/>
        <v>39924.520000000004</v>
      </c>
      <c r="J91" s="25">
        <f t="shared" si="13"/>
        <v>0.36627746031746033</v>
      </c>
      <c r="K91" s="26" t="str">
        <f t="shared" si="14"/>
        <v>En Progreso</v>
      </c>
      <c r="L91" s="6" t="s">
        <v>326</v>
      </c>
      <c r="M91" s="6" t="s">
        <v>325</v>
      </c>
    </row>
    <row r="92" spans="1:13" x14ac:dyDescent="0.35">
      <c r="A92" s="11" t="s">
        <v>240</v>
      </c>
      <c r="B92" s="11" t="s">
        <v>208</v>
      </c>
      <c r="C92" s="11" t="s">
        <v>39</v>
      </c>
      <c r="D92" s="11" t="s">
        <v>40</v>
      </c>
      <c r="E92" s="13">
        <v>1500000</v>
      </c>
      <c r="F92" s="13">
        <v>0</v>
      </c>
      <c r="G92" s="13">
        <v>0</v>
      </c>
      <c r="H92" s="50">
        <f t="shared" si="11"/>
        <v>0</v>
      </c>
      <c r="I92" s="60">
        <f t="shared" si="12"/>
        <v>1500000</v>
      </c>
      <c r="J92" s="18">
        <f t="shared" si="13"/>
        <v>0</v>
      </c>
      <c r="K92" s="19" t="str">
        <f t="shared" si="14"/>
        <v>Pendiente de ejecutar</v>
      </c>
      <c r="L92" s="6" t="s">
        <v>328</v>
      </c>
      <c r="M92" s="6" t="s">
        <v>325</v>
      </c>
    </row>
    <row r="93" spans="1:13" x14ac:dyDescent="0.35">
      <c r="A93" s="61" t="s">
        <v>77</v>
      </c>
      <c r="B93" s="38" t="s">
        <v>324</v>
      </c>
      <c r="C93" s="23" t="s">
        <v>37</v>
      </c>
      <c r="D93" s="38" t="s">
        <v>38</v>
      </c>
      <c r="E93" s="51">
        <v>63000</v>
      </c>
      <c r="F93" s="51">
        <v>0</v>
      </c>
      <c r="G93" s="51">
        <v>0</v>
      </c>
      <c r="H93" s="50">
        <f t="shared" si="11"/>
        <v>0</v>
      </c>
      <c r="I93" s="60">
        <f t="shared" si="12"/>
        <v>63000</v>
      </c>
      <c r="J93" s="96">
        <f t="shared" si="13"/>
        <v>0</v>
      </c>
      <c r="K93" s="97" t="str">
        <f t="shared" si="14"/>
        <v>Pendiente de ejecutar</v>
      </c>
      <c r="L93" s="94" t="s">
        <v>326</v>
      </c>
      <c r="M93" s="6" t="s">
        <v>325</v>
      </c>
    </row>
    <row r="94" spans="1:13" x14ac:dyDescent="0.35">
      <c r="A94" s="11" t="s">
        <v>80</v>
      </c>
      <c r="B94" s="11" t="s">
        <v>324</v>
      </c>
      <c r="C94" s="11" t="s">
        <v>37</v>
      </c>
      <c r="D94" s="11" t="s">
        <v>38</v>
      </c>
      <c r="E94" s="13">
        <v>63000</v>
      </c>
      <c r="F94" s="13">
        <v>23075.47</v>
      </c>
      <c r="G94" s="13">
        <v>0</v>
      </c>
      <c r="H94" s="50">
        <f t="shared" si="11"/>
        <v>23075.47</v>
      </c>
      <c r="I94" s="60">
        <f t="shared" si="12"/>
        <v>39924.53</v>
      </c>
      <c r="J94" s="25">
        <f t="shared" si="13"/>
        <v>0.3662773015873016</v>
      </c>
      <c r="K94" s="26" t="str">
        <f t="shared" si="14"/>
        <v>En Progreso</v>
      </c>
      <c r="L94" s="6" t="s">
        <v>326</v>
      </c>
      <c r="M94" s="6" t="s">
        <v>325</v>
      </c>
    </row>
    <row r="95" spans="1:13" x14ac:dyDescent="0.35">
      <c r="A95" s="38" t="s">
        <v>205</v>
      </c>
      <c r="B95" s="11" t="s">
        <v>208</v>
      </c>
      <c r="C95" s="11" t="s">
        <v>90</v>
      </c>
      <c r="D95" s="38" t="s">
        <v>91</v>
      </c>
      <c r="E95" s="51">
        <v>1440000</v>
      </c>
      <c r="F95" s="51">
        <v>91500</v>
      </c>
      <c r="G95" s="51"/>
      <c r="H95" s="50">
        <f t="shared" si="11"/>
        <v>91500</v>
      </c>
      <c r="I95" s="60">
        <f t="shared" si="12"/>
        <v>1348500</v>
      </c>
      <c r="J95" s="18">
        <f t="shared" si="13"/>
        <v>6.3541666666666663E-2</v>
      </c>
      <c r="K95" s="19" t="str">
        <f t="shared" si="14"/>
        <v>En Progreso</v>
      </c>
      <c r="L95" s="6" t="s">
        <v>328</v>
      </c>
      <c r="M95" s="6" t="s">
        <v>325</v>
      </c>
    </row>
    <row r="96" spans="1:13" x14ac:dyDescent="0.35">
      <c r="A96" s="71" t="s">
        <v>81</v>
      </c>
      <c r="B96" s="11" t="s">
        <v>324</v>
      </c>
      <c r="C96" s="20" t="s">
        <v>37</v>
      </c>
      <c r="D96" s="11" t="s">
        <v>38</v>
      </c>
      <c r="E96" s="13">
        <v>63000</v>
      </c>
      <c r="F96" s="13">
        <v>98245</v>
      </c>
      <c r="G96" s="13">
        <v>0</v>
      </c>
      <c r="H96" s="50">
        <f t="shared" si="11"/>
        <v>98245</v>
      </c>
      <c r="I96" s="60">
        <f t="shared" si="12"/>
        <v>-35245</v>
      </c>
      <c r="J96" s="25">
        <f t="shared" si="13"/>
        <v>1.5594444444444444</v>
      </c>
      <c r="K96" s="26" t="str">
        <f t="shared" si="14"/>
        <v>Completado</v>
      </c>
      <c r="L96" s="6" t="s">
        <v>326</v>
      </c>
      <c r="M96" s="6" t="s">
        <v>325</v>
      </c>
    </row>
    <row r="97" spans="1:13" x14ac:dyDescent="0.35">
      <c r="A97" s="38" t="s">
        <v>119</v>
      </c>
      <c r="B97" s="38" t="s">
        <v>324</v>
      </c>
      <c r="C97" s="11" t="s">
        <v>37</v>
      </c>
      <c r="D97" s="38" t="s">
        <v>38</v>
      </c>
      <c r="E97" s="50">
        <v>63000</v>
      </c>
      <c r="F97" s="50">
        <v>0</v>
      </c>
      <c r="G97" s="50">
        <v>0</v>
      </c>
      <c r="H97" s="50">
        <f t="shared" si="11"/>
        <v>0</v>
      </c>
      <c r="I97" s="60">
        <f t="shared" si="12"/>
        <v>63000</v>
      </c>
      <c r="J97" s="96">
        <f t="shared" si="13"/>
        <v>0</v>
      </c>
      <c r="K97" s="97" t="str">
        <f t="shared" si="14"/>
        <v>Pendiente de ejecutar</v>
      </c>
      <c r="L97" s="94" t="s">
        <v>326</v>
      </c>
      <c r="M97" s="6" t="s">
        <v>325</v>
      </c>
    </row>
    <row r="98" spans="1:13" x14ac:dyDescent="0.35">
      <c r="A98" s="63" t="s">
        <v>120</v>
      </c>
      <c r="B98" s="38" t="s">
        <v>324</v>
      </c>
      <c r="C98" s="20" t="s">
        <v>37</v>
      </c>
      <c r="D98" s="38" t="s">
        <v>38</v>
      </c>
      <c r="E98" s="50">
        <v>63000</v>
      </c>
      <c r="F98" s="50">
        <v>0</v>
      </c>
      <c r="G98" s="50">
        <v>0</v>
      </c>
      <c r="H98" s="50">
        <f t="shared" si="11"/>
        <v>0</v>
      </c>
      <c r="I98" s="60">
        <f t="shared" si="12"/>
        <v>63000</v>
      </c>
      <c r="J98" s="96">
        <f t="shared" si="13"/>
        <v>0</v>
      </c>
      <c r="K98" s="97" t="str">
        <f t="shared" si="14"/>
        <v>Pendiente de ejecutar</v>
      </c>
      <c r="L98" s="94" t="s">
        <v>326</v>
      </c>
      <c r="M98" s="6" t="s">
        <v>325</v>
      </c>
    </row>
    <row r="99" spans="1:13" x14ac:dyDescent="0.35">
      <c r="A99" s="20" t="s">
        <v>160</v>
      </c>
      <c r="B99" s="11" t="s">
        <v>208</v>
      </c>
      <c r="C99" s="20" t="s">
        <v>66</v>
      </c>
      <c r="D99" s="20" t="s">
        <v>67</v>
      </c>
      <c r="E99" s="13">
        <v>1394000</v>
      </c>
      <c r="F99" s="13">
        <v>0</v>
      </c>
      <c r="G99" s="45">
        <v>1816888.01</v>
      </c>
      <c r="H99" s="50">
        <f t="shared" si="11"/>
        <v>1816888.01</v>
      </c>
      <c r="I99" s="60">
        <f t="shared" si="12"/>
        <v>-422888.01</v>
      </c>
      <c r="J99" s="21">
        <f t="shared" si="13"/>
        <v>1.3033629913916787</v>
      </c>
      <c r="K99" s="22" t="str">
        <f t="shared" si="14"/>
        <v>Completado</v>
      </c>
      <c r="L99" s="6" t="s">
        <v>328</v>
      </c>
      <c r="M99" s="6" t="s">
        <v>325</v>
      </c>
    </row>
    <row r="100" spans="1:13" x14ac:dyDescent="0.35">
      <c r="A100" s="11" t="s">
        <v>121</v>
      </c>
      <c r="B100" s="11" t="s">
        <v>324</v>
      </c>
      <c r="C100" s="11" t="s">
        <v>37</v>
      </c>
      <c r="D100" s="11" t="s">
        <v>38</v>
      </c>
      <c r="E100" s="13">
        <v>63000</v>
      </c>
      <c r="F100" s="13">
        <v>23075.48</v>
      </c>
      <c r="G100" s="13">
        <v>0</v>
      </c>
      <c r="H100" s="50">
        <f t="shared" si="11"/>
        <v>23075.48</v>
      </c>
      <c r="I100" s="60">
        <f t="shared" si="12"/>
        <v>39924.520000000004</v>
      </c>
      <c r="J100" s="25">
        <f t="shared" si="13"/>
        <v>0.36627746031746033</v>
      </c>
      <c r="K100" s="26" t="str">
        <f t="shared" si="14"/>
        <v>En Progreso</v>
      </c>
      <c r="L100" s="6" t="s">
        <v>326</v>
      </c>
      <c r="M100" s="6" t="s">
        <v>325</v>
      </c>
    </row>
    <row r="101" spans="1:13" x14ac:dyDescent="0.35">
      <c r="A101" s="23" t="s">
        <v>232</v>
      </c>
      <c r="B101" s="11" t="s">
        <v>208</v>
      </c>
      <c r="C101" s="23" t="s">
        <v>17</v>
      </c>
      <c r="D101" s="23" t="s">
        <v>18</v>
      </c>
      <c r="E101" s="46">
        <v>1365000</v>
      </c>
      <c r="F101" s="15">
        <v>0</v>
      </c>
      <c r="G101" s="51">
        <v>0</v>
      </c>
      <c r="H101" s="50">
        <f t="shared" si="11"/>
        <v>0</v>
      </c>
      <c r="I101" s="60">
        <f t="shared" si="12"/>
        <v>1365000</v>
      </c>
      <c r="J101" s="25">
        <f t="shared" si="13"/>
        <v>0</v>
      </c>
      <c r="K101" s="26" t="str">
        <f t="shared" si="14"/>
        <v>Pendiente de ejecutar</v>
      </c>
      <c r="L101" s="6" t="s">
        <v>328</v>
      </c>
      <c r="M101" s="6" t="s">
        <v>325</v>
      </c>
    </row>
    <row r="102" spans="1:13" x14ac:dyDescent="0.35">
      <c r="A102" s="11" t="s">
        <v>277</v>
      </c>
      <c r="B102" s="11" t="s">
        <v>278</v>
      </c>
      <c r="C102" s="11" t="s">
        <v>151</v>
      </c>
      <c r="D102" s="11" t="s">
        <v>152</v>
      </c>
      <c r="E102" s="15">
        <v>1350000</v>
      </c>
      <c r="F102" s="15">
        <v>0</v>
      </c>
      <c r="G102" s="15">
        <v>49000</v>
      </c>
      <c r="H102" s="50">
        <f t="shared" si="11"/>
        <v>49000</v>
      </c>
      <c r="I102" s="60">
        <f t="shared" si="12"/>
        <v>1301000</v>
      </c>
      <c r="J102" s="18">
        <f t="shared" si="13"/>
        <v>3.6296296296296299E-2</v>
      </c>
      <c r="K102" s="19" t="str">
        <f t="shared" si="14"/>
        <v>En Progreso</v>
      </c>
      <c r="L102" s="6" t="s">
        <v>328</v>
      </c>
      <c r="M102" s="6" t="s">
        <v>325</v>
      </c>
    </row>
    <row r="103" spans="1:13" x14ac:dyDescent="0.35">
      <c r="A103" s="11" t="s">
        <v>265</v>
      </c>
      <c r="B103" s="11" t="s">
        <v>208</v>
      </c>
      <c r="C103" s="27"/>
      <c r="D103" s="27" t="s">
        <v>330</v>
      </c>
      <c r="E103" s="15">
        <v>1317000</v>
      </c>
      <c r="F103" s="15"/>
      <c r="G103" s="15"/>
      <c r="H103" s="50">
        <f t="shared" si="11"/>
        <v>0</v>
      </c>
      <c r="I103" s="60">
        <f t="shared" si="12"/>
        <v>1317000</v>
      </c>
      <c r="J103" s="27"/>
      <c r="K103" s="29"/>
      <c r="L103" s="6" t="s">
        <v>328</v>
      </c>
      <c r="M103" s="6"/>
    </row>
    <row r="104" spans="1:13" x14ac:dyDescent="0.35">
      <c r="A104" s="23" t="s">
        <v>244</v>
      </c>
      <c r="B104" s="11" t="s">
        <v>208</v>
      </c>
      <c r="C104" s="23" t="s">
        <v>66</v>
      </c>
      <c r="D104" s="23" t="s">
        <v>67</v>
      </c>
      <c r="E104" s="15">
        <v>1250000</v>
      </c>
      <c r="F104" s="15">
        <v>0</v>
      </c>
      <c r="G104" s="15">
        <v>721415.83</v>
      </c>
      <c r="H104" s="50">
        <f t="shared" si="11"/>
        <v>721415.83</v>
      </c>
      <c r="I104" s="60">
        <f t="shared" si="12"/>
        <v>528584.17000000004</v>
      </c>
      <c r="J104" s="25">
        <f t="shared" ref="J104:J135" si="15">IFERROR(H104/E104,0)</f>
        <v>0.57713266399999996</v>
      </c>
      <c r="K104" s="26" t="str">
        <f t="shared" ref="K104:K135" si="16">IF(E104=0,"Sin Plan",IF(J104&gt;=1,"Completado",IF(J104&gt;0.001,"En Progreso","Pendiente de ejecutar")))</f>
        <v>En Progreso</v>
      </c>
      <c r="L104" s="6" t="s">
        <v>328</v>
      </c>
      <c r="M104" s="6" t="s">
        <v>325</v>
      </c>
    </row>
    <row r="105" spans="1:13" x14ac:dyDescent="0.35">
      <c r="A105" s="61" t="s">
        <v>246</v>
      </c>
      <c r="B105" s="11" t="s">
        <v>208</v>
      </c>
      <c r="C105" s="36" t="s">
        <v>47</v>
      </c>
      <c r="D105" s="61" t="s">
        <v>48</v>
      </c>
      <c r="E105" s="51">
        <v>0</v>
      </c>
      <c r="F105" s="51">
        <v>534306.94999999995</v>
      </c>
      <c r="G105" s="51">
        <v>246624.75</v>
      </c>
      <c r="H105" s="50">
        <f t="shared" si="11"/>
        <v>780931.7</v>
      </c>
      <c r="I105" s="60">
        <f t="shared" si="12"/>
        <v>-780931.7</v>
      </c>
      <c r="J105" s="25">
        <f t="shared" si="15"/>
        <v>0</v>
      </c>
      <c r="K105" s="26" t="str">
        <f t="shared" si="16"/>
        <v>Sin Plan</v>
      </c>
      <c r="L105" s="6" t="s">
        <v>328</v>
      </c>
      <c r="M105" s="6" t="s">
        <v>323</v>
      </c>
    </row>
    <row r="106" spans="1:13" x14ac:dyDescent="0.35">
      <c r="A106" s="11" t="s">
        <v>186</v>
      </c>
      <c r="B106" s="11" t="s">
        <v>208</v>
      </c>
      <c r="C106" s="11" t="s">
        <v>66</v>
      </c>
      <c r="D106" s="11" t="s">
        <v>67</v>
      </c>
      <c r="E106" s="15">
        <v>1200000</v>
      </c>
      <c r="F106" s="51">
        <v>0</v>
      </c>
      <c r="G106" s="51">
        <v>944709.77</v>
      </c>
      <c r="H106" s="50">
        <f t="shared" si="11"/>
        <v>944709.77</v>
      </c>
      <c r="I106" s="60">
        <f t="shared" si="12"/>
        <v>255290.22999999998</v>
      </c>
      <c r="J106" s="18">
        <f t="shared" si="15"/>
        <v>0.78725814166666663</v>
      </c>
      <c r="K106" s="19" t="str">
        <f t="shared" si="16"/>
        <v>En Progreso</v>
      </c>
      <c r="L106" s="6" t="s">
        <v>328</v>
      </c>
      <c r="M106" s="6" t="s">
        <v>325</v>
      </c>
    </row>
    <row r="107" spans="1:13" x14ac:dyDescent="0.35">
      <c r="A107" s="23" t="s">
        <v>290</v>
      </c>
      <c r="B107" s="11" t="s">
        <v>208</v>
      </c>
      <c r="C107" s="23" t="s">
        <v>63</v>
      </c>
      <c r="D107" s="23" t="s">
        <v>64</v>
      </c>
      <c r="E107" s="15">
        <v>1200000</v>
      </c>
      <c r="F107" s="15">
        <v>0</v>
      </c>
      <c r="G107" s="15">
        <v>0</v>
      </c>
      <c r="H107" s="50">
        <f t="shared" si="11"/>
        <v>0</v>
      </c>
      <c r="I107" s="60">
        <f t="shared" si="12"/>
        <v>1200000</v>
      </c>
      <c r="J107" s="25">
        <f t="shared" si="15"/>
        <v>0</v>
      </c>
      <c r="K107" s="26" t="str">
        <f t="shared" si="16"/>
        <v>Pendiente de ejecutar</v>
      </c>
      <c r="L107" s="6" t="s">
        <v>326</v>
      </c>
      <c r="M107" s="6" t="s">
        <v>325</v>
      </c>
    </row>
    <row r="108" spans="1:13" x14ac:dyDescent="0.35">
      <c r="A108" s="20" t="s">
        <v>228</v>
      </c>
      <c r="B108" s="11" t="s">
        <v>208</v>
      </c>
      <c r="C108" s="20" t="s">
        <v>37</v>
      </c>
      <c r="D108" s="11" t="s">
        <v>38</v>
      </c>
      <c r="E108" s="13">
        <v>1134000</v>
      </c>
      <c r="F108" s="13">
        <v>0</v>
      </c>
      <c r="G108" s="13">
        <v>0</v>
      </c>
      <c r="H108" s="50">
        <f t="shared" si="11"/>
        <v>0</v>
      </c>
      <c r="I108" s="60">
        <f t="shared" si="12"/>
        <v>1134000</v>
      </c>
      <c r="J108" s="21">
        <f t="shared" si="15"/>
        <v>0</v>
      </c>
      <c r="K108" s="22" t="str">
        <f t="shared" si="16"/>
        <v>Pendiente de ejecutar</v>
      </c>
      <c r="L108" s="6" t="s">
        <v>326</v>
      </c>
      <c r="M108" s="6" t="s">
        <v>325</v>
      </c>
    </row>
    <row r="109" spans="1:13" x14ac:dyDescent="0.35">
      <c r="A109" s="20" t="s">
        <v>123</v>
      </c>
      <c r="B109" s="11" t="s">
        <v>324</v>
      </c>
      <c r="C109" s="20" t="s">
        <v>37</v>
      </c>
      <c r="D109" s="11" t="s">
        <v>38</v>
      </c>
      <c r="E109" s="13">
        <v>63000</v>
      </c>
      <c r="F109" s="13">
        <v>23075.48</v>
      </c>
      <c r="G109" s="13">
        <v>0</v>
      </c>
      <c r="H109" s="50">
        <f t="shared" si="11"/>
        <v>23075.48</v>
      </c>
      <c r="I109" s="60">
        <f t="shared" si="12"/>
        <v>39924.520000000004</v>
      </c>
      <c r="J109" s="25">
        <f t="shared" si="15"/>
        <v>0.36627746031746033</v>
      </c>
      <c r="K109" s="26" t="str">
        <f t="shared" si="16"/>
        <v>En Progreso</v>
      </c>
      <c r="L109" s="6" t="s">
        <v>326</v>
      </c>
      <c r="M109" s="6" t="s">
        <v>325</v>
      </c>
    </row>
    <row r="110" spans="1:13" x14ac:dyDescent="0.35">
      <c r="A110" s="20" t="s">
        <v>160</v>
      </c>
      <c r="B110" s="11" t="s">
        <v>208</v>
      </c>
      <c r="C110" s="20" t="s">
        <v>167</v>
      </c>
      <c r="D110" s="20" t="s">
        <v>168</v>
      </c>
      <c r="E110" s="13">
        <v>1100000</v>
      </c>
      <c r="F110" s="13">
        <v>0</v>
      </c>
      <c r="G110" s="13">
        <v>0</v>
      </c>
      <c r="H110" s="50">
        <f t="shared" si="11"/>
        <v>0</v>
      </c>
      <c r="I110" s="60">
        <f t="shared" si="12"/>
        <v>1100000</v>
      </c>
      <c r="J110" s="21">
        <f t="shared" si="15"/>
        <v>0</v>
      </c>
      <c r="K110" s="22" t="str">
        <f t="shared" si="16"/>
        <v>Pendiente de ejecutar</v>
      </c>
      <c r="L110" s="6" t="s">
        <v>328</v>
      </c>
      <c r="M110" s="6" t="s">
        <v>325</v>
      </c>
    </row>
    <row r="111" spans="1:13" x14ac:dyDescent="0.35">
      <c r="A111" s="11" t="s">
        <v>212</v>
      </c>
      <c r="B111" s="11" t="s">
        <v>208</v>
      </c>
      <c r="C111" s="11" t="s">
        <v>63</v>
      </c>
      <c r="D111" s="11" t="s">
        <v>64</v>
      </c>
      <c r="E111" s="13">
        <v>1100000</v>
      </c>
      <c r="F111" s="15">
        <v>204214.2</v>
      </c>
      <c r="G111" s="13">
        <v>0</v>
      </c>
      <c r="H111" s="50">
        <f t="shared" si="11"/>
        <v>204214.2</v>
      </c>
      <c r="I111" s="60">
        <f t="shared" si="12"/>
        <v>895785.8</v>
      </c>
      <c r="J111" s="18">
        <f t="shared" si="15"/>
        <v>0.18564927272727275</v>
      </c>
      <c r="K111" s="19" t="str">
        <f t="shared" si="16"/>
        <v>En Progreso</v>
      </c>
      <c r="L111" s="6" t="s">
        <v>326</v>
      </c>
      <c r="M111" s="6" t="s">
        <v>325</v>
      </c>
    </row>
    <row r="112" spans="1:13" s="2" customFormat="1" x14ac:dyDescent="0.35">
      <c r="A112" s="20" t="s">
        <v>295</v>
      </c>
      <c r="B112" s="11" t="s">
        <v>208</v>
      </c>
      <c r="C112" s="20" t="s">
        <v>167</v>
      </c>
      <c r="D112" s="20" t="s">
        <v>168</v>
      </c>
      <c r="E112" s="13">
        <v>1100000</v>
      </c>
      <c r="F112" s="13">
        <v>261362.79</v>
      </c>
      <c r="G112" s="13">
        <v>0</v>
      </c>
      <c r="H112" s="50">
        <f t="shared" si="11"/>
        <v>261362.79</v>
      </c>
      <c r="I112" s="60">
        <f t="shared" si="12"/>
        <v>838637.21</v>
      </c>
      <c r="J112" s="21">
        <f t="shared" si="15"/>
        <v>0.23760253636363637</v>
      </c>
      <c r="K112" s="22" t="str">
        <f t="shared" si="16"/>
        <v>En Progreso</v>
      </c>
      <c r="L112" s="6" t="s">
        <v>328</v>
      </c>
      <c r="M112" s="6" t="s">
        <v>325</v>
      </c>
    </row>
    <row r="113" spans="1:13" x14ac:dyDescent="0.35">
      <c r="A113" s="11" t="s">
        <v>36</v>
      </c>
      <c r="B113" s="11" t="s">
        <v>324</v>
      </c>
      <c r="C113" s="11" t="s">
        <v>37</v>
      </c>
      <c r="D113" s="11" t="s">
        <v>38</v>
      </c>
      <c r="E113" s="13">
        <v>110000</v>
      </c>
      <c r="F113" s="13">
        <f>23075.48*2</f>
        <v>46150.96</v>
      </c>
      <c r="G113" s="13">
        <v>0</v>
      </c>
      <c r="H113" s="50">
        <f t="shared" si="11"/>
        <v>46150.96</v>
      </c>
      <c r="I113" s="60">
        <f t="shared" si="12"/>
        <v>63849.04</v>
      </c>
      <c r="J113" s="25">
        <f t="shared" si="15"/>
        <v>0.41955418181818183</v>
      </c>
      <c r="K113" s="26" t="str">
        <f t="shared" si="16"/>
        <v>En Progreso</v>
      </c>
      <c r="L113" s="6" t="s">
        <v>328</v>
      </c>
      <c r="M113" s="6" t="s">
        <v>325</v>
      </c>
    </row>
    <row r="114" spans="1:13" x14ac:dyDescent="0.35">
      <c r="A114" s="20" t="s">
        <v>225</v>
      </c>
      <c r="B114" s="11" t="s">
        <v>208</v>
      </c>
      <c r="C114" s="20" t="s">
        <v>66</v>
      </c>
      <c r="D114" s="20" t="s">
        <v>67</v>
      </c>
      <c r="E114" s="13">
        <v>1050000</v>
      </c>
      <c r="F114" s="16">
        <v>94876.94</v>
      </c>
      <c r="G114" s="13">
        <v>0</v>
      </c>
      <c r="H114" s="50">
        <f t="shared" si="11"/>
        <v>94876.94</v>
      </c>
      <c r="I114" s="60">
        <f t="shared" si="12"/>
        <v>955123.06</v>
      </c>
      <c r="J114" s="21">
        <f t="shared" si="15"/>
        <v>9.0358990476190476E-2</v>
      </c>
      <c r="K114" s="22" t="str">
        <f t="shared" si="16"/>
        <v>En Progreso</v>
      </c>
      <c r="L114" s="6" t="s">
        <v>328</v>
      </c>
      <c r="M114" s="6" t="s">
        <v>325</v>
      </c>
    </row>
    <row r="115" spans="1:13" x14ac:dyDescent="0.35">
      <c r="A115" s="11" t="s">
        <v>272</v>
      </c>
      <c r="B115" s="11" t="s">
        <v>129</v>
      </c>
      <c r="C115" s="11" t="s">
        <v>39</v>
      </c>
      <c r="D115" s="11" t="s">
        <v>40</v>
      </c>
      <c r="E115" s="13">
        <v>959455</v>
      </c>
      <c r="F115" s="13">
        <v>0</v>
      </c>
      <c r="G115" s="13">
        <v>0</v>
      </c>
      <c r="H115" s="50">
        <f t="shared" si="11"/>
        <v>0</v>
      </c>
      <c r="I115" s="60">
        <f t="shared" si="12"/>
        <v>959455</v>
      </c>
      <c r="J115" s="18">
        <f t="shared" si="15"/>
        <v>0</v>
      </c>
      <c r="K115" s="19" t="str">
        <f t="shared" si="16"/>
        <v>Pendiente de ejecutar</v>
      </c>
      <c r="L115" s="6" t="s">
        <v>326</v>
      </c>
      <c r="M115" s="6" t="s">
        <v>325</v>
      </c>
    </row>
    <row r="116" spans="1:13" x14ac:dyDescent="0.35">
      <c r="A116" s="23" t="s">
        <v>245</v>
      </c>
      <c r="B116" s="11" t="s">
        <v>208</v>
      </c>
      <c r="C116" s="23" t="s">
        <v>23</v>
      </c>
      <c r="D116" s="23" t="s">
        <v>24</v>
      </c>
      <c r="E116" s="15">
        <v>945000</v>
      </c>
      <c r="F116" s="15">
        <v>0</v>
      </c>
      <c r="G116" s="15">
        <v>735074.73</v>
      </c>
      <c r="H116" s="50">
        <f t="shared" si="11"/>
        <v>735074.73</v>
      </c>
      <c r="I116" s="60">
        <f t="shared" si="12"/>
        <v>209925.27000000002</v>
      </c>
      <c r="J116" s="25">
        <f t="shared" si="15"/>
        <v>0.77785685714285713</v>
      </c>
      <c r="K116" s="26" t="str">
        <f t="shared" si="16"/>
        <v>En Progreso</v>
      </c>
      <c r="L116" s="6" t="s">
        <v>326</v>
      </c>
      <c r="M116" s="6" t="s">
        <v>325</v>
      </c>
    </row>
    <row r="117" spans="1:13" x14ac:dyDescent="0.35">
      <c r="A117" s="11" t="s">
        <v>169</v>
      </c>
      <c r="B117" s="11" t="s">
        <v>208</v>
      </c>
      <c r="C117" s="11" t="s">
        <v>175</v>
      </c>
      <c r="D117" s="11" t="s">
        <v>176</v>
      </c>
      <c r="E117" s="15">
        <v>896038</v>
      </c>
      <c r="F117" s="15">
        <v>816314.86</v>
      </c>
      <c r="G117" s="15">
        <v>0</v>
      </c>
      <c r="H117" s="50">
        <f t="shared" si="11"/>
        <v>816314.86</v>
      </c>
      <c r="I117" s="60">
        <f t="shared" si="12"/>
        <v>79723.140000000014</v>
      </c>
      <c r="J117" s="18">
        <f t="shared" si="15"/>
        <v>0.91102705465616407</v>
      </c>
      <c r="K117" s="19" t="str">
        <f t="shared" si="16"/>
        <v>En Progreso</v>
      </c>
      <c r="L117" s="6" t="s">
        <v>326</v>
      </c>
      <c r="M117" s="6" t="s">
        <v>325</v>
      </c>
    </row>
    <row r="118" spans="1:13" s="2" customFormat="1" x14ac:dyDescent="0.35">
      <c r="A118" s="23" t="s">
        <v>160</v>
      </c>
      <c r="B118" s="11" t="s">
        <v>208</v>
      </c>
      <c r="C118" s="23" t="s">
        <v>95</v>
      </c>
      <c r="D118" s="23" t="s">
        <v>75</v>
      </c>
      <c r="E118" s="15">
        <v>850000</v>
      </c>
      <c r="F118" s="15">
        <v>0</v>
      </c>
      <c r="G118" s="15">
        <v>0</v>
      </c>
      <c r="H118" s="50">
        <f t="shared" si="11"/>
        <v>0</v>
      </c>
      <c r="I118" s="60">
        <f t="shared" si="12"/>
        <v>850000</v>
      </c>
      <c r="J118" s="25">
        <f t="shared" si="15"/>
        <v>0</v>
      </c>
      <c r="K118" s="26" t="str">
        <f t="shared" si="16"/>
        <v>Pendiente de ejecutar</v>
      </c>
      <c r="L118" s="6" t="s">
        <v>328</v>
      </c>
      <c r="M118" s="6" t="s">
        <v>325</v>
      </c>
    </row>
    <row r="119" spans="1:13" x14ac:dyDescent="0.35">
      <c r="A119" s="11" t="s">
        <v>232</v>
      </c>
      <c r="B119" s="11" t="s">
        <v>208</v>
      </c>
      <c r="C119" s="11" t="s">
        <v>95</v>
      </c>
      <c r="D119" s="11" t="s">
        <v>75</v>
      </c>
      <c r="E119" s="45">
        <v>850000</v>
      </c>
      <c r="F119" s="13">
        <v>0</v>
      </c>
      <c r="G119" s="50">
        <v>0</v>
      </c>
      <c r="H119" s="50">
        <f t="shared" si="11"/>
        <v>0</v>
      </c>
      <c r="I119" s="60">
        <f t="shared" si="12"/>
        <v>850000</v>
      </c>
      <c r="J119" s="18">
        <f t="shared" si="15"/>
        <v>0</v>
      </c>
      <c r="K119" s="19" t="str">
        <f t="shared" si="16"/>
        <v>Pendiente de ejecutar</v>
      </c>
      <c r="L119" s="6" t="s">
        <v>328</v>
      </c>
      <c r="M119" s="6" t="s">
        <v>325</v>
      </c>
    </row>
    <row r="120" spans="1:13" x14ac:dyDescent="0.35">
      <c r="A120" s="20" t="s">
        <v>290</v>
      </c>
      <c r="B120" s="11" t="s">
        <v>208</v>
      </c>
      <c r="C120" s="20" t="s">
        <v>95</v>
      </c>
      <c r="D120" s="20" t="s">
        <v>75</v>
      </c>
      <c r="E120" s="13">
        <v>850000</v>
      </c>
      <c r="F120" s="13">
        <v>0</v>
      </c>
      <c r="G120" s="13">
        <v>0</v>
      </c>
      <c r="H120" s="50">
        <f t="shared" si="11"/>
        <v>0</v>
      </c>
      <c r="I120" s="60">
        <f t="shared" si="12"/>
        <v>850000</v>
      </c>
      <c r="J120" s="21">
        <f t="shared" si="15"/>
        <v>0</v>
      </c>
      <c r="K120" s="22" t="str">
        <f t="shared" si="16"/>
        <v>Pendiente de ejecutar</v>
      </c>
      <c r="L120" s="6" t="s">
        <v>328</v>
      </c>
      <c r="M120" s="6" t="s">
        <v>325</v>
      </c>
    </row>
    <row r="121" spans="1:13" x14ac:dyDescent="0.35">
      <c r="A121" s="38" t="s">
        <v>205</v>
      </c>
      <c r="B121" s="11" t="s">
        <v>208</v>
      </c>
      <c r="C121" s="11" t="s">
        <v>37</v>
      </c>
      <c r="D121" s="38" t="s">
        <v>38</v>
      </c>
      <c r="E121" s="50">
        <v>840000</v>
      </c>
      <c r="F121" s="50">
        <v>0</v>
      </c>
      <c r="G121" s="50">
        <v>4841717.07</v>
      </c>
      <c r="H121" s="50">
        <f t="shared" si="11"/>
        <v>4841717.07</v>
      </c>
      <c r="I121" s="60">
        <f t="shared" si="12"/>
        <v>-4001717.0700000003</v>
      </c>
      <c r="J121" s="18">
        <f t="shared" si="15"/>
        <v>5.763948892857143</v>
      </c>
      <c r="K121" s="19" t="str">
        <f t="shared" si="16"/>
        <v>Completado</v>
      </c>
      <c r="L121" s="6" t="s">
        <v>326</v>
      </c>
      <c r="M121" s="6" t="s">
        <v>325</v>
      </c>
    </row>
    <row r="122" spans="1:13" x14ac:dyDescent="0.35">
      <c r="A122" s="23" t="s">
        <v>213</v>
      </c>
      <c r="B122" s="11" t="s">
        <v>208</v>
      </c>
      <c r="C122" s="23" t="s">
        <v>33</v>
      </c>
      <c r="D122" s="23" t="s">
        <v>34</v>
      </c>
      <c r="E122" s="15">
        <v>840000</v>
      </c>
      <c r="F122" s="15">
        <v>0</v>
      </c>
      <c r="G122" s="15">
        <v>0</v>
      </c>
      <c r="H122" s="50">
        <f t="shared" si="11"/>
        <v>0</v>
      </c>
      <c r="I122" s="60">
        <f t="shared" si="12"/>
        <v>840000</v>
      </c>
      <c r="J122" s="25">
        <f t="shared" si="15"/>
        <v>0</v>
      </c>
      <c r="K122" s="26" t="str">
        <f t="shared" si="16"/>
        <v>Pendiente de ejecutar</v>
      </c>
      <c r="L122" s="6" t="s">
        <v>326</v>
      </c>
      <c r="M122" s="6" t="s">
        <v>325</v>
      </c>
    </row>
    <row r="123" spans="1:13" x14ac:dyDescent="0.35">
      <c r="A123" s="11" t="s">
        <v>213</v>
      </c>
      <c r="B123" s="11" t="s">
        <v>208</v>
      </c>
      <c r="C123" s="11" t="s">
        <v>216</v>
      </c>
      <c r="D123" s="11" t="s">
        <v>217</v>
      </c>
      <c r="E123" s="13">
        <v>820000</v>
      </c>
      <c r="F123" s="13">
        <v>91200</v>
      </c>
      <c r="G123" s="13">
        <v>0</v>
      </c>
      <c r="H123" s="50">
        <f t="shared" si="11"/>
        <v>91200</v>
      </c>
      <c r="I123" s="60">
        <f t="shared" si="12"/>
        <v>728800</v>
      </c>
      <c r="J123" s="18">
        <f t="shared" si="15"/>
        <v>0.11121951219512195</v>
      </c>
      <c r="K123" s="19" t="str">
        <f t="shared" si="16"/>
        <v>En Progreso</v>
      </c>
      <c r="L123" s="6" t="s">
        <v>326</v>
      </c>
      <c r="M123" s="6" t="s">
        <v>325</v>
      </c>
    </row>
    <row r="124" spans="1:13" x14ac:dyDescent="0.35">
      <c r="A124" s="20" t="s">
        <v>298</v>
      </c>
      <c r="B124" s="11" t="s">
        <v>208</v>
      </c>
      <c r="C124" s="20" t="s">
        <v>216</v>
      </c>
      <c r="D124" s="20" t="s">
        <v>217</v>
      </c>
      <c r="E124" s="13">
        <v>820000</v>
      </c>
      <c r="F124" s="13">
        <v>0</v>
      </c>
      <c r="G124" s="13">
        <v>91200</v>
      </c>
      <c r="H124" s="50">
        <f t="shared" si="11"/>
        <v>91200</v>
      </c>
      <c r="I124" s="60">
        <f t="shared" si="12"/>
        <v>728800</v>
      </c>
      <c r="J124" s="21">
        <f t="shared" si="15"/>
        <v>0.11121951219512195</v>
      </c>
      <c r="K124" s="22" t="str">
        <f t="shared" si="16"/>
        <v>En Progreso</v>
      </c>
      <c r="L124" s="6" t="s">
        <v>326</v>
      </c>
      <c r="M124" s="6" t="s">
        <v>325</v>
      </c>
    </row>
    <row r="125" spans="1:13" x14ac:dyDescent="0.35">
      <c r="A125" s="11" t="s">
        <v>300</v>
      </c>
      <c r="B125" s="11" t="s">
        <v>208</v>
      </c>
      <c r="C125" s="11" t="s">
        <v>216</v>
      </c>
      <c r="D125" s="11" t="s">
        <v>217</v>
      </c>
      <c r="E125" s="15">
        <v>820000</v>
      </c>
      <c r="F125" s="15">
        <v>0</v>
      </c>
      <c r="G125" s="15">
        <v>0</v>
      </c>
      <c r="H125" s="50">
        <f t="shared" si="11"/>
        <v>0</v>
      </c>
      <c r="I125" s="60">
        <f t="shared" si="12"/>
        <v>820000</v>
      </c>
      <c r="J125" s="18">
        <f t="shared" si="15"/>
        <v>0</v>
      </c>
      <c r="K125" s="19" t="str">
        <f t="shared" si="16"/>
        <v>Pendiente de ejecutar</v>
      </c>
      <c r="L125" s="6" t="s">
        <v>326</v>
      </c>
      <c r="M125" s="6" t="s">
        <v>325</v>
      </c>
    </row>
    <row r="126" spans="1:13" x14ac:dyDescent="0.35">
      <c r="A126" s="23" t="s">
        <v>36</v>
      </c>
      <c r="B126" s="11" t="s">
        <v>324</v>
      </c>
      <c r="C126" s="23" t="s">
        <v>17</v>
      </c>
      <c r="D126" s="23" t="s">
        <v>18</v>
      </c>
      <c r="E126" s="15">
        <v>0</v>
      </c>
      <c r="F126" s="15">
        <v>0</v>
      </c>
      <c r="G126" s="15">
        <v>0</v>
      </c>
      <c r="H126" s="50">
        <f t="shared" si="11"/>
        <v>0</v>
      </c>
      <c r="I126" s="60">
        <f t="shared" si="12"/>
        <v>0</v>
      </c>
      <c r="J126" s="25">
        <f t="shared" si="15"/>
        <v>0</v>
      </c>
      <c r="K126" s="26" t="str">
        <f t="shared" si="16"/>
        <v>Sin Plan</v>
      </c>
      <c r="L126" s="6" t="s">
        <v>328</v>
      </c>
      <c r="M126" s="6" t="s">
        <v>323</v>
      </c>
    </row>
    <row r="127" spans="1:13" x14ac:dyDescent="0.35">
      <c r="A127" s="11" t="s">
        <v>154</v>
      </c>
      <c r="B127" s="11" t="s">
        <v>129</v>
      </c>
      <c r="C127" s="11" t="s">
        <v>23</v>
      </c>
      <c r="D127" s="11" t="s">
        <v>24</v>
      </c>
      <c r="E127" s="13">
        <v>760000</v>
      </c>
      <c r="F127" s="13">
        <v>0</v>
      </c>
      <c r="G127" s="13">
        <v>0</v>
      </c>
      <c r="H127" s="50">
        <f t="shared" si="11"/>
        <v>0</v>
      </c>
      <c r="I127" s="60">
        <f t="shared" si="12"/>
        <v>760000</v>
      </c>
      <c r="J127" s="18">
        <f t="shared" si="15"/>
        <v>0</v>
      </c>
      <c r="K127" s="19" t="str">
        <f t="shared" si="16"/>
        <v>Pendiente de ejecutar</v>
      </c>
      <c r="L127" s="6" t="s">
        <v>326</v>
      </c>
      <c r="M127" s="6" t="s">
        <v>325</v>
      </c>
    </row>
    <row r="128" spans="1:13" x14ac:dyDescent="0.35">
      <c r="A128" s="23" t="s">
        <v>262</v>
      </c>
      <c r="B128" s="11" t="s">
        <v>208</v>
      </c>
      <c r="C128" s="23" t="s">
        <v>27</v>
      </c>
      <c r="D128" s="23" t="s">
        <v>28</v>
      </c>
      <c r="E128" s="15">
        <v>760000</v>
      </c>
      <c r="F128" s="15">
        <v>0</v>
      </c>
      <c r="G128" s="15">
        <v>0</v>
      </c>
      <c r="H128" s="50">
        <f t="shared" si="11"/>
        <v>0</v>
      </c>
      <c r="I128" s="60">
        <f t="shared" si="12"/>
        <v>760000</v>
      </c>
      <c r="J128" s="25">
        <f t="shared" si="15"/>
        <v>0</v>
      </c>
      <c r="K128" s="26" t="str">
        <f t="shared" si="16"/>
        <v>Pendiente de ejecutar</v>
      </c>
      <c r="L128" s="6" t="s">
        <v>328</v>
      </c>
      <c r="M128" s="6" t="s">
        <v>325</v>
      </c>
    </row>
    <row r="129" spans="1:13" x14ac:dyDescent="0.35">
      <c r="A129" s="11" t="s">
        <v>290</v>
      </c>
      <c r="B129" s="11" t="s">
        <v>208</v>
      </c>
      <c r="C129" s="11" t="s">
        <v>27</v>
      </c>
      <c r="D129" s="11" t="s">
        <v>28</v>
      </c>
      <c r="E129" s="13">
        <v>760000</v>
      </c>
      <c r="F129" s="13">
        <v>0</v>
      </c>
      <c r="G129" s="13">
        <v>0</v>
      </c>
      <c r="H129" s="50">
        <f t="shared" si="11"/>
        <v>0</v>
      </c>
      <c r="I129" s="60">
        <f t="shared" si="12"/>
        <v>760000</v>
      </c>
      <c r="J129" s="18">
        <f t="shared" si="15"/>
        <v>0</v>
      </c>
      <c r="K129" s="19" t="str">
        <f t="shared" si="16"/>
        <v>Pendiente de ejecutar</v>
      </c>
      <c r="L129" s="6" t="s">
        <v>328</v>
      </c>
      <c r="M129" s="6" t="s">
        <v>325</v>
      </c>
    </row>
    <row r="130" spans="1:13" x14ac:dyDescent="0.35">
      <c r="A130" s="11" t="s">
        <v>244</v>
      </c>
      <c r="B130" s="11" t="s">
        <v>208</v>
      </c>
      <c r="C130" s="11" t="s">
        <v>39</v>
      </c>
      <c r="D130" s="11" t="s">
        <v>40</v>
      </c>
      <c r="E130" s="15">
        <v>715000</v>
      </c>
      <c r="F130" s="15">
        <v>0</v>
      </c>
      <c r="G130" s="15">
        <v>0</v>
      </c>
      <c r="H130" s="50">
        <f t="shared" si="11"/>
        <v>0</v>
      </c>
      <c r="I130" s="60">
        <f t="shared" si="12"/>
        <v>715000</v>
      </c>
      <c r="J130" s="18">
        <f t="shared" si="15"/>
        <v>0</v>
      </c>
      <c r="K130" s="19" t="str">
        <f t="shared" si="16"/>
        <v>Pendiente de ejecutar</v>
      </c>
      <c r="L130" s="6" t="s">
        <v>326</v>
      </c>
      <c r="M130" s="6" t="s">
        <v>325</v>
      </c>
    </row>
    <row r="131" spans="1:13" x14ac:dyDescent="0.35">
      <c r="A131" s="20" t="s">
        <v>147</v>
      </c>
      <c r="B131" s="20" t="s">
        <v>148</v>
      </c>
      <c r="C131" s="20" t="s">
        <v>37</v>
      </c>
      <c r="D131" s="11" t="s">
        <v>38</v>
      </c>
      <c r="E131" s="13">
        <v>700000</v>
      </c>
      <c r="F131" s="45">
        <v>179244.5</v>
      </c>
      <c r="G131" s="13">
        <v>0</v>
      </c>
      <c r="H131" s="50">
        <f t="shared" ref="H131:H194" si="17">F131+G131</f>
        <v>179244.5</v>
      </c>
      <c r="I131" s="60">
        <f t="shared" ref="I131:I194" si="18">E131-H131</f>
        <v>520755.5</v>
      </c>
      <c r="J131" s="21">
        <f t="shared" si="15"/>
        <v>0.25606357142857145</v>
      </c>
      <c r="K131" s="22" t="str">
        <f t="shared" si="16"/>
        <v>En Progreso</v>
      </c>
      <c r="L131" s="6" t="s">
        <v>326</v>
      </c>
      <c r="M131" s="6" t="s">
        <v>325</v>
      </c>
    </row>
    <row r="132" spans="1:13" x14ac:dyDescent="0.35">
      <c r="A132" s="23" t="s">
        <v>70</v>
      </c>
      <c r="B132" s="11" t="s">
        <v>324</v>
      </c>
      <c r="C132" s="23" t="s">
        <v>37</v>
      </c>
      <c r="D132" s="11" t="s">
        <v>38</v>
      </c>
      <c r="E132" s="15"/>
      <c r="F132" s="15">
        <f>17067.28+23075.48</f>
        <v>40142.759999999995</v>
      </c>
      <c r="G132" s="15"/>
      <c r="H132" s="50">
        <f t="shared" si="17"/>
        <v>40142.759999999995</v>
      </c>
      <c r="I132" s="60">
        <f t="shared" si="18"/>
        <v>-40142.759999999995</v>
      </c>
      <c r="J132" s="25">
        <f t="shared" si="15"/>
        <v>0</v>
      </c>
      <c r="K132" s="26" t="str">
        <f t="shared" si="16"/>
        <v>Sin Plan</v>
      </c>
      <c r="L132" s="6" t="s">
        <v>326</v>
      </c>
      <c r="M132" s="6" t="s">
        <v>325</v>
      </c>
    </row>
    <row r="133" spans="1:13" x14ac:dyDescent="0.35">
      <c r="A133" s="69" t="s">
        <v>81</v>
      </c>
      <c r="B133" s="11" t="s">
        <v>324</v>
      </c>
      <c r="C133" s="23" t="s">
        <v>37</v>
      </c>
      <c r="D133" s="11" t="s">
        <v>38</v>
      </c>
      <c r="E133" s="15"/>
      <c r="F133" s="15">
        <v>23075.48</v>
      </c>
      <c r="G133" s="15"/>
      <c r="H133" s="50">
        <f t="shared" si="17"/>
        <v>23075.48</v>
      </c>
      <c r="I133" s="60">
        <f t="shared" si="18"/>
        <v>-23075.48</v>
      </c>
      <c r="J133" s="25">
        <f t="shared" si="15"/>
        <v>0</v>
      </c>
      <c r="K133" s="26" t="str">
        <f t="shared" si="16"/>
        <v>Sin Plan</v>
      </c>
      <c r="L133" s="6" t="s">
        <v>326</v>
      </c>
      <c r="M133" s="6" t="s">
        <v>325</v>
      </c>
    </row>
    <row r="134" spans="1:13" x14ac:dyDescent="0.35">
      <c r="A134" s="23" t="s">
        <v>113</v>
      </c>
      <c r="B134" s="11" t="s">
        <v>324</v>
      </c>
      <c r="C134" s="23" t="s">
        <v>37</v>
      </c>
      <c r="D134" s="11" t="s">
        <v>38</v>
      </c>
      <c r="E134" s="15"/>
      <c r="F134" s="15">
        <v>17067.28</v>
      </c>
      <c r="G134" s="15"/>
      <c r="H134" s="50">
        <f t="shared" si="17"/>
        <v>17067.28</v>
      </c>
      <c r="I134" s="60">
        <f t="shared" si="18"/>
        <v>-17067.28</v>
      </c>
      <c r="J134" s="25">
        <f t="shared" si="15"/>
        <v>0</v>
      </c>
      <c r="K134" s="26" t="str">
        <f t="shared" si="16"/>
        <v>Sin Plan</v>
      </c>
      <c r="L134" s="6" t="s">
        <v>326</v>
      </c>
      <c r="M134" s="6" t="s">
        <v>325</v>
      </c>
    </row>
    <row r="135" spans="1:13" x14ac:dyDescent="0.35">
      <c r="A135" s="11" t="s">
        <v>41</v>
      </c>
      <c r="B135" s="11" t="s">
        <v>324</v>
      </c>
      <c r="C135" s="11" t="s">
        <v>13</v>
      </c>
      <c r="D135" s="11" t="s">
        <v>14</v>
      </c>
      <c r="E135" s="15">
        <v>685000</v>
      </c>
      <c r="F135" s="15">
        <v>0</v>
      </c>
      <c r="G135" s="15">
        <v>850100</v>
      </c>
      <c r="H135" s="50">
        <f t="shared" si="17"/>
        <v>850100</v>
      </c>
      <c r="I135" s="60">
        <f t="shared" si="18"/>
        <v>-165100</v>
      </c>
      <c r="J135" s="25">
        <f t="shared" si="15"/>
        <v>1.241021897810219</v>
      </c>
      <c r="K135" s="26" t="str">
        <f t="shared" si="16"/>
        <v>Completado</v>
      </c>
      <c r="L135" s="6" t="s">
        <v>328</v>
      </c>
      <c r="M135" s="6" t="s">
        <v>325</v>
      </c>
    </row>
    <row r="136" spans="1:13" x14ac:dyDescent="0.35">
      <c r="A136" s="11" t="s">
        <v>42</v>
      </c>
      <c r="B136" s="11" t="s">
        <v>324</v>
      </c>
      <c r="C136" s="27"/>
      <c r="D136" s="28" t="s">
        <v>43</v>
      </c>
      <c r="E136" s="15"/>
      <c r="F136" s="16">
        <v>41039.14</v>
      </c>
      <c r="G136" s="15"/>
      <c r="H136" s="50">
        <f t="shared" si="17"/>
        <v>41039.14</v>
      </c>
      <c r="I136" s="60">
        <f t="shared" si="18"/>
        <v>-41039.14</v>
      </c>
      <c r="J136" s="25">
        <f t="shared" ref="J136:J167" si="19">IFERROR(H136/E136,0)</f>
        <v>0</v>
      </c>
      <c r="K136" s="26" t="str">
        <f t="shared" ref="K136:K167" si="20">IF(E136=0,"Sin Plan",IF(J136&gt;=1,"Completado",IF(J136&gt;0.001,"En Progreso","Pendiente de ejecutar")))</f>
        <v>Sin Plan</v>
      </c>
      <c r="L136" s="6" t="s">
        <v>328</v>
      </c>
      <c r="M136" s="6" t="s">
        <v>323</v>
      </c>
    </row>
    <row r="137" spans="1:13" x14ac:dyDescent="0.35">
      <c r="A137" s="23" t="s">
        <v>82</v>
      </c>
      <c r="B137" s="11" t="s">
        <v>324</v>
      </c>
      <c r="C137" s="23" t="s">
        <v>83</v>
      </c>
      <c r="D137" s="23" t="s">
        <v>84</v>
      </c>
      <c r="E137" s="15">
        <v>0</v>
      </c>
      <c r="F137" s="15">
        <v>0</v>
      </c>
      <c r="G137" s="15"/>
      <c r="H137" s="50">
        <f t="shared" si="17"/>
        <v>0</v>
      </c>
      <c r="I137" s="60">
        <f t="shared" si="18"/>
        <v>0</v>
      </c>
      <c r="J137" s="25">
        <f t="shared" si="19"/>
        <v>0</v>
      </c>
      <c r="K137" s="26" t="str">
        <f t="shared" si="20"/>
        <v>Sin Plan</v>
      </c>
      <c r="L137" s="6" t="s">
        <v>326</v>
      </c>
      <c r="M137" s="7" t="s">
        <v>323</v>
      </c>
    </row>
    <row r="138" spans="1:13" x14ac:dyDescent="0.35">
      <c r="A138" s="11" t="s">
        <v>42</v>
      </c>
      <c r="B138" s="11" t="s">
        <v>324</v>
      </c>
      <c r="C138" s="11" t="s">
        <v>44</v>
      </c>
      <c r="D138" s="11" t="s">
        <v>45</v>
      </c>
      <c r="E138" s="13">
        <v>0</v>
      </c>
      <c r="F138" s="13">
        <v>47457.63</v>
      </c>
      <c r="G138" s="13">
        <v>0</v>
      </c>
      <c r="H138" s="50">
        <f t="shared" si="17"/>
        <v>47457.63</v>
      </c>
      <c r="I138" s="60">
        <f t="shared" si="18"/>
        <v>-47457.63</v>
      </c>
      <c r="J138" s="25">
        <f t="shared" si="19"/>
        <v>0</v>
      </c>
      <c r="K138" s="26" t="str">
        <f t="shared" si="20"/>
        <v>Sin Plan</v>
      </c>
      <c r="L138" s="6" t="s">
        <v>328</v>
      </c>
      <c r="M138" s="6" t="s">
        <v>323</v>
      </c>
    </row>
    <row r="139" spans="1:13" x14ac:dyDescent="0.35">
      <c r="A139" s="20" t="s">
        <v>46</v>
      </c>
      <c r="B139" s="11" t="s">
        <v>324</v>
      </c>
      <c r="C139" s="20" t="s">
        <v>13</v>
      </c>
      <c r="D139" s="20" t="s">
        <v>14</v>
      </c>
      <c r="E139" s="13">
        <v>685000</v>
      </c>
      <c r="F139" s="13">
        <v>0</v>
      </c>
      <c r="G139" s="13">
        <v>1004300</v>
      </c>
      <c r="H139" s="50">
        <f t="shared" si="17"/>
        <v>1004300</v>
      </c>
      <c r="I139" s="60">
        <f t="shared" si="18"/>
        <v>-319300</v>
      </c>
      <c r="J139" s="25">
        <f t="shared" si="19"/>
        <v>1.4661313868613139</v>
      </c>
      <c r="K139" s="26" t="str">
        <f t="shared" si="20"/>
        <v>Completado</v>
      </c>
      <c r="L139" s="6" t="s">
        <v>328</v>
      </c>
      <c r="M139" s="6" t="s">
        <v>325</v>
      </c>
    </row>
    <row r="140" spans="1:13" x14ac:dyDescent="0.35">
      <c r="A140" s="11" t="s">
        <v>46</v>
      </c>
      <c r="B140" s="11" t="s">
        <v>324</v>
      </c>
      <c r="C140" s="11" t="s">
        <v>47</v>
      </c>
      <c r="D140" s="11" t="s">
        <v>48</v>
      </c>
      <c r="E140" s="13">
        <v>132300</v>
      </c>
      <c r="F140" s="13">
        <v>136751.45000000001</v>
      </c>
      <c r="G140" s="13">
        <v>0</v>
      </c>
      <c r="H140" s="50">
        <f t="shared" si="17"/>
        <v>136751.45000000001</v>
      </c>
      <c r="I140" s="60">
        <f t="shared" si="18"/>
        <v>-4451.4500000000116</v>
      </c>
      <c r="J140" s="25">
        <f t="shared" si="19"/>
        <v>1.0336466364323509</v>
      </c>
      <c r="K140" s="26" t="str">
        <f t="shared" si="20"/>
        <v>Completado</v>
      </c>
      <c r="L140" s="6" t="s">
        <v>328</v>
      </c>
      <c r="M140" s="6" t="s">
        <v>325</v>
      </c>
    </row>
    <row r="141" spans="1:13" x14ac:dyDescent="0.35">
      <c r="A141" s="23" t="s">
        <v>49</v>
      </c>
      <c r="B141" s="11" t="s">
        <v>324</v>
      </c>
      <c r="C141" s="23" t="s">
        <v>50</v>
      </c>
      <c r="D141" s="23" t="s">
        <v>51</v>
      </c>
      <c r="E141" s="15">
        <v>0</v>
      </c>
      <c r="F141" s="15">
        <v>0</v>
      </c>
      <c r="G141" s="15">
        <f>55000+9500</f>
        <v>64500</v>
      </c>
      <c r="H141" s="50">
        <f t="shared" si="17"/>
        <v>64500</v>
      </c>
      <c r="I141" s="60">
        <f t="shared" si="18"/>
        <v>-64500</v>
      </c>
      <c r="J141" s="25">
        <f t="shared" si="19"/>
        <v>0</v>
      </c>
      <c r="K141" s="26" t="str">
        <f t="shared" si="20"/>
        <v>Sin Plan</v>
      </c>
      <c r="L141" s="6" t="s">
        <v>328</v>
      </c>
      <c r="M141" s="6" t="s">
        <v>323</v>
      </c>
    </row>
    <row r="142" spans="1:13" x14ac:dyDescent="0.35">
      <c r="A142" s="11" t="s">
        <v>49</v>
      </c>
      <c r="B142" s="11" t="s">
        <v>324</v>
      </c>
      <c r="C142" s="11" t="s">
        <v>13</v>
      </c>
      <c r="D142" s="11" t="s">
        <v>14</v>
      </c>
      <c r="E142" s="15">
        <v>685000</v>
      </c>
      <c r="F142" s="15">
        <v>0</v>
      </c>
      <c r="G142" s="15">
        <v>448100</v>
      </c>
      <c r="H142" s="50">
        <f t="shared" si="17"/>
        <v>448100</v>
      </c>
      <c r="I142" s="60">
        <f t="shared" si="18"/>
        <v>236900</v>
      </c>
      <c r="J142" s="25">
        <f t="shared" si="19"/>
        <v>0.65416058394160581</v>
      </c>
      <c r="K142" s="26" t="str">
        <f t="shared" si="20"/>
        <v>En Progreso</v>
      </c>
      <c r="L142" s="6" t="s">
        <v>328</v>
      </c>
      <c r="M142" s="6" t="s">
        <v>325</v>
      </c>
    </row>
    <row r="143" spans="1:13" x14ac:dyDescent="0.35">
      <c r="A143" s="63" t="s">
        <v>49</v>
      </c>
      <c r="B143" s="38" t="s">
        <v>324</v>
      </c>
      <c r="C143" s="20" t="s">
        <v>29</v>
      </c>
      <c r="D143" s="63" t="s">
        <v>30</v>
      </c>
      <c r="E143" s="50">
        <v>70000</v>
      </c>
      <c r="F143" s="50">
        <v>0</v>
      </c>
      <c r="G143" s="50">
        <v>0</v>
      </c>
      <c r="H143" s="50">
        <f t="shared" si="17"/>
        <v>0</v>
      </c>
      <c r="I143" s="60">
        <f t="shared" si="18"/>
        <v>70000</v>
      </c>
      <c r="J143" s="96">
        <f t="shared" si="19"/>
        <v>0</v>
      </c>
      <c r="K143" s="97" t="str">
        <f t="shared" si="20"/>
        <v>Pendiente de ejecutar</v>
      </c>
      <c r="L143" s="95" t="s">
        <v>328</v>
      </c>
      <c r="M143" s="6" t="s">
        <v>325</v>
      </c>
    </row>
    <row r="144" spans="1:13" x14ac:dyDescent="0.35">
      <c r="A144" s="23" t="s">
        <v>52</v>
      </c>
      <c r="B144" s="11" t="s">
        <v>324</v>
      </c>
      <c r="C144" s="23" t="s">
        <v>47</v>
      </c>
      <c r="D144" s="23" t="s">
        <v>48</v>
      </c>
      <c r="E144" s="15">
        <v>132300</v>
      </c>
      <c r="F144" s="16">
        <v>136751.45000000001</v>
      </c>
      <c r="G144" s="46">
        <v>246624.75</v>
      </c>
      <c r="H144" s="50">
        <f t="shared" si="17"/>
        <v>383376.2</v>
      </c>
      <c r="I144" s="60">
        <f t="shared" si="18"/>
        <v>-251076.2</v>
      </c>
      <c r="J144" s="25">
        <f t="shared" si="19"/>
        <v>2.8977792894935752</v>
      </c>
      <c r="K144" s="26" t="str">
        <f t="shared" si="20"/>
        <v>Completado</v>
      </c>
      <c r="L144" s="6" t="s">
        <v>328</v>
      </c>
      <c r="M144" s="6" t="s">
        <v>325</v>
      </c>
    </row>
    <row r="145" spans="1:13" x14ac:dyDescent="0.35">
      <c r="A145" s="23" t="s">
        <v>52</v>
      </c>
      <c r="B145" s="11" t="s">
        <v>324</v>
      </c>
      <c r="C145" s="23"/>
      <c r="D145" s="23" t="s">
        <v>336</v>
      </c>
      <c r="E145" s="15"/>
      <c r="F145" s="15"/>
      <c r="G145" s="15">
        <v>49540.959999999999</v>
      </c>
      <c r="H145" s="50">
        <f t="shared" si="17"/>
        <v>49540.959999999999</v>
      </c>
      <c r="I145" s="60">
        <f t="shared" si="18"/>
        <v>-49540.959999999999</v>
      </c>
      <c r="J145" s="25">
        <f t="shared" si="19"/>
        <v>0</v>
      </c>
      <c r="K145" s="26" t="str">
        <f t="shared" si="20"/>
        <v>Sin Plan</v>
      </c>
      <c r="L145" s="6" t="s">
        <v>328</v>
      </c>
      <c r="M145" s="6"/>
    </row>
    <row r="146" spans="1:13" x14ac:dyDescent="0.35">
      <c r="A146" s="23" t="s">
        <v>52</v>
      </c>
      <c r="B146" s="11" t="s">
        <v>324</v>
      </c>
      <c r="C146" s="23" t="s">
        <v>53</v>
      </c>
      <c r="D146" s="23" t="s">
        <v>54</v>
      </c>
      <c r="E146" s="15">
        <v>52000</v>
      </c>
      <c r="F146" s="16">
        <f>25662.27*2</f>
        <v>51324.54</v>
      </c>
      <c r="G146" s="15">
        <v>0</v>
      </c>
      <c r="H146" s="50">
        <f t="shared" si="17"/>
        <v>51324.54</v>
      </c>
      <c r="I146" s="60">
        <f t="shared" si="18"/>
        <v>675.45999999999913</v>
      </c>
      <c r="J146" s="25">
        <f t="shared" si="19"/>
        <v>0.9870103846153846</v>
      </c>
      <c r="K146" s="26" t="str">
        <f t="shared" si="20"/>
        <v>En Progreso</v>
      </c>
      <c r="L146" s="6" t="s">
        <v>328</v>
      </c>
      <c r="M146" s="6" t="s">
        <v>325</v>
      </c>
    </row>
    <row r="147" spans="1:13" x14ac:dyDescent="0.35">
      <c r="A147" s="11" t="s">
        <v>157</v>
      </c>
      <c r="B147" s="11" t="s">
        <v>324</v>
      </c>
      <c r="C147" s="11" t="s">
        <v>158</v>
      </c>
      <c r="D147" s="11" t="s">
        <v>159</v>
      </c>
      <c r="E147" s="15">
        <v>640000</v>
      </c>
      <c r="F147" s="15">
        <v>581133.9</v>
      </c>
      <c r="G147" s="15">
        <v>0</v>
      </c>
      <c r="H147" s="50">
        <f t="shared" si="17"/>
        <v>581133.9</v>
      </c>
      <c r="I147" s="60">
        <f t="shared" si="18"/>
        <v>58866.099999999977</v>
      </c>
      <c r="J147" s="25">
        <f t="shared" si="19"/>
        <v>0.90802171875000004</v>
      </c>
      <c r="K147" s="26" t="str">
        <f t="shared" si="20"/>
        <v>En Progreso</v>
      </c>
      <c r="L147" s="6" t="s">
        <v>326</v>
      </c>
      <c r="M147" s="6" t="s">
        <v>325</v>
      </c>
    </row>
    <row r="148" spans="1:13" x14ac:dyDescent="0.35">
      <c r="A148" s="20" t="s">
        <v>52</v>
      </c>
      <c r="B148" s="11" t="s">
        <v>324</v>
      </c>
      <c r="C148" s="20" t="s">
        <v>55</v>
      </c>
      <c r="D148" s="20" t="s">
        <v>56</v>
      </c>
      <c r="E148" s="13">
        <v>0</v>
      </c>
      <c r="F148" s="16">
        <v>61286.400000000001</v>
      </c>
      <c r="G148" s="13">
        <v>0</v>
      </c>
      <c r="H148" s="50">
        <f t="shared" si="17"/>
        <v>61286.400000000001</v>
      </c>
      <c r="I148" s="60">
        <f t="shared" si="18"/>
        <v>-61286.400000000001</v>
      </c>
      <c r="J148" s="25">
        <f t="shared" si="19"/>
        <v>0</v>
      </c>
      <c r="K148" s="26" t="str">
        <f t="shared" si="20"/>
        <v>Sin Plan</v>
      </c>
      <c r="L148" s="6" t="s">
        <v>328</v>
      </c>
      <c r="M148" s="6" t="s">
        <v>323</v>
      </c>
    </row>
    <row r="149" spans="1:13" x14ac:dyDescent="0.35">
      <c r="A149" s="70" t="s">
        <v>52</v>
      </c>
      <c r="B149" s="11" t="s">
        <v>324</v>
      </c>
      <c r="C149" s="27"/>
      <c r="D149" s="75" t="s">
        <v>334</v>
      </c>
      <c r="E149" s="15">
        <v>-320000</v>
      </c>
      <c r="F149" s="15"/>
      <c r="G149" s="15"/>
      <c r="H149" s="50">
        <f t="shared" si="17"/>
        <v>0</v>
      </c>
      <c r="I149" s="60">
        <f t="shared" si="18"/>
        <v>-320000</v>
      </c>
      <c r="J149" s="25">
        <f t="shared" si="19"/>
        <v>0</v>
      </c>
      <c r="K149" s="26" t="str">
        <f t="shared" si="20"/>
        <v>Pendiente de ejecutar</v>
      </c>
      <c r="L149" s="6" t="s">
        <v>328</v>
      </c>
      <c r="M149" s="6"/>
    </row>
    <row r="150" spans="1:13" x14ac:dyDescent="0.35">
      <c r="A150" s="20" t="s">
        <v>57</v>
      </c>
      <c r="B150" s="11" t="s">
        <v>324</v>
      </c>
      <c r="C150" s="20" t="s">
        <v>13</v>
      </c>
      <c r="D150" s="20" t="s">
        <v>14</v>
      </c>
      <c r="E150" s="13">
        <v>685000</v>
      </c>
      <c r="F150" s="13">
        <v>0</v>
      </c>
      <c r="G150" s="13">
        <v>847500</v>
      </c>
      <c r="H150" s="50">
        <f t="shared" si="17"/>
        <v>847500</v>
      </c>
      <c r="I150" s="60">
        <f t="shared" si="18"/>
        <v>-162500</v>
      </c>
      <c r="J150" s="25">
        <f t="shared" si="19"/>
        <v>1.2372262773722629</v>
      </c>
      <c r="K150" s="26" t="str">
        <f t="shared" si="20"/>
        <v>Completado</v>
      </c>
      <c r="L150" s="6" t="s">
        <v>328</v>
      </c>
      <c r="M150" s="6" t="s">
        <v>325</v>
      </c>
    </row>
    <row r="151" spans="1:13" x14ac:dyDescent="0.35">
      <c r="A151" s="11" t="s">
        <v>57</v>
      </c>
      <c r="B151" s="11" t="s">
        <v>324</v>
      </c>
      <c r="C151" s="11" t="s">
        <v>47</v>
      </c>
      <c r="D151" s="11" t="s">
        <v>48</v>
      </c>
      <c r="E151" s="13">
        <v>120000</v>
      </c>
      <c r="F151" s="13">
        <v>136751.45000000001</v>
      </c>
      <c r="G151" s="13">
        <v>0</v>
      </c>
      <c r="H151" s="50">
        <f t="shared" si="17"/>
        <v>136751.45000000001</v>
      </c>
      <c r="I151" s="60">
        <f t="shared" si="18"/>
        <v>-16751.450000000012</v>
      </c>
      <c r="J151" s="25">
        <f t="shared" si="19"/>
        <v>1.1395954166666669</v>
      </c>
      <c r="K151" s="26" t="str">
        <f t="shared" si="20"/>
        <v>Completado</v>
      </c>
      <c r="L151" s="6" t="s">
        <v>328</v>
      </c>
      <c r="M151" s="6" t="s">
        <v>325</v>
      </c>
    </row>
    <row r="152" spans="1:13" x14ac:dyDescent="0.35">
      <c r="A152" s="70" t="s">
        <v>65</v>
      </c>
      <c r="B152" s="11" t="s">
        <v>324</v>
      </c>
      <c r="C152" s="11" t="s">
        <v>66</v>
      </c>
      <c r="D152" s="11" t="s">
        <v>67</v>
      </c>
      <c r="E152" s="15">
        <v>130000</v>
      </c>
      <c r="F152" s="15">
        <v>0</v>
      </c>
      <c r="G152" s="15">
        <v>138246.07</v>
      </c>
      <c r="H152" s="50">
        <f t="shared" si="17"/>
        <v>138246.07</v>
      </c>
      <c r="I152" s="60">
        <f t="shared" si="18"/>
        <v>-8246.070000000007</v>
      </c>
      <c r="J152" s="25">
        <f t="shared" si="19"/>
        <v>1.0634313076923076</v>
      </c>
      <c r="K152" s="26" t="str">
        <f t="shared" si="20"/>
        <v>Completado</v>
      </c>
      <c r="L152" s="6" t="s">
        <v>328</v>
      </c>
      <c r="M152" s="6" t="s">
        <v>325</v>
      </c>
    </row>
    <row r="153" spans="1:13" x14ac:dyDescent="0.35">
      <c r="A153" s="71" t="s">
        <v>65</v>
      </c>
      <c r="B153" s="11" t="s">
        <v>324</v>
      </c>
      <c r="C153" s="20" t="s">
        <v>68</v>
      </c>
      <c r="D153" s="20" t="s">
        <v>69</v>
      </c>
      <c r="E153" s="13">
        <v>39000</v>
      </c>
      <c r="F153" s="13">
        <v>29850</v>
      </c>
      <c r="G153" s="13">
        <v>0</v>
      </c>
      <c r="H153" s="50">
        <f t="shared" si="17"/>
        <v>29850</v>
      </c>
      <c r="I153" s="60">
        <f t="shared" si="18"/>
        <v>9150</v>
      </c>
      <c r="J153" s="25">
        <f t="shared" si="19"/>
        <v>0.76538461538461533</v>
      </c>
      <c r="K153" s="26" t="str">
        <f t="shared" si="20"/>
        <v>En Progreso</v>
      </c>
      <c r="L153" s="6" t="s">
        <v>328</v>
      </c>
      <c r="M153" s="6" t="s">
        <v>325</v>
      </c>
    </row>
    <row r="154" spans="1:13" x14ac:dyDescent="0.35">
      <c r="A154" s="70" t="s">
        <v>65</v>
      </c>
      <c r="B154" s="11" t="s">
        <v>324</v>
      </c>
      <c r="C154" s="11" t="s">
        <v>13</v>
      </c>
      <c r="D154" s="11" t="s">
        <v>14</v>
      </c>
      <c r="E154" s="15">
        <v>685000</v>
      </c>
      <c r="F154" s="15">
        <v>0</v>
      </c>
      <c r="G154" s="15">
        <v>872100</v>
      </c>
      <c r="H154" s="50">
        <f t="shared" si="17"/>
        <v>872100</v>
      </c>
      <c r="I154" s="60">
        <f t="shared" si="18"/>
        <v>-187100</v>
      </c>
      <c r="J154" s="25">
        <f t="shared" si="19"/>
        <v>1.2731386861313869</v>
      </c>
      <c r="K154" s="26" t="str">
        <f t="shared" si="20"/>
        <v>Completado</v>
      </c>
      <c r="L154" s="6" t="s">
        <v>328</v>
      </c>
      <c r="M154" s="6" t="s">
        <v>325</v>
      </c>
    </row>
    <row r="155" spans="1:13" x14ac:dyDescent="0.35">
      <c r="A155" s="20" t="s">
        <v>70</v>
      </c>
      <c r="B155" s="11" t="s">
        <v>324</v>
      </c>
      <c r="C155" s="20" t="s">
        <v>13</v>
      </c>
      <c r="D155" s="20" t="s">
        <v>14</v>
      </c>
      <c r="E155" s="13">
        <v>685000</v>
      </c>
      <c r="F155" s="13">
        <v>0</v>
      </c>
      <c r="G155" s="13">
        <v>768100</v>
      </c>
      <c r="H155" s="50">
        <f t="shared" si="17"/>
        <v>768100</v>
      </c>
      <c r="I155" s="60">
        <f t="shared" si="18"/>
        <v>-83100</v>
      </c>
      <c r="J155" s="25">
        <f t="shared" si="19"/>
        <v>1.1213138686131388</v>
      </c>
      <c r="K155" s="26" t="str">
        <f t="shared" si="20"/>
        <v>Completado</v>
      </c>
      <c r="L155" s="6" t="s">
        <v>328</v>
      </c>
      <c r="M155" s="6" t="s">
        <v>325</v>
      </c>
    </row>
    <row r="156" spans="1:13" x14ac:dyDescent="0.35">
      <c r="A156" s="20" t="s">
        <v>222</v>
      </c>
      <c r="B156" s="11" t="s">
        <v>208</v>
      </c>
      <c r="C156" s="20" t="s">
        <v>66</v>
      </c>
      <c r="D156" s="20" t="s">
        <v>67</v>
      </c>
      <c r="E156" s="13">
        <v>685000</v>
      </c>
      <c r="F156" s="13">
        <v>0</v>
      </c>
      <c r="G156" s="13">
        <v>698498.5</v>
      </c>
      <c r="H156" s="50">
        <f t="shared" si="17"/>
        <v>698498.5</v>
      </c>
      <c r="I156" s="60">
        <f t="shared" si="18"/>
        <v>-13498.5</v>
      </c>
      <c r="J156" s="21">
        <f t="shared" si="19"/>
        <v>1.0197058394160583</v>
      </c>
      <c r="K156" s="22" t="str">
        <f t="shared" si="20"/>
        <v>Completado</v>
      </c>
      <c r="L156" s="6" t="s">
        <v>328</v>
      </c>
      <c r="M156" s="6" t="s">
        <v>325</v>
      </c>
    </row>
    <row r="157" spans="1:13" x14ac:dyDescent="0.35">
      <c r="A157" s="23" t="s">
        <v>228</v>
      </c>
      <c r="B157" s="11" t="s">
        <v>208</v>
      </c>
      <c r="C157" s="23" t="s">
        <v>90</v>
      </c>
      <c r="D157" s="23" t="s">
        <v>91</v>
      </c>
      <c r="E157" s="15">
        <v>680000</v>
      </c>
      <c r="F157" s="15">
        <v>0</v>
      </c>
      <c r="G157" s="15">
        <v>691339.04</v>
      </c>
      <c r="H157" s="50">
        <f t="shared" si="17"/>
        <v>691339.04</v>
      </c>
      <c r="I157" s="60">
        <f t="shared" si="18"/>
        <v>-11339.040000000037</v>
      </c>
      <c r="J157" s="25">
        <f t="shared" si="19"/>
        <v>1.0166750588235294</v>
      </c>
      <c r="K157" s="26" t="str">
        <f t="shared" si="20"/>
        <v>Completado</v>
      </c>
      <c r="L157" s="6" t="s">
        <v>328</v>
      </c>
      <c r="M157" s="6" t="s">
        <v>325</v>
      </c>
    </row>
    <row r="158" spans="1:13" x14ac:dyDescent="0.35">
      <c r="A158" s="38" t="s">
        <v>70</v>
      </c>
      <c r="B158" s="38" t="s">
        <v>324</v>
      </c>
      <c r="C158" s="11" t="s">
        <v>71</v>
      </c>
      <c r="D158" s="38" t="s">
        <v>72</v>
      </c>
      <c r="E158" s="50">
        <v>105000</v>
      </c>
      <c r="F158" s="50">
        <v>0</v>
      </c>
      <c r="G158" s="50">
        <v>0</v>
      </c>
      <c r="H158" s="50">
        <f t="shared" si="17"/>
        <v>0</v>
      </c>
      <c r="I158" s="60">
        <f t="shared" si="18"/>
        <v>105000</v>
      </c>
      <c r="J158" s="96">
        <f t="shared" si="19"/>
        <v>0</v>
      </c>
      <c r="K158" s="97" t="str">
        <f t="shared" si="20"/>
        <v>Pendiente de ejecutar</v>
      </c>
      <c r="L158" s="95" t="s">
        <v>328</v>
      </c>
      <c r="M158" s="6" t="s">
        <v>325</v>
      </c>
    </row>
    <row r="159" spans="1:13" x14ac:dyDescent="0.35">
      <c r="A159" s="23" t="s">
        <v>210</v>
      </c>
      <c r="B159" s="11" t="s">
        <v>208</v>
      </c>
      <c r="C159" s="23" t="s">
        <v>197</v>
      </c>
      <c r="D159" s="23" t="s">
        <v>198</v>
      </c>
      <c r="E159" s="15">
        <v>650000</v>
      </c>
      <c r="F159" s="15">
        <f>98659.84*2</f>
        <v>197319.67999999999</v>
      </c>
      <c r="G159" s="15">
        <v>0</v>
      </c>
      <c r="H159" s="50">
        <f t="shared" si="17"/>
        <v>197319.67999999999</v>
      </c>
      <c r="I159" s="60">
        <f t="shared" si="18"/>
        <v>452680.32</v>
      </c>
      <c r="J159" s="25">
        <f t="shared" si="19"/>
        <v>0.30356873846153842</v>
      </c>
      <c r="K159" s="26" t="str">
        <f t="shared" si="20"/>
        <v>En Progreso</v>
      </c>
      <c r="L159" s="6" t="s">
        <v>328</v>
      </c>
      <c r="M159" s="6" t="s">
        <v>325</v>
      </c>
    </row>
    <row r="160" spans="1:13" x14ac:dyDescent="0.35">
      <c r="A160" s="69" t="s">
        <v>73</v>
      </c>
      <c r="B160" s="11" t="s">
        <v>324</v>
      </c>
      <c r="C160" s="23" t="s">
        <v>66</v>
      </c>
      <c r="D160" s="23" t="s">
        <v>67</v>
      </c>
      <c r="E160" s="15">
        <v>228000</v>
      </c>
      <c r="F160" s="15">
        <v>0</v>
      </c>
      <c r="G160" s="15">
        <v>134924.26</v>
      </c>
      <c r="H160" s="50">
        <f t="shared" si="17"/>
        <v>134924.26</v>
      </c>
      <c r="I160" s="60">
        <f t="shared" si="18"/>
        <v>93075.739999999991</v>
      </c>
      <c r="J160" s="25">
        <f t="shared" si="19"/>
        <v>0.59177307017543868</v>
      </c>
      <c r="K160" s="26" t="str">
        <f t="shared" si="20"/>
        <v>En Progreso</v>
      </c>
      <c r="L160" s="6" t="s">
        <v>328</v>
      </c>
      <c r="M160" s="6" t="s">
        <v>325</v>
      </c>
    </row>
    <row r="161" spans="1:13" x14ac:dyDescent="0.35">
      <c r="A161" s="11" t="s">
        <v>300</v>
      </c>
      <c r="B161" s="11" t="s">
        <v>208</v>
      </c>
      <c r="C161" s="11" t="s">
        <v>134</v>
      </c>
      <c r="D161" s="11" t="s">
        <v>135</v>
      </c>
      <c r="E161" s="13">
        <v>630000</v>
      </c>
      <c r="F161" s="13">
        <v>0</v>
      </c>
      <c r="G161" s="13">
        <v>0</v>
      </c>
      <c r="H161" s="50">
        <f t="shared" si="17"/>
        <v>0</v>
      </c>
      <c r="I161" s="60">
        <f t="shared" si="18"/>
        <v>630000</v>
      </c>
      <c r="J161" s="18">
        <f t="shared" si="19"/>
        <v>0</v>
      </c>
      <c r="K161" s="19" t="str">
        <f t="shared" si="20"/>
        <v>Pendiente de ejecutar</v>
      </c>
      <c r="L161" s="6" t="s">
        <v>328</v>
      </c>
      <c r="M161" s="6" t="s">
        <v>325</v>
      </c>
    </row>
    <row r="162" spans="1:13" x14ac:dyDescent="0.35">
      <c r="A162" s="20" t="s">
        <v>144</v>
      </c>
      <c r="B162" s="11" t="s">
        <v>129</v>
      </c>
      <c r="C162" s="20" t="s">
        <v>39</v>
      </c>
      <c r="D162" s="20" t="s">
        <v>40</v>
      </c>
      <c r="E162" s="13">
        <v>625000</v>
      </c>
      <c r="F162" s="13">
        <v>0</v>
      </c>
      <c r="G162" s="13">
        <v>924797.13</v>
      </c>
      <c r="H162" s="50">
        <f t="shared" si="17"/>
        <v>924797.13</v>
      </c>
      <c r="I162" s="60">
        <f t="shared" si="18"/>
        <v>-299797.13</v>
      </c>
      <c r="J162" s="21">
        <f t="shared" si="19"/>
        <v>1.4796754080000001</v>
      </c>
      <c r="K162" s="22" t="str">
        <f t="shared" si="20"/>
        <v>Completado</v>
      </c>
      <c r="L162" s="6" t="s">
        <v>326</v>
      </c>
      <c r="M162" s="6" t="s">
        <v>325</v>
      </c>
    </row>
    <row r="163" spans="1:13" x14ac:dyDescent="0.35">
      <c r="A163" s="23" t="s">
        <v>212</v>
      </c>
      <c r="B163" s="11" t="s">
        <v>208</v>
      </c>
      <c r="C163" s="23" t="s">
        <v>23</v>
      </c>
      <c r="D163" s="23" t="s">
        <v>24</v>
      </c>
      <c r="E163" s="15">
        <v>588000</v>
      </c>
      <c r="F163" s="15">
        <v>0</v>
      </c>
      <c r="G163" s="15">
        <v>0</v>
      </c>
      <c r="H163" s="50">
        <f t="shared" si="17"/>
        <v>0</v>
      </c>
      <c r="I163" s="60">
        <f t="shared" si="18"/>
        <v>588000</v>
      </c>
      <c r="J163" s="25">
        <f t="shared" si="19"/>
        <v>0</v>
      </c>
      <c r="K163" s="26" t="str">
        <f t="shared" si="20"/>
        <v>Pendiente de ejecutar</v>
      </c>
      <c r="L163" s="6" t="s">
        <v>326</v>
      </c>
      <c r="M163" s="6" t="s">
        <v>325</v>
      </c>
    </row>
    <row r="164" spans="1:13" x14ac:dyDescent="0.35">
      <c r="A164" s="20" t="s">
        <v>262</v>
      </c>
      <c r="B164" s="11" t="s">
        <v>208</v>
      </c>
      <c r="C164" s="11" t="s">
        <v>23</v>
      </c>
      <c r="D164" s="11" t="s">
        <v>24</v>
      </c>
      <c r="E164" s="13">
        <v>572000</v>
      </c>
      <c r="F164" s="13">
        <v>0</v>
      </c>
      <c r="G164" s="13">
        <v>940359.18</v>
      </c>
      <c r="H164" s="50">
        <f t="shared" si="17"/>
        <v>940359.18</v>
      </c>
      <c r="I164" s="60">
        <f t="shared" si="18"/>
        <v>-368359.18000000005</v>
      </c>
      <c r="J164" s="18">
        <f t="shared" si="19"/>
        <v>1.6439845804195805</v>
      </c>
      <c r="K164" s="19" t="str">
        <f t="shared" si="20"/>
        <v>Completado</v>
      </c>
      <c r="L164" s="6" t="s">
        <v>326</v>
      </c>
      <c r="M164" s="6" t="s">
        <v>325</v>
      </c>
    </row>
    <row r="165" spans="1:13" x14ac:dyDescent="0.35">
      <c r="A165" s="70" t="s">
        <v>73</v>
      </c>
      <c r="B165" s="11" t="s">
        <v>324</v>
      </c>
      <c r="C165" s="11" t="s">
        <v>44</v>
      </c>
      <c r="D165" s="11" t="s">
        <v>45</v>
      </c>
      <c r="E165" s="13">
        <v>0</v>
      </c>
      <c r="F165" s="13">
        <v>42697.2</v>
      </c>
      <c r="G165" s="13">
        <v>0</v>
      </c>
      <c r="H165" s="50">
        <f t="shared" si="17"/>
        <v>42697.2</v>
      </c>
      <c r="I165" s="60">
        <f t="shared" si="18"/>
        <v>-42697.2</v>
      </c>
      <c r="J165" s="25">
        <f t="shared" si="19"/>
        <v>0</v>
      </c>
      <c r="K165" s="26" t="str">
        <f t="shared" si="20"/>
        <v>Sin Plan</v>
      </c>
      <c r="L165" s="6" t="s">
        <v>328</v>
      </c>
      <c r="M165" s="6" t="s">
        <v>323</v>
      </c>
    </row>
    <row r="166" spans="1:13" x14ac:dyDescent="0.35">
      <c r="A166" s="11" t="s">
        <v>170</v>
      </c>
      <c r="B166" s="11" t="s">
        <v>208</v>
      </c>
      <c r="C166" s="11" t="s">
        <v>78</v>
      </c>
      <c r="D166" s="11" t="s">
        <v>79</v>
      </c>
      <c r="E166" s="13">
        <v>560000</v>
      </c>
      <c r="F166" s="13">
        <v>0</v>
      </c>
      <c r="G166" s="45">
        <v>537231.13</v>
      </c>
      <c r="H166" s="50">
        <f t="shared" si="17"/>
        <v>537231.13</v>
      </c>
      <c r="I166" s="60">
        <f t="shared" si="18"/>
        <v>22768.869999999995</v>
      </c>
      <c r="J166" s="18">
        <f t="shared" si="19"/>
        <v>0.95934130357142855</v>
      </c>
      <c r="K166" s="19" t="str">
        <f t="shared" si="20"/>
        <v>En Progreso</v>
      </c>
      <c r="L166" s="6" t="s">
        <v>328</v>
      </c>
      <c r="M166" s="6" t="s">
        <v>325</v>
      </c>
    </row>
    <row r="167" spans="1:13" x14ac:dyDescent="0.35">
      <c r="A167" s="20" t="s">
        <v>147</v>
      </c>
      <c r="B167" s="20" t="s">
        <v>148</v>
      </c>
      <c r="C167" s="20" t="s">
        <v>21</v>
      </c>
      <c r="D167" s="20" t="s">
        <v>22</v>
      </c>
      <c r="E167" s="13">
        <v>550000</v>
      </c>
      <c r="F167" s="13">
        <v>0</v>
      </c>
      <c r="G167" s="13">
        <v>0</v>
      </c>
      <c r="H167" s="50">
        <f t="shared" si="17"/>
        <v>0</v>
      </c>
      <c r="I167" s="60">
        <f t="shared" si="18"/>
        <v>550000</v>
      </c>
      <c r="J167" s="21">
        <f t="shared" si="19"/>
        <v>0</v>
      </c>
      <c r="K167" s="22" t="str">
        <f t="shared" si="20"/>
        <v>Pendiente de ejecutar</v>
      </c>
      <c r="L167" s="6" t="s">
        <v>326</v>
      </c>
      <c r="M167" s="6" t="s">
        <v>325</v>
      </c>
    </row>
    <row r="168" spans="1:13" x14ac:dyDescent="0.35">
      <c r="A168" s="11" t="s">
        <v>74</v>
      </c>
      <c r="B168" s="11" t="s">
        <v>324</v>
      </c>
      <c r="C168" s="27"/>
      <c r="D168" s="27" t="s">
        <v>75</v>
      </c>
      <c r="E168" s="15">
        <v>0</v>
      </c>
      <c r="F168" s="15">
        <v>40082.92</v>
      </c>
      <c r="G168" s="15"/>
      <c r="H168" s="50">
        <f t="shared" si="17"/>
        <v>40082.92</v>
      </c>
      <c r="I168" s="60">
        <f t="shared" si="18"/>
        <v>-40082.92</v>
      </c>
      <c r="J168" s="25">
        <f t="shared" ref="J168:J199" si="21">IFERROR(H168/E168,0)</f>
        <v>0</v>
      </c>
      <c r="K168" s="26" t="str">
        <f t="shared" ref="K168:K199" si="22">IF(E168=0,"Sin Plan",IF(J168&gt;=1,"Completado",IF(J168&gt;0.001,"En Progreso","Pendiente de ejecutar")))</f>
        <v>Sin Plan</v>
      </c>
      <c r="L168" s="6" t="s">
        <v>328</v>
      </c>
      <c r="M168" s="6" t="s">
        <v>323</v>
      </c>
    </row>
    <row r="169" spans="1:13" x14ac:dyDescent="0.35">
      <c r="A169" s="36" t="s">
        <v>253</v>
      </c>
      <c r="B169" s="11" t="s">
        <v>208</v>
      </c>
      <c r="C169" s="38" t="s">
        <v>90</v>
      </c>
      <c r="D169" s="38" t="s">
        <v>91</v>
      </c>
      <c r="E169" s="31">
        <v>520000</v>
      </c>
      <c r="F169" s="31">
        <v>0</v>
      </c>
      <c r="G169" s="31">
        <f>137983.9*2</f>
        <v>275967.8</v>
      </c>
      <c r="H169" s="50">
        <f t="shared" si="17"/>
        <v>275967.8</v>
      </c>
      <c r="I169" s="60">
        <f t="shared" si="18"/>
        <v>244032.2</v>
      </c>
      <c r="J169" s="25">
        <f t="shared" si="21"/>
        <v>0.53070730769230767</v>
      </c>
      <c r="K169" s="26" t="str">
        <f t="shared" si="22"/>
        <v>En Progreso</v>
      </c>
      <c r="L169" s="6" t="s">
        <v>328</v>
      </c>
      <c r="M169" s="6" t="s">
        <v>325</v>
      </c>
    </row>
    <row r="170" spans="1:13" x14ac:dyDescent="0.35">
      <c r="A170" s="70" t="s">
        <v>76</v>
      </c>
      <c r="B170" s="11" t="s">
        <v>324</v>
      </c>
      <c r="C170" s="11" t="s">
        <v>13</v>
      </c>
      <c r="D170" s="11" t="s">
        <v>14</v>
      </c>
      <c r="E170" s="13">
        <v>685000</v>
      </c>
      <c r="F170" s="13">
        <v>0</v>
      </c>
      <c r="G170" s="13">
        <v>746100</v>
      </c>
      <c r="H170" s="50">
        <f t="shared" si="17"/>
        <v>746100</v>
      </c>
      <c r="I170" s="60">
        <f t="shared" si="18"/>
        <v>-61100</v>
      </c>
      <c r="J170" s="25">
        <f t="shared" si="21"/>
        <v>1.0891970802919708</v>
      </c>
      <c r="K170" s="26" t="str">
        <f t="shared" si="22"/>
        <v>Completado</v>
      </c>
      <c r="L170" s="6" t="s">
        <v>328</v>
      </c>
      <c r="M170" s="6" t="s">
        <v>325</v>
      </c>
    </row>
    <row r="171" spans="1:13" x14ac:dyDescent="0.35">
      <c r="A171" s="23" t="s">
        <v>286</v>
      </c>
      <c r="B171" s="11" t="s">
        <v>208</v>
      </c>
      <c r="C171" s="23" t="s">
        <v>187</v>
      </c>
      <c r="D171" s="36" t="s">
        <v>188</v>
      </c>
      <c r="E171" s="15">
        <v>495000</v>
      </c>
      <c r="F171" s="15">
        <v>0</v>
      </c>
      <c r="G171" s="15">
        <v>461974.36</v>
      </c>
      <c r="H171" s="50">
        <f t="shared" si="17"/>
        <v>461974.36</v>
      </c>
      <c r="I171" s="60">
        <f t="shared" si="18"/>
        <v>33025.640000000014</v>
      </c>
      <c r="J171" s="25">
        <f t="shared" si="21"/>
        <v>0.93328153535353531</v>
      </c>
      <c r="K171" s="26" t="str">
        <f t="shared" si="22"/>
        <v>En Progreso</v>
      </c>
      <c r="L171" s="6" t="s">
        <v>328</v>
      </c>
      <c r="M171" s="6" t="s">
        <v>325</v>
      </c>
    </row>
    <row r="172" spans="1:13" x14ac:dyDescent="0.35">
      <c r="A172" s="11" t="s">
        <v>298</v>
      </c>
      <c r="B172" s="11" t="s">
        <v>208</v>
      </c>
      <c r="C172" s="11" t="s">
        <v>220</v>
      </c>
      <c r="D172" s="11" t="s">
        <v>221</v>
      </c>
      <c r="E172" s="15">
        <v>491000</v>
      </c>
      <c r="F172" s="15">
        <v>0</v>
      </c>
      <c r="G172" s="15">
        <v>479452.75</v>
      </c>
      <c r="H172" s="50">
        <f t="shared" si="17"/>
        <v>479452.75</v>
      </c>
      <c r="I172" s="60">
        <f t="shared" si="18"/>
        <v>11547.25</v>
      </c>
      <c r="J172" s="18">
        <f t="shared" si="21"/>
        <v>0.97648217922606928</v>
      </c>
      <c r="K172" s="19" t="str">
        <f t="shared" si="22"/>
        <v>En Progreso</v>
      </c>
      <c r="L172" s="6" t="s">
        <v>326</v>
      </c>
      <c r="M172" s="6" t="s">
        <v>325</v>
      </c>
    </row>
    <row r="173" spans="1:13" s="2" customFormat="1" x14ac:dyDescent="0.35">
      <c r="A173" s="36" t="s">
        <v>199</v>
      </c>
      <c r="B173" s="11" t="s">
        <v>208</v>
      </c>
      <c r="C173" s="20" t="s">
        <v>83</v>
      </c>
      <c r="D173" s="20" t="s">
        <v>84</v>
      </c>
      <c r="E173" s="13">
        <v>488500</v>
      </c>
      <c r="F173" s="16">
        <v>321400</v>
      </c>
      <c r="G173" s="13"/>
      <c r="H173" s="50">
        <f t="shared" si="17"/>
        <v>321400</v>
      </c>
      <c r="I173" s="60">
        <f t="shared" si="18"/>
        <v>167100</v>
      </c>
      <c r="J173" s="21">
        <f t="shared" si="21"/>
        <v>0.65793244626407366</v>
      </c>
      <c r="K173" s="22" t="str">
        <f t="shared" si="22"/>
        <v>En Progreso</v>
      </c>
      <c r="L173" s="6" t="s">
        <v>326</v>
      </c>
      <c r="M173" s="6" t="s">
        <v>325</v>
      </c>
    </row>
    <row r="174" spans="1:13" x14ac:dyDescent="0.35">
      <c r="A174" s="36" t="s">
        <v>253</v>
      </c>
      <c r="B174" s="11" t="s">
        <v>208</v>
      </c>
      <c r="C174" s="38" t="s">
        <v>63</v>
      </c>
      <c r="D174" s="38" t="s">
        <v>64</v>
      </c>
      <c r="E174" s="31">
        <v>480000</v>
      </c>
      <c r="F174" s="31">
        <v>0</v>
      </c>
      <c r="G174" s="31">
        <v>0</v>
      </c>
      <c r="H174" s="50">
        <f t="shared" si="17"/>
        <v>0</v>
      </c>
      <c r="I174" s="60">
        <f t="shared" si="18"/>
        <v>480000</v>
      </c>
      <c r="J174" s="18">
        <f t="shared" si="21"/>
        <v>0</v>
      </c>
      <c r="K174" s="19" t="str">
        <f t="shared" si="22"/>
        <v>Pendiente de ejecutar</v>
      </c>
      <c r="L174" s="6" t="s">
        <v>326</v>
      </c>
      <c r="M174" s="6" t="s">
        <v>325</v>
      </c>
    </row>
    <row r="175" spans="1:13" x14ac:dyDescent="0.35">
      <c r="A175" s="23" t="s">
        <v>295</v>
      </c>
      <c r="B175" s="11" t="s">
        <v>208</v>
      </c>
      <c r="C175" s="23" t="s">
        <v>63</v>
      </c>
      <c r="D175" s="23" t="s">
        <v>64</v>
      </c>
      <c r="E175" s="15">
        <v>480000</v>
      </c>
      <c r="F175" s="15"/>
      <c r="G175" s="15">
        <v>0</v>
      </c>
      <c r="H175" s="50">
        <f t="shared" si="17"/>
        <v>0</v>
      </c>
      <c r="I175" s="60">
        <f t="shared" si="18"/>
        <v>480000</v>
      </c>
      <c r="J175" s="25">
        <f t="shared" si="21"/>
        <v>0</v>
      </c>
      <c r="K175" s="26" t="str">
        <f t="shared" si="22"/>
        <v>Pendiente de ejecutar</v>
      </c>
      <c r="L175" s="6" t="s">
        <v>326</v>
      </c>
      <c r="M175" s="6" t="s">
        <v>325</v>
      </c>
    </row>
    <row r="176" spans="1:13" x14ac:dyDescent="0.35">
      <c r="A176" s="11" t="s">
        <v>240</v>
      </c>
      <c r="B176" s="11" t="s">
        <v>208</v>
      </c>
      <c r="C176" s="11" t="s">
        <v>184</v>
      </c>
      <c r="D176" s="11" t="s">
        <v>185</v>
      </c>
      <c r="E176" s="13">
        <v>464000</v>
      </c>
      <c r="F176" s="13">
        <v>0</v>
      </c>
      <c r="G176" s="13">
        <v>0</v>
      </c>
      <c r="H176" s="50">
        <f t="shared" si="17"/>
        <v>0</v>
      </c>
      <c r="I176" s="60">
        <f t="shared" si="18"/>
        <v>464000</v>
      </c>
      <c r="J176" s="18">
        <f t="shared" si="21"/>
        <v>0</v>
      </c>
      <c r="K176" s="19" t="str">
        <f t="shared" si="22"/>
        <v>Pendiente de ejecutar</v>
      </c>
      <c r="L176" s="6" t="s">
        <v>328</v>
      </c>
      <c r="M176" s="6" t="s">
        <v>325</v>
      </c>
    </row>
    <row r="177" spans="1:13" x14ac:dyDescent="0.35">
      <c r="A177" s="71" t="s">
        <v>76</v>
      </c>
      <c r="B177" s="11" t="s">
        <v>324</v>
      </c>
      <c r="C177" s="20" t="s">
        <v>47</v>
      </c>
      <c r="D177" s="20" t="s">
        <v>48</v>
      </c>
      <c r="E177" s="13">
        <v>120000</v>
      </c>
      <c r="F177" s="13">
        <v>0</v>
      </c>
      <c r="G177" s="13">
        <v>246624.75</v>
      </c>
      <c r="H177" s="50">
        <f t="shared" si="17"/>
        <v>246624.75</v>
      </c>
      <c r="I177" s="60">
        <f t="shared" si="18"/>
        <v>-126624.75</v>
      </c>
      <c r="J177" s="25">
        <f t="shared" si="21"/>
        <v>2.0552062499999999</v>
      </c>
      <c r="K177" s="26" t="str">
        <f t="shared" si="22"/>
        <v>Completado</v>
      </c>
      <c r="L177" s="6" t="s">
        <v>328</v>
      </c>
      <c r="M177" s="6" t="s">
        <v>325</v>
      </c>
    </row>
    <row r="178" spans="1:13" x14ac:dyDescent="0.35">
      <c r="A178" s="20" t="s">
        <v>77</v>
      </c>
      <c r="B178" s="11" t="s">
        <v>324</v>
      </c>
      <c r="C178" s="20" t="s">
        <v>13</v>
      </c>
      <c r="D178" s="20" t="s">
        <v>14</v>
      </c>
      <c r="E178" s="13">
        <v>685000</v>
      </c>
      <c r="F178" s="13">
        <v>0</v>
      </c>
      <c r="G178" s="13">
        <v>789100</v>
      </c>
      <c r="H178" s="50">
        <f t="shared" si="17"/>
        <v>789100</v>
      </c>
      <c r="I178" s="60">
        <f t="shared" si="18"/>
        <v>-104100</v>
      </c>
      <c r="J178" s="25">
        <f t="shared" si="21"/>
        <v>1.151970802919708</v>
      </c>
      <c r="K178" s="26" t="str">
        <f t="shared" si="22"/>
        <v>Completado</v>
      </c>
      <c r="L178" s="6" t="s">
        <v>328</v>
      </c>
      <c r="M178" s="6" t="s">
        <v>325</v>
      </c>
    </row>
    <row r="179" spans="1:13" x14ac:dyDescent="0.35">
      <c r="A179" s="11" t="s">
        <v>77</v>
      </c>
      <c r="B179" s="11" t="s">
        <v>324</v>
      </c>
      <c r="C179" s="11" t="s">
        <v>78</v>
      </c>
      <c r="D179" s="11" t="s">
        <v>79</v>
      </c>
      <c r="E179" s="15">
        <v>220420</v>
      </c>
      <c r="F179" s="15">
        <v>0</v>
      </c>
      <c r="G179" s="15">
        <v>110732.56</v>
      </c>
      <c r="H179" s="50">
        <f t="shared" si="17"/>
        <v>110732.56</v>
      </c>
      <c r="I179" s="60">
        <f t="shared" si="18"/>
        <v>109687.44</v>
      </c>
      <c r="J179" s="25">
        <f t="shared" si="21"/>
        <v>0.50237074675619275</v>
      </c>
      <c r="K179" s="26" t="str">
        <f t="shared" si="22"/>
        <v>En Progreso</v>
      </c>
      <c r="L179" s="6" t="s">
        <v>328</v>
      </c>
      <c r="M179" s="6" t="s">
        <v>325</v>
      </c>
    </row>
    <row r="180" spans="1:13" x14ac:dyDescent="0.35">
      <c r="A180" s="23" t="s">
        <v>80</v>
      </c>
      <c r="B180" s="11" t="s">
        <v>324</v>
      </c>
      <c r="C180" s="23" t="s">
        <v>66</v>
      </c>
      <c r="D180" s="23" t="s">
        <v>67</v>
      </c>
      <c r="E180" s="15">
        <v>570000</v>
      </c>
      <c r="F180" s="15">
        <v>0</v>
      </c>
      <c r="G180" s="15">
        <v>337280.65</v>
      </c>
      <c r="H180" s="50">
        <f t="shared" si="17"/>
        <v>337280.65</v>
      </c>
      <c r="I180" s="60">
        <f t="shared" si="18"/>
        <v>232719.34999999998</v>
      </c>
      <c r="J180" s="25">
        <f t="shared" si="21"/>
        <v>0.59172043859649126</v>
      </c>
      <c r="K180" s="26" t="str">
        <f t="shared" si="22"/>
        <v>En Progreso</v>
      </c>
      <c r="L180" s="6" t="s">
        <v>328</v>
      </c>
      <c r="M180" s="6" t="s">
        <v>325</v>
      </c>
    </row>
    <row r="181" spans="1:13" x14ac:dyDescent="0.35">
      <c r="A181" s="20" t="s">
        <v>80</v>
      </c>
      <c r="B181" s="11" t="s">
        <v>324</v>
      </c>
      <c r="C181" s="20" t="s">
        <v>47</v>
      </c>
      <c r="D181" s="20" t="s">
        <v>48</v>
      </c>
      <c r="E181" s="13">
        <v>126000</v>
      </c>
      <c r="F181" s="13">
        <v>0</v>
      </c>
      <c r="G181" s="13">
        <v>246624.75</v>
      </c>
      <c r="H181" s="50">
        <f t="shared" si="17"/>
        <v>246624.75</v>
      </c>
      <c r="I181" s="60">
        <f t="shared" si="18"/>
        <v>-120624.75</v>
      </c>
      <c r="J181" s="25">
        <f t="shared" si="21"/>
        <v>1.9573392857142857</v>
      </c>
      <c r="K181" s="26" t="str">
        <f t="shared" si="22"/>
        <v>Completado</v>
      </c>
      <c r="L181" s="6" t="s">
        <v>328</v>
      </c>
      <c r="M181" s="6" t="s">
        <v>325</v>
      </c>
    </row>
    <row r="182" spans="1:13" x14ac:dyDescent="0.35">
      <c r="A182" s="23" t="s">
        <v>80</v>
      </c>
      <c r="B182" s="11" t="s">
        <v>324</v>
      </c>
      <c r="C182" s="23" t="s">
        <v>29</v>
      </c>
      <c r="D182" s="23" t="s">
        <v>30</v>
      </c>
      <c r="E182" s="15">
        <v>0</v>
      </c>
      <c r="F182" s="15">
        <v>160264.1</v>
      </c>
      <c r="G182" s="15">
        <v>0</v>
      </c>
      <c r="H182" s="50">
        <f t="shared" si="17"/>
        <v>160264.1</v>
      </c>
      <c r="I182" s="60">
        <f t="shared" si="18"/>
        <v>-160264.1</v>
      </c>
      <c r="J182" s="25">
        <f t="shared" si="21"/>
        <v>0</v>
      </c>
      <c r="K182" s="26" t="str">
        <f t="shared" si="22"/>
        <v>Sin Plan</v>
      </c>
      <c r="L182" s="6" t="s">
        <v>328</v>
      </c>
      <c r="M182" s="6" t="s">
        <v>327</v>
      </c>
    </row>
    <row r="183" spans="1:13" x14ac:dyDescent="0.35">
      <c r="A183" s="70" t="s">
        <v>80</v>
      </c>
      <c r="B183" s="11" t="s">
        <v>324</v>
      </c>
      <c r="C183" s="27"/>
      <c r="D183" s="75" t="s">
        <v>334</v>
      </c>
      <c r="E183" s="15">
        <v>11390</v>
      </c>
      <c r="F183" s="15"/>
      <c r="G183" s="15"/>
      <c r="H183" s="50">
        <f t="shared" si="17"/>
        <v>0</v>
      </c>
      <c r="I183" s="60">
        <f t="shared" si="18"/>
        <v>11390</v>
      </c>
      <c r="J183" s="25">
        <f t="shared" si="21"/>
        <v>0</v>
      </c>
      <c r="K183" s="26" t="str">
        <f t="shared" si="22"/>
        <v>Pendiente de ejecutar</v>
      </c>
      <c r="L183" s="6" t="s">
        <v>328</v>
      </c>
      <c r="M183" s="6"/>
    </row>
    <row r="184" spans="1:13" x14ac:dyDescent="0.35">
      <c r="A184" s="70" t="s">
        <v>81</v>
      </c>
      <c r="B184" s="11" t="s">
        <v>324</v>
      </c>
      <c r="C184" s="11" t="s">
        <v>13</v>
      </c>
      <c r="D184" s="11" t="s">
        <v>14</v>
      </c>
      <c r="E184" s="13">
        <v>685000</v>
      </c>
      <c r="F184" s="13">
        <v>0</v>
      </c>
      <c r="G184" s="13">
        <v>716100</v>
      </c>
      <c r="H184" s="50">
        <f t="shared" si="17"/>
        <v>716100</v>
      </c>
      <c r="I184" s="60">
        <f t="shared" si="18"/>
        <v>-31100</v>
      </c>
      <c r="J184" s="25">
        <f t="shared" si="21"/>
        <v>1.0454014598540147</v>
      </c>
      <c r="K184" s="26" t="str">
        <f t="shared" si="22"/>
        <v>Completado</v>
      </c>
      <c r="L184" s="6" t="s">
        <v>328</v>
      </c>
      <c r="M184" s="6" t="s">
        <v>325</v>
      </c>
    </row>
    <row r="185" spans="1:13" x14ac:dyDescent="0.35">
      <c r="A185" s="70" t="s">
        <v>81</v>
      </c>
      <c r="B185" s="11" t="s">
        <v>324</v>
      </c>
      <c r="C185" s="11" t="s">
        <v>78</v>
      </c>
      <c r="D185" s="11" t="s">
        <v>79</v>
      </c>
      <c r="E185" s="15">
        <v>220000</v>
      </c>
      <c r="F185" s="15">
        <v>58580.86</v>
      </c>
      <c r="G185" s="15">
        <v>0</v>
      </c>
      <c r="H185" s="50">
        <f t="shared" si="17"/>
        <v>58580.86</v>
      </c>
      <c r="I185" s="60">
        <f t="shared" si="18"/>
        <v>161419.14000000001</v>
      </c>
      <c r="J185" s="25">
        <f t="shared" si="21"/>
        <v>0.26627663636363635</v>
      </c>
      <c r="K185" s="26" t="str">
        <f t="shared" si="22"/>
        <v>En Progreso</v>
      </c>
      <c r="L185" s="6" t="s">
        <v>328</v>
      </c>
      <c r="M185" s="6" t="s">
        <v>325</v>
      </c>
    </row>
    <row r="186" spans="1:13" x14ac:dyDescent="0.35">
      <c r="A186" s="71" t="s">
        <v>81</v>
      </c>
      <c r="B186" s="11" t="s">
        <v>324</v>
      </c>
      <c r="C186" s="20" t="s">
        <v>27</v>
      </c>
      <c r="D186" s="20" t="s">
        <v>28</v>
      </c>
      <c r="E186" s="13">
        <v>0</v>
      </c>
      <c r="F186" s="13">
        <v>25254.240000000002</v>
      </c>
      <c r="G186" s="13">
        <v>0</v>
      </c>
      <c r="H186" s="50">
        <f t="shared" si="17"/>
        <v>25254.240000000002</v>
      </c>
      <c r="I186" s="60">
        <f t="shared" si="18"/>
        <v>-25254.240000000002</v>
      </c>
      <c r="J186" s="25">
        <f t="shared" si="21"/>
        <v>0</v>
      </c>
      <c r="K186" s="26" t="str">
        <f t="shared" si="22"/>
        <v>Sin Plan</v>
      </c>
      <c r="L186" s="6" t="s">
        <v>328</v>
      </c>
      <c r="M186" s="7" t="s">
        <v>323</v>
      </c>
    </row>
    <row r="187" spans="1:13" x14ac:dyDescent="0.35">
      <c r="A187" s="70" t="s">
        <v>81</v>
      </c>
      <c r="B187" s="11" t="s">
        <v>324</v>
      </c>
      <c r="C187" s="11" t="s">
        <v>29</v>
      </c>
      <c r="D187" s="11" t="s">
        <v>30</v>
      </c>
      <c r="E187" s="15">
        <v>0</v>
      </c>
      <c r="F187" s="15">
        <v>164705.79999999999</v>
      </c>
      <c r="G187" s="15">
        <v>0</v>
      </c>
      <c r="H187" s="50">
        <f t="shared" si="17"/>
        <v>164705.79999999999</v>
      </c>
      <c r="I187" s="60">
        <f t="shared" si="18"/>
        <v>-164705.79999999999</v>
      </c>
      <c r="J187" s="25">
        <f t="shared" si="21"/>
        <v>0</v>
      </c>
      <c r="K187" s="26" t="str">
        <f t="shared" si="22"/>
        <v>Sin Plan</v>
      </c>
      <c r="L187" s="6" t="s">
        <v>328</v>
      </c>
      <c r="M187" s="6" t="s">
        <v>323</v>
      </c>
    </row>
    <row r="188" spans="1:13" x14ac:dyDescent="0.35">
      <c r="A188" s="70" t="s">
        <v>81</v>
      </c>
      <c r="B188" s="11" t="s">
        <v>324</v>
      </c>
      <c r="C188" s="27"/>
      <c r="D188" s="75" t="s">
        <v>348</v>
      </c>
      <c r="E188" s="15">
        <v>247761.38</v>
      </c>
      <c r="F188" s="15"/>
      <c r="G188" s="15"/>
      <c r="H188" s="50">
        <f t="shared" si="17"/>
        <v>0</v>
      </c>
      <c r="I188" s="60">
        <f t="shared" si="18"/>
        <v>247761.38</v>
      </c>
      <c r="J188" s="25">
        <f t="shared" si="21"/>
        <v>0</v>
      </c>
      <c r="K188" s="26" t="str">
        <f t="shared" si="22"/>
        <v>Pendiente de ejecutar</v>
      </c>
      <c r="L188" s="6" t="s">
        <v>328</v>
      </c>
      <c r="M188" s="6"/>
    </row>
    <row r="189" spans="1:13" x14ac:dyDescent="0.35">
      <c r="A189" s="11" t="s">
        <v>82</v>
      </c>
      <c r="B189" s="11" t="s">
        <v>324</v>
      </c>
      <c r="C189" s="11" t="s">
        <v>68</v>
      </c>
      <c r="D189" s="11" t="s">
        <v>69</v>
      </c>
      <c r="E189" s="13">
        <v>39000</v>
      </c>
      <c r="F189" s="16">
        <v>29850</v>
      </c>
      <c r="G189" s="13">
        <v>0</v>
      </c>
      <c r="H189" s="50">
        <f t="shared" si="17"/>
        <v>29850</v>
      </c>
      <c r="I189" s="60">
        <f t="shared" si="18"/>
        <v>9150</v>
      </c>
      <c r="J189" s="25">
        <f t="shared" si="21"/>
        <v>0.76538461538461533</v>
      </c>
      <c r="K189" s="26" t="str">
        <f t="shared" si="22"/>
        <v>En Progreso</v>
      </c>
      <c r="L189" s="6" t="s">
        <v>328</v>
      </c>
      <c r="M189" s="6" t="s">
        <v>325</v>
      </c>
    </row>
    <row r="190" spans="1:13" x14ac:dyDescent="0.35">
      <c r="A190" s="23" t="s">
        <v>82</v>
      </c>
      <c r="B190" s="11" t="s">
        <v>324</v>
      </c>
      <c r="C190" s="23" t="s">
        <v>13</v>
      </c>
      <c r="D190" s="23" t="s">
        <v>14</v>
      </c>
      <c r="E190" s="15">
        <v>685000</v>
      </c>
      <c r="F190" s="15">
        <v>0</v>
      </c>
      <c r="G190" s="46">
        <v>754100</v>
      </c>
      <c r="H190" s="50">
        <f t="shared" si="17"/>
        <v>754100</v>
      </c>
      <c r="I190" s="60">
        <f t="shared" si="18"/>
        <v>-69100</v>
      </c>
      <c r="J190" s="25">
        <f t="shared" si="21"/>
        <v>1.100875912408759</v>
      </c>
      <c r="K190" s="26" t="str">
        <f t="shared" si="22"/>
        <v>Completado</v>
      </c>
      <c r="L190" s="6" t="s">
        <v>328</v>
      </c>
      <c r="M190" s="6" t="s">
        <v>325</v>
      </c>
    </row>
    <row r="191" spans="1:13" x14ac:dyDescent="0.35">
      <c r="A191" s="70" t="s">
        <v>82</v>
      </c>
      <c r="B191" s="11" t="s">
        <v>324</v>
      </c>
      <c r="C191" s="27"/>
      <c r="D191" s="75" t="s">
        <v>334</v>
      </c>
      <c r="E191" s="15">
        <v>1040000</v>
      </c>
      <c r="F191" s="15"/>
      <c r="G191" s="15"/>
      <c r="H191" s="50">
        <f t="shared" si="17"/>
        <v>0</v>
      </c>
      <c r="I191" s="60">
        <f t="shared" si="18"/>
        <v>1040000</v>
      </c>
      <c r="J191" s="25">
        <f t="shared" si="21"/>
        <v>0</v>
      </c>
      <c r="K191" s="26" t="str">
        <f t="shared" si="22"/>
        <v>Pendiente de ejecutar</v>
      </c>
      <c r="L191" s="6" t="s">
        <v>328</v>
      </c>
      <c r="M191" s="6"/>
    </row>
    <row r="192" spans="1:13" x14ac:dyDescent="0.35">
      <c r="A192" s="11" t="s">
        <v>86</v>
      </c>
      <c r="B192" s="11" t="s">
        <v>324</v>
      </c>
      <c r="C192" s="11" t="s">
        <v>47</v>
      </c>
      <c r="D192" s="11" t="s">
        <v>48</v>
      </c>
      <c r="E192" s="15">
        <v>132300</v>
      </c>
      <c r="F192" s="15">
        <v>0</v>
      </c>
      <c r="G192" s="15">
        <v>137843.10999999999</v>
      </c>
      <c r="H192" s="50">
        <f t="shared" si="17"/>
        <v>137843.10999999999</v>
      </c>
      <c r="I192" s="60">
        <f t="shared" si="18"/>
        <v>-5543.109999999986</v>
      </c>
      <c r="J192" s="25">
        <f t="shared" si="21"/>
        <v>1.0418980347694633</v>
      </c>
      <c r="K192" s="26" t="str">
        <f t="shared" si="22"/>
        <v>Completado</v>
      </c>
      <c r="L192" s="6" t="s">
        <v>328</v>
      </c>
      <c r="M192" s="6" t="s">
        <v>325</v>
      </c>
    </row>
    <row r="193" spans="1:13" x14ac:dyDescent="0.35">
      <c r="A193" s="20" t="s">
        <v>87</v>
      </c>
      <c r="B193" s="11" t="s">
        <v>324</v>
      </c>
      <c r="C193" s="20" t="s">
        <v>78</v>
      </c>
      <c r="D193" s="20" t="s">
        <v>79</v>
      </c>
      <c r="E193" s="13">
        <v>0</v>
      </c>
      <c r="F193" s="13">
        <v>0</v>
      </c>
      <c r="G193" s="13">
        <v>24648.25</v>
      </c>
      <c r="H193" s="50">
        <f t="shared" si="17"/>
        <v>24648.25</v>
      </c>
      <c r="I193" s="60">
        <f t="shared" si="18"/>
        <v>-24648.25</v>
      </c>
      <c r="J193" s="25">
        <f t="shared" si="21"/>
        <v>0</v>
      </c>
      <c r="K193" s="26" t="str">
        <f t="shared" si="22"/>
        <v>Sin Plan</v>
      </c>
      <c r="L193" s="6" t="s">
        <v>328</v>
      </c>
      <c r="M193" s="6" t="s">
        <v>323</v>
      </c>
    </row>
    <row r="194" spans="1:13" x14ac:dyDescent="0.35">
      <c r="A194" s="38" t="s">
        <v>205</v>
      </c>
      <c r="B194" s="11" t="s">
        <v>208</v>
      </c>
      <c r="C194" s="11" t="s">
        <v>171</v>
      </c>
      <c r="D194" s="38" t="s">
        <v>172</v>
      </c>
      <c r="E194" s="50">
        <v>450000</v>
      </c>
      <c r="F194" s="50">
        <v>157344</v>
      </c>
      <c r="G194" s="50">
        <v>0</v>
      </c>
      <c r="H194" s="50">
        <f t="shared" si="17"/>
        <v>157344</v>
      </c>
      <c r="I194" s="60">
        <f t="shared" si="18"/>
        <v>292656</v>
      </c>
      <c r="J194" s="18">
        <f t="shared" si="21"/>
        <v>0.34965333333333332</v>
      </c>
      <c r="K194" s="19" t="str">
        <f t="shared" si="22"/>
        <v>En Progreso</v>
      </c>
      <c r="L194" s="6" t="s">
        <v>328</v>
      </c>
      <c r="M194" s="6" t="s">
        <v>325</v>
      </c>
    </row>
    <row r="195" spans="1:13" s="2" customFormat="1" x14ac:dyDescent="0.35">
      <c r="A195" s="20" t="s">
        <v>222</v>
      </c>
      <c r="B195" s="11" t="s">
        <v>208</v>
      </c>
      <c r="C195" s="20" t="s">
        <v>175</v>
      </c>
      <c r="D195" s="20" t="s">
        <v>176</v>
      </c>
      <c r="E195" s="13">
        <v>450000</v>
      </c>
      <c r="F195" s="13">
        <v>0</v>
      </c>
      <c r="G195" s="13">
        <v>0</v>
      </c>
      <c r="H195" s="50">
        <f t="shared" ref="H195:H257" si="23">F195+G195</f>
        <v>0</v>
      </c>
      <c r="I195" s="60">
        <f t="shared" ref="I195:I257" si="24">E195-H195</f>
        <v>450000</v>
      </c>
      <c r="J195" s="21">
        <f t="shared" si="21"/>
        <v>0</v>
      </c>
      <c r="K195" s="22" t="str">
        <f t="shared" si="22"/>
        <v>Pendiente de ejecutar</v>
      </c>
      <c r="L195" s="6" t="s">
        <v>326</v>
      </c>
      <c r="M195" s="6" t="s">
        <v>325</v>
      </c>
    </row>
    <row r="196" spans="1:13" x14ac:dyDescent="0.35">
      <c r="A196" s="20" t="s">
        <v>225</v>
      </c>
      <c r="B196" s="11" t="s">
        <v>208</v>
      </c>
      <c r="C196" s="20" t="s">
        <v>21</v>
      </c>
      <c r="D196" s="20" t="s">
        <v>22</v>
      </c>
      <c r="E196" s="13">
        <v>450000</v>
      </c>
      <c r="F196" s="13">
        <v>0</v>
      </c>
      <c r="G196" s="13">
        <v>0</v>
      </c>
      <c r="H196" s="50">
        <f t="shared" si="23"/>
        <v>0</v>
      </c>
      <c r="I196" s="60">
        <f t="shared" si="24"/>
        <v>450000</v>
      </c>
      <c r="J196" s="21">
        <f t="shared" si="21"/>
        <v>0</v>
      </c>
      <c r="K196" s="22" t="str">
        <f t="shared" si="22"/>
        <v>Pendiente de ejecutar</v>
      </c>
      <c r="L196" s="6" t="s">
        <v>326</v>
      </c>
      <c r="M196" s="6" t="s">
        <v>325</v>
      </c>
    </row>
    <row r="197" spans="1:13" x14ac:dyDescent="0.35">
      <c r="A197" s="61" t="s">
        <v>246</v>
      </c>
      <c r="B197" s="11" t="s">
        <v>208</v>
      </c>
      <c r="C197" s="36" t="s">
        <v>247</v>
      </c>
      <c r="D197" s="61" t="s">
        <v>248</v>
      </c>
      <c r="E197" s="51">
        <v>450000</v>
      </c>
      <c r="F197" s="46">
        <v>395025</v>
      </c>
      <c r="G197" s="51">
        <v>0</v>
      </c>
      <c r="H197" s="50">
        <f t="shared" si="23"/>
        <v>395025</v>
      </c>
      <c r="I197" s="60">
        <f t="shared" si="24"/>
        <v>54975</v>
      </c>
      <c r="J197" s="18">
        <f t="shared" si="21"/>
        <v>0.87783333333333335</v>
      </c>
      <c r="K197" s="19" t="str">
        <f t="shared" si="22"/>
        <v>En Progreso</v>
      </c>
      <c r="L197" s="6" t="s">
        <v>328</v>
      </c>
      <c r="M197" s="6" t="s">
        <v>325</v>
      </c>
    </row>
    <row r="198" spans="1:13" x14ac:dyDescent="0.35">
      <c r="A198" s="11" t="s">
        <v>287</v>
      </c>
      <c r="B198" s="11" t="s">
        <v>208</v>
      </c>
      <c r="C198" s="11" t="s">
        <v>175</v>
      </c>
      <c r="D198" s="11" t="s">
        <v>176</v>
      </c>
      <c r="E198" s="13">
        <v>450000</v>
      </c>
      <c r="F198" s="13">
        <v>818408.64</v>
      </c>
      <c r="G198" s="13">
        <v>0</v>
      </c>
      <c r="H198" s="50">
        <f t="shared" si="23"/>
        <v>818408.64</v>
      </c>
      <c r="I198" s="60">
        <f t="shared" si="24"/>
        <v>-368408.64</v>
      </c>
      <c r="J198" s="18">
        <f t="shared" si="21"/>
        <v>1.8186858666666668</v>
      </c>
      <c r="K198" s="19" t="str">
        <f t="shared" si="22"/>
        <v>Completado</v>
      </c>
      <c r="L198" s="6" t="s">
        <v>326</v>
      </c>
      <c r="M198" s="6" t="s">
        <v>325</v>
      </c>
    </row>
    <row r="199" spans="1:13" x14ac:dyDescent="0.35">
      <c r="A199" s="23" t="s">
        <v>292</v>
      </c>
      <c r="B199" s="11" t="s">
        <v>208</v>
      </c>
      <c r="C199" s="23" t="s">
        <v>21</v>
      </c>
      <c r="D199" s="23" t="s">
        <v>22</v>
      </c>
      <c r="E199" s="15">
        <v>450000</v>
      </c>
      <c r="F199" s="15">
        <v>0</v>
      </c>
      <c r="G199" s="15">
        <v>0</v>
      </c>
      <c r="H199" s="50">
        <f t="shared" si="23"/>
        <v>0</v>
      </c>
      <c r="I199" s="60">
        <f t="shared" si="24"/>
        <v>450000</v>
      </c>
      <c r="J199" s="25">
        <f t="shared" si="21"/>
        <v>0</v>
      </c>
      <c r="K199" s="26" t="str">
        <f t="shared" si="22"/>
        <v>Pendiente de ejecutar</v>
      </c>
      <c r="L199" s="6" t="s">
        <v>326</v>
      </c>
      <c r="M199" s="6" t="s">
        <v>325</v>
      </c>
    </row>
    <row r="200" spans="1:13" x14ac:dyDescent="0.35">
      <c r="A200" s="38" t="s">
        <v>205</v>
      </c>
      <c r="B200" s="11" t="s">
        <v>208</v>
      </c>
      <c r="C200" s="11" t="s">
        <v>78</v>
      </c>
      <c r="D200" s="38" t="s">
        <v>79</v>
      </c>
      <c r="E200" s="51">
        <v>448000</v>
      </c>
      <c r="F200" s="51">
        <v>0</v>
      </c>
      <c r="G200" s="51">
        <v>170582.95</v>
      </c>
      <c r="H200" s="50">
        <f t="shared" si="23"/>
        <v>170582.95</v>
      </c>
      <c r="I200" s="60">
        <f t="shared" si="24"/>
        <v>277417.05</v>
      </c>
      <c r="J200" s="18">
        <f t="shared" ref="J200:J230" si="25">IFERROR(H200/E200,0)</f>
        <v>0.38076551339285719</v>
      </c>
      <c r="K200" s="19" t="str">
        <f t="shared" ref="K200:K230" si="26">IF(E200=0,"Sin Plan",IF(J200&gt;=1,"Completado",IF(J200&gt;0.001,"En Progreso","Pendiente de ejecutar")))</f>
        <v>En Progreso</v>
      </c>
      <c r="L200" s="6" t="s">
        <v>328</v>
      </c>
      <c r="M200" s="6" t="s">
        <v>325</v>
      </c>
    </row>
    <row r="201" spans="1:13" x14ac:dyDescent="0.35">
      <c r="A201" s="23" t="s">
        <v>230</v>
      </c>
      <c r="B201" s="11" t="s">
        <v>208</v>
      </c>
      <c r="C201" s="23" t="s">
        <v>136</v>
      </c>
      <c r="D201" s="23" t="s">
        <v>137</v>
      </c>
      <c r="E201" s="15">
        <v>445000</v>
      </c>
      <c r="F201" s="15">
        <v>226008.44</v>
      </c>
      <c r="G201" s="15">
        <v>0</v>
      </c>
      <c r="H201" s="50">
        <f t="shared" si="23"/>
        <v>226008.44</v>
      </c>
      <c r="I201" s="60">
        <f t="shared" si="24"/>
        <v>218991.56</v>
      </c>
      <c r="J201" s="25">
        <f t="shared" si="25"/>
        <v>0.50788413483146067</v>
      </c>
      <c r="K201" s="26" t="str">
        <f t="shared" si="26"/>
        <v>En Progreso</v>
      </c>
      <c r="L201" s="6" t="s">
        <v>328</v>
      </c>
      <c r="M201" s="6" t="s">
        <v>325</v>
      </c>
    </row>
    <row r="202" spans="1:13" x14ac:dyDescent="0.35">
      <c r="A202" s="70" t="s">
        <v>11</v>
      </c>
      <c r="B202" s="11" t="s">
        <v>324</v>
      </c>
      <c r="C202" s="11" t="s">
        <v>15</v>
      </c>
      <c r="D202" s="11" t="s">
        <v>16</v>
      </c>
      <c r="E202" s="13">
        <v>0</v>
      </c>
      <c r="F202" s="13">
        <v>0</v>
      </c>
      <c r="G202" s="16">
        <v>754813.17999999993</v>
      </c>
      <c r="H202" s="50">
        <f t="shared" si="23"/>
        <v>754813.17999999993</v>
      </c>
      <c r="I202" s="60">
        <f t="shared" si="24"/>
        <v>-754813.17999999993</v>
      </c>
      <c r="J202" s="25">
        <f t="shared" si="25"/>
        <v>0</v>
      </c>
      <c r="K202" s="26" t="str">
        <f t="shared" si="26"/>
        <v>Sin Plan</v>
      </c>
      <c r="L202" s="6" t="s">
        <v>326</v>
      </c>
      <c r="M202" s="6" t="s">
        <v>323</v>
      </c>
    </row>
    <row r="203" spans="1:13" x14ac:dyDescent="0.35">
      <c r="A203" s="23" t="s">
        <v>46</v>
      </c>
      <c r="B203" s="11" t="s">
        <v>324</v>
      </c>
      <c r="C203" s="23" t="s">
        <v>15</v>
      </c>
      <c r="D203" s="23" t="s">
        <v>16</v>
      </c>
      <c r="E203" s="15">
        <v>0</v>
      </c>
      <c r="F203" s="15">
        <v>304399.5</v>
      </c>
      <c r="G203" s="15">
        <v>0</v>
      </c>
      <c r="H203" s="50">
        <f t="shared" si="23"/>
        <v>304399.5</v>
      </c>
      <c r="I203" s="60">
        <f t="shared" si="24"/>
        <v>-304399.5</v>
      </c>
      <c r="J203" s="25">
        <f t="shared" si="25"/>
        <v>0</v>
      </c>
      <c r="K203" s="26" t="str">
        <f t="shared" si="26"/>
        <v>Sin Plan</v>
      </c>
      <c r="L203" s="6" t="s">
        <v>326</v>
      </c>
      <c r="M203" s="6" t="s">
        <v>323</v>
      </c>
    </row>
    <row r="204" spans="1:13" x14ac:dyDescent="0.35">
      <c r="A204" s="11" t="s">
        <v>192</v>
      </c>
      <c r="B204" s="11" t="s">
        <v>208</v>
      </c>
      <c r="C204" s="11" t="s">
        <v>136</v>
      </c>
      <c r="D204" s="11" t="s">
        <v>137</v>
      </c>
      <c r="E204" s="15">
        <v>427500</v>
      </c>
      <c r="F204" s="15">
        <v>425563.05</v>
      </c>
      <c r="G204" s="15">
        <v>0</v>
      </c>
      <c r="H204" s="50">
        <f t="shared" si="23"/>
        <v>425563.05</v>
      </c>
      <c r="I204" s="60">
        <f t="shared" si="24"/>
        <v>1936.9500000000116</v>
      </c>
      <c r="J204" s="18">
        <f t="shared" si="25"/>
        <v>0.99546912280701749</v>
      </c>
      <c r="K204" s="19" t="str">
        <f t="shared" si="26"/>
        <v>En Progreso</v>
      </c>
      <c r="L204" s="6" t="s">
        <v>328</v>
      </c>
      <c r="M204" s="6" t="s">
        <v>325</v>
      </c>
    </row>
    <row r="205" spans="1:13" x14ac:dyDescent="0.35">
      <c r="A205" s="63" t="s">
        <v>205</v>
      </c>
      <c r="B205" s="11" t="s">
        <v>208</v>
      </c>
      <c r="C205" s="20" t="s">
        <v>136</v>
      </c>
      <c r="D205" s="63" t="s">
        <v>137</v>
      </c>
      <c r="E205" s="50">
        <v>427500</v>
      </c>
      <c r="F205" s="50">
        <v>0</v>
      </c>
      <c r="G205" s="50">
        <v>322869.2</v>
      </c>
      <c r="H205" s="50">
        <f t="shared" si="23"/>
        <v>322869.2</v>
      </c>
      <c r="I205" s="60">
        <f t="shared" si="24"/>
        <v>104630.79999999999</v>
      </c>
      <c r="J205" s="21">
        <f t="shared" si="25"/>
        <v>0.7552495906432749</v>
      </c>
      <c r="K205" s="22" t="str">
        <f t="shared" si="26"/>
        <v>En Progreso</v>
      </c>
      <c r="L205" s="6" t="s">
        <v>328</v>
      </c>
      <c r="M205" s="6" t="s">
        <v>325</v>
      </c>
    </row>
    <row r="206" spans="1:13" x14ac:dyDescent="0.35">
      <c r="A206" s="11" t="s">
        <v>170</v>
      </c>
      <c r="B206" s="11" t="s">
        <v>208</v>
      </c>
      <c r="C206" s="11" t="s">
        <v>95</v>
      </c>
      <c r="D206" s="11" t="s">
        <v>75</v>
      </c>
      <c r="E206" s="13">
        <v>425000</v>
      </c>
      <c r="F206" s="13">
        <v>0</v>
      </c>
      <c r="G206" s="13">
        <v>0</v>
      </c>
      <c r="H206" s="50">
        <f t="shared" si="23"/>
        <v>0</v>
      </c>
      <c r="I206" s="60">
        <f t="shared" si="24"/>
        <v>425000</v>
      </c>
      <c r="J206" s="18">
        <f t="shared" si="25"/>
        <v>0</v>
      </c>
      <c r="K206" s="19" t="str">
        <f t="shared" si="26"/>
        <v>Pendiente de ejecutar</v>
      </c>
      <c r="L206" s="6" t="s">
        <v>328</v>
      </c>
      <c r="M206" s="6" t="s">
        <v>325</v>
      </c>
    </row>
    <row r="207" spans="1:13" x14ac:dyDescent="0.35">
      <c r="A207" s="36" t="s">
        <v>199</v>
      </c>
      <c r="B207" s="11" t="s">
        <v>208</v>
      </c>
      <c r="C207" s="23" t="s">
        <v>37</v>
      </c>
      <c r="D207" s="11" t="s">
        <v>38</v>
      </c>
      <c r="E207" s="15">
        <v>420000</v>
      </c>
      <c r="F207" s="16">
        <f>625355.59+17067.28</f>
        <v>642422.87</v>
      </c>
      <c r="G207" s="15">
        <v>0</v>
      </c>
      <c r="H207" s="50">
        <f t="shared" si="23"/>
        <v>642422.87</v>
      </c>
      <c r="I207" s="60">
        <f t="shared" si="24"/>
        <v>-222422.87</v>
      </c>
      <c r="J207" s="25">
        <f t="shared" si="25"/>
        <v>1.529578261904762</v>
      </c>
      <c r="K207" s="26" t="str">
        <f t="shared" si="26"/>
        <v>Completado</v>
      </c>
      <c r="L207" s="6" t="s">
        <v>328</v>
      </c>
      <c r="M207" s="6" t="s">
        <v>325</v>
      </c>
    </row>
    <row r="208" spans="1:13" x14ac:dyDescent="0.35">
      <c r="A208" s="11" t="s">
        <v>245</v>
      </c>
      <c r="B208" s="11" t="s">
        <v>208</v>
      </c>
      <c r="C208" s="11" t="s">
        <v>63</v>
      </c>
      <c r="D208" s="11" t="s">
        <v>64</v>
      </c>
      <c r="E208" s="15">
        <v>400000</v>
      </c>
      <c r="F208" s="15">
        <v>0</v>
      </c>
      <c r="G208" s="15">
        <v>0</v>
      </c>
      <c r="H208" s="50">
        <f t="shared" si="23"/>
        <v>0</v>
      </c>
      <c r="I208" s="60">
        <f t="shared" si="24"/>
        <v>400000</v>
      </c>
      <c r="J208" s="18">
        <f t="shared" si="25"/>
        <v>0</v>
      </c>
      <c r="K208" s="19" t="str">
        <f t="shared" si="26"/>
        <v>Pendiente de ejecutar</v>
      </c>
      <c r="L208" s="6" t="s">
        <v>326</v>
      </c>
      <c r="M208" s="6" t="s">
        <v>325</v>
      </c>
    </row>
    <row r="209" spans="1:13" x14ac:dyDescent="0.35">
      <c r="A209" s="20" t="s">
        <v>155</v>
      </c>
      <c r="B209" s="20" t="s">
        <v>129</v>
      </c>
      <c r="C209" s="20" t="s">
        <v>29</v>
      </c>
      <c r="D209" s="20" t="s">
        <v>30</v>
      </c>
      <c r="E209" s="13">
        <v>390000</v>
      </c>
      <c r="F209" s="13">
        <v>0</v>
      </c>
      <c r="G209" s="13">
        <v>0</v>
      </c>
      <c r="H209" s="50">
        <f t="shared" si="23"/>
        <v>0</v>
      </c>
      <c r="I209" s="60">
        <f t="shared" si="24"/>
        <v>390000</v>
      </c>
      <c r="J209" s="21">
        <f t="shared" si="25"/>
        <v>0</v>
      </c>
      <c r="K209" s="22" t="str">
        <f t="shared" si="26"/>
        <v>Pendiente de ejecutar</v>
      </c>
      <c r="L209" s="6" t="s">
        <v>328</v>
      </c>
      <c r="M209" s="6" t="s">
        <v>325</v>
      </c>
    </row>
    <row r="210" spans="1:13" x14ac:dyDescent="0.35">
      <c r="A210" s="36" t="s">
        <v>199</v>
      </c>
      <c r="B210" s="11" t="s">
        <v>208</v>
      </c>
      <c r="C210" s="11" t="s">
        <v>197</v>
      </c>
      <c r="D210" s="11" t="s">
        <v>198</v>
      </c>
      <c r="E210" s="13">
        <v>390000</v>
      </c>
      <c r="F210" s="13">
        <f>98659.84*3</f>
        <v>295979.52000000002</v>
      </c>
      <c r="G210" s="13">
        <v>0</v>
      </c>
      <c r="H210" s="50">
        <f t="shared" si="23"/>
        <v>295979.52000000002</v>
      </c>
      <c r="I210" s="60">
        <f t="shared" si="24"/>
        <v>94020.479999999981</v>
      </c>
      <c r="J210" s="18">
        <f t="shared" si="25"/>
        <v>0.75892184615384617</v>
      </c>
      <c r="K210" s="19" t="str">
        <f t="shared" si="26"/>
        <v>En Progreso</v>
      </c>
      <c r="L210" s="6" t="s">
        <v>328</v>
      </c>
      <c r="M210" s="6" t="s">
        <v>325</v>
      </c>
    </row>
    <row r="211" spans="1:13" x14ac:dyDescent="0.35">
      <c r="A211" s="20" t="s">
        <v>285</v>
      </c>
      <c r="B211" s="20" t="s">
        <v>278</v>
      </c>
      <c r="C211" s="20" t="s">
        <v>71</v>
      </c>
      <c r="D211" s="20" t="s">
        <v>72</v>
      </c>
      <c r="E211" s="13">
        <v>375000</v>
      </c>
      <c r="F211" s="13">
        <v>0</v>
      </c>
      <c r="G211" s="15">
        <v>452647.19</v>
      </c>
      <c r="H211" s="50">
        <f>F211+Table2[[#This Row],[Comprometido (RD$)]]</f>
        <v>452647.19</v>
      </c>
      <c r="I211" s="60">
        <f t="shared" si="24"/>
        <v>-77647.19</v>
      </c>
      <c r="J211" s="21">
        <f t="shared" si="25"/>
        <v>1.2070591733333333</v>
      </c>
      <c r="K211" s="22" t="str">
        <f t="shared" si="26"/>
        <v>Completado</v>
      </c>
      <c r="L211" s="6" t="s">
        <v>328</v>
      </c>
      <c r="M211" s="6" t="s">
        <v>325</v>
      </c>
    </row>
    <row r="212" spans="1:13" x14ac:dyDescent="0.35">
      <c r="A212" s="11" t="s">
        <v>243</v>
      </c>
      <c r="B212" s="11" t="s">
        <v>208</v>
      </c>
      <c r="C212" s="11" t="s">
        <v>83</v>
      </c>
      <c r="D212" s="11" t="s">
        <v>84</v>
      </c>
      <c r="E212" s="13">
        <v>374000</v>
      </c>
      <c r="F212" s="13">
        <v>81650</v>
      </c>
      <c r="G212" s="13">
        <v>0</v>
      </c>
      <c r="H212" s="50">
        <f t="shared" si="23"/>
        <v>81650</v>
      </c>
      <c r="I212" s="60">
        <f t="shared" si="24"/>
        <v>292350</v>
      </c>
      <c r="J212" s="18">
        <f t="shared" si="25"/>
        <v>0.21831550802139038</v>
      </c>
      <c r="K212" s="19" t="str">
        <f t="shared" si="26"/>
        <v>En Progreso</v>
      </c>
      <c r="L212" s="6" t="s">
        <v>326</v>
      </c>
      <c r="M212" s="6" t="s">
        <v>325</v>
      </c>
    </row>
    <row r="213" spans="1:13" x14ac:dyDescent="0.35">
      <c r="A213" s="11" t="s">
        <v>89</v>
      </c>
      <c r="B213" s="11" t="s">
        <v>324</v>
      </c>
      <c r="C213" s="11" t="s">
        <v>15</v>
      </c>
      <c r="D213" s="11" t="s">
        <v>16</v>
      </c>
      <c r="E213" s="13">
        <v>0</v>
      </c>
      <c r="F213" s="13">
        <v>0</v>
      </c>
      <c r="G213" s="13">
        <v>0</v>
      </c>
      <c r="H213" s="50">
        <f t="shared" si="23"/>
        <v>0</v>
      </c>
      <c r="I213" s="60">
        <f t="shared" si="24"/>
        <v>0</v>
      </c>
      <c r="J213" s="25">
        <f t="shared" si="25"/>
        <v>0</v>
      </c>
      <c r="K213" s="26" t="str">
        <f t="shared" si="26"/>
        <v>Sin Plan</v>
      </c>
      <c r="L213" s="6" t="s">
        <v>326</v>
      </c>
      <c r="M213" s="6" t="s">
        <v>323</v>
      </c>
    </row>
    <row r="214" spans="1:13" x14ac:dyDescent="0.35">
      <c r="A214" s="23" t="s">
        <v>87</v>
      </c>
      <c r="B214" s="11" t="s">
        <v>324</v>
      </c>
      <c r="C214" s="23" t="s">
        <v>47</v>
      </c>
      <c r="D214" s="23" t="s">
        <v>48</v>
      </c>
      <c r="E214" s="15">
        <v>132300</v>
      </c>
      <c r="F214" s="15">
        <v>137843.10999999999</v>
      </c>
      <c r="G214" s="15">
        <v>0</v>
      </c>
      <c r="H214" s="50">
        <f t="shared" si="23"/>
        <v>137843.10999999999</v>
      </c>
      <c r="I214" s="60">
        <f t="shared" si="24"/>
        <v>-5543.109999999986</v>
      </c>
      <c r="J214" s="25">
        <f t="shared" si="25"/>
        <v>1.0418980347694633</v>
      </c>
      <c r="K214" s="26" t="str">
        <f t="shared" si="26"/>
        <v>Completado</v>
      </c>
      <c r="L214" s="6" t="s">
        <v>328</v>
      </c>
      <c r="M214" s="6" t="s">
        <v>325</v>
      </c>
    </row>
    <row r="215" spans="1:13" x14ac:dyDescent="0.35">
      <c r="A215" s="11" t="s">
        <v>88</v>
      </c>
      <c r="B215" s="11" t="s">
        <v>324</v>
      </c>
      <c r="C215" s="11" t="s">
        <v>13</v>
      </c>
      <c r="D215" s="11" t="s">
        <v>14</v>
      </c>
      <c r="E215" s="15">
        <v>685000</v>
      </c>
      <c r="F215" s="15">
        <v>0</v>
      </c>
      <c r="G215" s="15">
        <v>872400</v>
      </c>
      <c r="H215" s="50">
        <f t="shared" si="23"/>
        <v>872400</v>
      </c>
      <c r="I215" s="60">
        <f t="shared" si="24"/>
        <v>-187400</v>
      </c>
      <c r="J215" s="25">
        <f t="shared" si="25"/>
        <v>1.2735766423357664</v>
      </c>
      <c r="K215" s="26" t="str">
        <f t="shared" si="26"/>
        <v>Completado</v>
      </c>
      <c r="L215" s="6" t="s">
        <v>328</v>
      </c>
      <c r="M215" s="6" t="s">
        <v>325</v>
      </c>
    </row>
    <row r="216" spans="1:13" x14ac:dyDescent="0.35">
      <c r="A216" s="11" t="s">
        <v>88</v>
      </c>
      <c r="B216" s="11" t="s">
        <v>324</v>
      </c>
      <c r="C216" s="11" t="s">
        <v>39</v>
      </c>
      <c r="D216" s="11" t="s">
        <v>40</v>
      </c>
      <c r="E216" s="13">
        <v>450000</v>
      </c>
      <c r="F216" s="13">
        <v>369844.9</v>
      </c>
      <c r="G216" s="13"/>
      <c r="H216" s="50">
        <f t="shared" si="23"/>
        <v>369844.9</v>
      </c>
      <c r="I216" s="60">
        <f t="shared" si="24"/>
        <v>80155.099999999977</v>
      </c>
      <c r="J216" s="25">
        <f t="shared" si="25"/>
        <v>0.82187755555555564</v>
      </c>
      <c r="K216" s="26" t="str">
        <f t="shared" si="26"/>
        <v>En Progreso</v>
      </c>
      <c r="L216" s="6" t="s">
        <v>328</v>
      </c>
      <c r="M216" s="6" t="s">
        <v>325</v>
      </c>
    </row>
    <row r="217" spans="1:13" x14ac:dyDescent="0.35">
      <c r="A217" s="20" t="s">
        <v>287</v>
      </c>
      <c r="B217" s="11" t="s">
        <v>208</v>
      </c>
      <c r="C217" s="20" t="s">
        <v>214</v>
      </c>
      <c r="D217" s="20" t="s">
        <v>215</v>
      </c>
      <c r="E217" s="13">
        <v>355900</v>
      </c>
      <c r="F217" s="13">
        <v>0</v>
      </c>
      <c r="G217" s="13">
        <v>0</v>
      </c>
      <c r="H217" s="50">
        <f t="shared" si="23"/>
        <v>0</v>
      </c>
      <c r="I217" s="60">
        <f t="shared" si="24"/>
        <v>355900</v>
      </c>
      <c r="J217" s="21">
        <f t="shared" si="25"/>
        <v>0</v>
      </c>
      <c r="K217" s="22" t="str">
        <f t="shared" si="26"/>
        <v>Pendiente de ejecutar</v>
      </c>
      <c r="L217" s="6" t="s">
        <v>326</v>
      </c>
      <c r="M217" s="6" t="s">
        <v>325</v>
      </c>
    </row>
    <row r="218" spans="1:13" s="2" customFormat="1" x14ac:dyDescent="0.35">
      <c r="A218" s="11" t="s">
        <v>160</v>
      </c>
      <c r="B218" s="11" t="s">
        <v>208</v>
      </c>
      <c r="C218" s="11" t="s">
        <v>165</v>
      </c>
      <c r="D218" s="11" t="s">
        <v>166</v>
      </c>
      <c r="E218" s="15">
        <v>352000</v>
      </c>
      <c r="F218" s="15">
        <v>0</v>
      </c>
      <c r="G218" s="15">
        <v>0</v>
      </c>
      <c r="H218" s="50">
        <f t="shared" si="23"/>
        <v>0</v>
      </c>
      <c r="I218" s="60">
        <f t="shared" si="24"/>
        <v>352000</v>
      </c>
      <c r="J218" s="18">
        <f t="shared" si="25"/>
        <v>0</v>
      </c>
      <c r="K218" s="19" t="str">
        <f t="shared" si="26"/>
        <v>Pendiente de ejecutar</v>
      </c>
      <c r="L218" s="6" t="s">
        <v>328</v>
      </c>
      <c r="M218" s="6" t="s">
        <v>325</v>
      </c>
    </row>
    <row r="219" spans="1:13" x14ac:dyDescent="0.35">
      <c r="A219" s="20" t="s">
        <v>192</v>
      </c>
      <c r="B219" s="11" t="s">
        <v>208</v>
      </c>
      <c r="C219" s="20" t="s">
        <v>37</v>
      </c>
      <c r="D219" s="11" t="s">
        <v>38</v>
      </c>
      <c r="E219" s="13">
        <v>350000</v>
      </c>
      <c r="F219" s="13">
        <v>0</v>
      </c>
      <c r="G219" s="13">
        <v>0</v>
      </c>
      <c r="H219" s="50">
        <f t="shared" si="23"/>
        <v>0</v>
      </c>
      <c r="I219" s="60">
        <f t="shared" si="24"/>
        <v>350000</v>
      </c>
      <c r="J219" s="21">
        <f t="shared" si="25"/>
        <v>0</v>
      </c>
      <c r="K219" s="22" t="str">
        <f t="shared" si="26"/>
        <v>Pendiente de ejecutar</v>
      </c>
      <c r="L219" s="6" t="s">
        <v>326</v>
      </c>
      <c r="M219" s="6" t="s">
        <v>325</v>
      </c>
    </row>
    <row r="220" spans="1:13" x14ac:dyDescent="0.35">
      <c r="A220" s="11" t="s">
        <v>240</v>
      </c>
      <c r="B220" s="11" t="s">
        <v>208</v>
      </c>
      <c r="C220" s="11" t="s">
        <v>27</v>
      </c>
      <c r="D220" s="11" t="s">
        <v>28</v>
      </c>
      <c r="E220" s="15">
        <v>350000</v>
      </c>
      <c r="F220" s="15">
        <v>0</v>
      </c>
      <c r="G220" s="15">
        <v>0</v>
      </c>
      <c r="H220" s="50">
        <f t="shared" si="23"/>
        <v>0</v>
      </c>
      <c r="I220" s="60">
        <f t="shared" si="24"/>
        <v>350000</v>
      </c>
      <c r="J220" s="18">
        <f t="shared" si="25"/>
        <v>0</v>
      </c>
      <c r="K220" s="19" t="str">
        <f t="shared" si="26"/>
        <v>Pendiente de ejecutar</v>
      </c>
      <c r="L220" s="6" t="s">
        <v>328</v>
      </c>
      <c r="M220" s="6" t="s">
        <v>325</v>
      </c>
    </row>
    <row r="221" spans="1:13" x14ac:dyDescent="0.35">
      <c r="A221" s="20" t="s">
        <v>281</v>
      </c>
      <c r="B221" s="20" t="s">
        <v>278</v>
      </c>
      <c r="C221" s="20" t="s">
        <v>37</v>
      </c>
      <c r="D221" s="11" t="s">
        <v>38</v>
      </c>
      <c r="E221" s="13">
        <v>350000</v>
      </c>
      <c r="F221" s="13">
        <v>0</v>
      </c>
      <c r="G221" s="13">
        <v>0</v>
      </c>
      <c r="H221" s="50">
        <f t="shared" si="23"/>
        <v>0</v>
      </c>
      <c r="I221" s="60">
        <f t="shared" si="24"/>
        <v>350000</v>
      </c>
      <c r="J221" s="21">
        <f t="shared" si="25"/>
        <v>0</v>
      </c>
      <c r="K221" s="22" t="str">
        <f t="shared" si="26"/>
        <v>Pendiente de ejecutar</v>
      </c>
      <c r="L221" s="6" t="s">
        <v>326</v>
      </c>
      <c r="M221" s="6" t="s">
        <v>325</v>
      </c>
    </row>
    <row r="222" spans="1:13" x14ac:dyDescent="0.35">
      <c r="A222" s="11" t="s">
        <v>282</v>
      </c>
      <c r="B222" s="11" t="s">
        <v>278</v>
      </c>
      <c r="C222" s="11" t="s">
        <v>37</v>
      </c>
      <c r="D222" s="11" t="s">
        <v>38</v>
      </c>
      <c r="E222" s="15">
        <v>350000</v>
      </c>
      <c r="F222" s="15">
        <v>81991.53</v>
      </c>
      <c r="G222" s="15">
        <v>0</v>
      </c>
      <c r="H222" s="50">
        <f t="shared" si="23"/>
        <v>81991.53</v>
      </c>
      <c r="I222" s="60">
        <f t="shared" si="24"/>
        <v>268008.46999999997</v>
      </c>
      <c r="J222" s="18">
        <f t="shared" si="25"/>
        <v>0.23426151428571429</v>
      </c>
      <c r="K222" s="19" t="str">
        <f t="shared" si="26"/>
        <v>En Progreso</v>
      </c>
      <c r="L222" s="6" t="s">
        <v>326</v>
      </c>
      <c r="M222" s="6" t="s">
        <v>325</v>
      </c>
    </row>
    <row r="223" spans="1:13" x14ac:dyDescent="0.35">
      <c r="A223" s="23" t="s">
        <v>292</v>
      </c>
      <c r="B223" s="11" t="s">
        <v>208</v>
      </c>
      <c r="C223" s="23" t="s">
        <v>126</v>
      </c>
      <c r="D223" s="23" t="s">
        <v>127</v>
      </c>
      <c r="E223" s="15">
        <v>350000</v>
      </c>
      <c r="F223" s="46">
        <v>163900</v>
      </c>
      <c r="G223" s="15">
        <v>0</v>
      </c>
      <c r="H223" s="50">
        <f t="shared" si="23"/>
        <v>163900</v>
      </c>
      <c r="I223" s="60">
        <f t="shared" si="24"/>
        <v>186100</v>
      </c>
      <c r="J223" s="25">
        <f t="shared" si="25"/>
        <v>0.46828571428571431</v>
      </c>
      <c r="K223" s="26" t="str">
        <f t="shared" si="26"/>
        <v>En Progreso</v>
      </c>
      <c r="L223" s="6" t="s">
        <v>326</v>
      </c>
      <c r="M223" s="6" t="s">
        <v>325</v>
      </c>
    </row>
    <row r="224" spans="1:13" x14ac:dyDescent="0.35">
      <c r="A224" s="11" t="s">
        <v>228</v>
      </c>
      <c r="B224" s="11" t="s">
        <v>208</v>
      </c>
      <c r="C224" s="11" t="s">
        <v>47</v>
      </c>
      <c r="D224" s="11" t="s">
        <v>48</v>
      </c>
      <c r="E224" s="13">
        <v>346500</v>
      </c>
      <c r="F224" s="13">
        <v>534306.94999999995</v>
      </c>
      <c r="G224" s="13">
        <v>0</v>
      </c>
      <c r="H224" s="50">
        <f t="shared" si="23"/>
        <v>534306.94999999995</v>
      </c>
      <c r="I224" s="60">
        <f t="shared" si="24"/>
        <v>-187806.94999999995</v>
      </c>
      <c r="J224" s="18">
        <f t="shared" si="25"/>
        <v>1.5420113997113996</v>
      </c>
      <c r="K224" s="19" t="str">
        <f t="shared" si="26"/>
        <v>Completado</v>
      </c>
      <c r="L224" s="6" t="s">
        <v>328</v>
      </c>
      <c r="M224" s="6" t="s">
        <v>325</v>
      </c>
    </row>
    <row r="225" spans="1:13" x14ac:dyDescent="0.35">
      <c r="A225" s="23" t="s">
        <v>88</v>
      </c>
      <c r="B225" s="11" t="s">
        <v>324</v>
      </c>
      <c r="C225" s="23" t="s">
        <v>27</v>
      </c>
      <c r="D225" s="23" t="s">
        <v>28</v>
      </c>
      <c r="E225" s="15">
        <v>428000</v>
      </c>
      <c r="F225" s="15">
        <v>0</v>
      </c>
      <c r="G225" s="15">
        <v>116499.8</v>
      </c>
      <c r="H225" s="50">
        <f t="shared" si="23"/>
        <v>116499.8</v>
      </c>
      <c r="I225" s="60">
        <f t="shared" si="24"/>
        <v>311500.2</v>
      </c>
      <c r="J225" s="25">
        <f t="shared" si="25"/>
        <v>0.27219579439252339</v>
      </c>
      <c r="K225" s="26" t="str">
        <f t="shared" si="26"/>
        <v>En Progreso</v>
      </c>
      <c r="L225" s="6" t="s">
        <v>328</v>
      </c>
      <c r="M225" s="6" t="s">
        <v>325</v>
      </c>
    </row>
    <row r="226" spans="1:13" x14ac:dyDescent="0.35">
      <c r="A226" s="23" t="s">
        <v>186</v>
      </c>
      <c r="B226" s="11" t="s">
        <v>208</v>
      </c>
      <c r="C226" s="23" t="s">
        <v>83</v>
      </c>
      <c r="D226" s="23" t="s">
        <v>84</v>
      </c>
      <c r="E226" s="15">
        <v>333500</v>
      </c>
      <c r="F226" s="46">
        <v>81650</v>
      </c>
      <c r="G226" s="51">
        <v>121850</v>
      </c>
      <c r="H226" s="50">
        <f t="shared" si="23"/>
        <v>203500</v>
      </c>
      <c r="I226" s="60">
        <f t="shared" si="24"/>
        <v>130000</v>
      </c>
      <c r="J226" s="25">
        <f t="shared" si="25"/>
        <v>0.61019490254872566</v>
      </c>
      <c r="K226" s="26" t="str">
        <f t="shared" si="26"/>
        <v>En Progreso</v>
      </c>
      <c r="L226" s="6" t="s">
        <v>326</v>
      </c>
      <c r="M226" s="6" t="s">
        <v>325</v>
      </c>
    </row>
    <row r="227" spans="1:13" x14ac:dyDescent="0.35">
      <c r="A227" s="11" t="s">
        <v>298</v>
      </c>
      <c r="B227" s="11" t="s">
        <v>208</v>
      </c>
      <c r="C227" s="11" t="s">
        <v>83</v>
      </c>
      <c r="D227" s="11" t="s">
        <v>84</v>
      </c>
      <c r="E227" s="13">
        <v>328500</v>
      </c>
      <c r="F227" s="13">
        <v>0</v>
      </c>
      <c r="G227" s="13">
        <v>0</v>
      </c>
      <c r="H227" s="50">
        <f t="shared" si="23"/>
        <v>0</v>
      </c>
      <c r="I227" s="60">
        <f t="shared" si="24"/>
        <v>328500</v>
      </c>
      <c r="J227" s="18">
        <f t="shared" si="25"/>
        <v>0</v>
      </c>
      <c r="K227" s="19" t="str">
        <f t="shared" si="26"/>
        <v>Pendiente de ejecutar</v>
      </c>
      <c r="L227" s="6" t="s">
        <v>326</v>
      </c>
      <c r="M227" s="6" t="s">
        <v>325</v>
      </c>
    </row>
    <row r="228" spans="1:13" x14ac:dyDescent="0.35">
      <c r="A228" s="61" t="s">
        <v>205</v>
      </c>
      <c r="B228" s="11" t="s">
        <v>208</v>
      </c>
      <c r="C228" s="23" t="s">
        <v>83</v>
      </c>
      <c r="D228" s="61" t="s">
        <v>84</v>
      </c>
      <c r="E228" s="51">
        <v>320000</v>
      </c>
      <c r="F228" s="51">
        <v>0</v>
      </c>
      <c r="G228" s="51">
        <v>0</v>
      </c>
      <c r="H228" s="50">
        <f t="shared" si="23"/>
        <v>0</v>
      </c>
      <c r="I228" s="60">
        <f t="shared" si="24"/>
        <v>320000</v>
      </c>
      <c r="J228" s="25">
        <f t="shared" si="25"/>
        <v>0</v>
      </c>
      <c r="K228" s="26" t="str">
        <f t="shared" si="26"/>
        <v>Pendiente de ejecutar</v>
      </c>
      <c r="L228" s="6" t="s">
        <v>326</v>
      </c>
      <c r="M228" s="6" t="s">
        <v>325</v>
      </c>
    </row>
    <row r="229" spans="1:13" x14ac:dyDescent="0.35">
      <c r="A229" s="11" t="s">
        <v>225</v>
      </c>
      <c r="B229" s="11" t="s">
        <v>208</v>
      </c>
      <c r="C229" s="11" t="s">
        <v>83</v>
      </c>
      <c r="D229" s="11" t="s">
        <v>84</v>
      </c>
      <c r="E229" s="13">
        <v>318200</v>
      </c>
      <c r="F229" s="16">
        <v>135000</v>
      </c>
      <c r="G229" s="13">
        <v>0</v>
      </c>
      <c r="H229" s="50">
        <f t="shared" si="23"/>
        <v>135000</v>
      </c>
      <c r="I229" s="60">
        <f t="shared" si="24"/>
        <v>183200</v>
      </c>
      <c r="J229" s="18">
        <f t="shared" si="25"/>
        <v>0.42426147077309867</v>
      </c>
      <c r="K229" s="19" t="str">
        <f t="shared" si="26"/>
        <v>En Progreso</v>
      </c>
      <c r="L229" s="6" t="s">
        <v>326</v>
      </c>
      <c r="M229" s="6" t="s">
        <v>325</v>
      </c>
    </row>
    <row r="230" spans="1:13" x14ac:dyDescent="0.35">
      <c r="A230" s="23" t="s">
        <v>213</v>
      </c>
      <c r="B230" s="11" t="s">
        <v>208</v>
      </c>
      <c r="C230" s="23" t="s">
        <v>214</v>
      </c>
      <c r="D230" s="23" t="s">
        <v>215</v>
      </c>
      <c r="E230" s="15">
        <v>311000</v>
      </c>
      <c r="F230" s="15">
        <v>205239.74</v>
      </c>
      <c r="G230" s="15">
        <v>0</v>
      </c>
      <c r="H230" s="50">
        <f t="shared" si="23"/>
        <v>205239.74</v>
      </c>
      <c r="I230" s="60">
        <f t="shared" si="24"/>
        <v>105760.26000000001</v>
      </c>
      <c r="J230" s="25">
        <f t="shared" si="25"/>
        <v>0.65993485530546625</v>
      </c>
      <c r="K230" s="26" t="str">
        <f t="shared" si="26"/>
        <v>En Progreso</v>
      </c>
      <c r="L230" s="6" t="s">
        <v>328</v>
      </c>
      <c r="M230" s="6" t="s">
        <v>325</v>
      </c>
    </row>
    <row r="231" spans="1:13" x14ac:dyDescent="0.35">
      <c r="A231" s="61" t="s">
        <v>246</v>
      </c>
      <c r="B231" s="11" t="s">
        <v>208</v>
      </c>
      <c r="C231" s="36" t="s">
        <v>171</v>
      </c>
      <c r="D231" s="61" t="s">
        <v>172</v>
      </c>
      <c r="E231" s="51">
        <v>0</v>
      </c>
      <c r="F231" s="46">
        <v>393360</v>
      </c>
      <c r="G231" s="51">
        <v>0</v>
      </c>
      <c r="H231" s="50">
        <f t="shared" si="23"/>
        <v>393360</v>
      </c>
      <c r="I231" s="60">
        <f t="shared" si="24"/>
        <v>-393360</v>
      </c>
      <c r="J231" s="25">
        <f t="shared" ref="J231:J239" si="27">IFERROR(H231/E231,0)</f>
        <v>0</v>
      </c>
      <c r="K231" s="26" t="str">
        <f t="shared" ref="K231:K239" si="28">IF(E231=0,"Sin Plan",IF(J231&gt;=1,"Completado",IF(J231&gt;0.001,"En Progreso","Pendiente de ejecutar")))</f>
        <v>Sin Plan</v>
      </c>
      <c r="L231" s="6" t="s">
        <v>328</v>
      </c>
      <c r="M231" s="6" t="s">
        <v>323</v>
      </c>
    </row>
    <row r="232" spans="1:13" x14ac:dyDescent="0.35">
      <c r="A232" s="36" t="s">
        <v>199</v>
      </c>
      <c r="B232" s="11" t="s">
        <v>208</v>
      </c>
      <c r="C232" s="23" t="s">
        <v>200</v>
      </c>
      <c r="D232" s="23" t="s">
        <v>201</v>
      </c>
      <c r="E232" s="15">
        <v>310000</v>
      </c>
      <c r="F232" s="15">
        <v>0</v>
      </c>
      <c r="G232" s="15">
        <v>0</v>
      </c>
      <c r="H232" s="50">
        <f t="shared" si="23"/>
        <v>0</v>
      </c>
      <c r="I232" s="60">
        <f t="shared" si="24"/>
        <v>310000</v>
      </c>
      <c r="J232" s="25">
        <f t="shared" si="27"/>
        <v>0</v>
      </c>
      <c r="K232" s="26" t="str">
        <f t="shared" si="28"/>
        <v>Pendiente de ejecutar</v>
      </c>
      <c r="L232" s="6" t="s">
        <v>326</v>
      </c>
      <c r="M232" s="6" t="s">
        <v>325</v>
      </c>
    </row>
    <row r="233" spans="1:13" x14ac:dyDescent="0.35">
      <c r="A233" s="11" t="s">
        <v>245</v>
      </c>
      <c r="B233" s="11" t="s">
        <v>208</v>
      </c>
      <c r="C233" s="11" t="s">
        <v>214</v>
      </c>
      <c r="D233" s="11" t="s">
        <v>215</v>
      </c>
      <c r="E233" s="15">
        <v>310000</v>
      </c>
      <c r="F233" s="15">
        <v>205239.74</v>
      </c>
      <c r="G233" s="15">
        <v>0</v>
      </c>
      <c r="H233" s="50">
        <f t="shared" si="23"/>
        <v>205239.74</v>
      </c>
      <c r="I233" s="60">
        <f t="shared" si="24"/>
        <v>104760.26000000001</v>
      </c>
      <c r="J233" s="18">
        <f t="shared" si="27"/>
        <v>0.66206367741935479</v>
      </c>
      <c r="K233" s="19" t="str">
        <f t="shared" si="28"/>
        <v>En Progreso</v>
      </c>
      <c r="L233" s="6" t="s">
        <v>328</v>
      </c>
      <c r="M233" s="6" t="s">
        <v>325</v>
      </c>
    </row>
    <row r="234" spans="1:13" x14ac:dyDescent="0.35">
      <c r="A234" s="23" t="s">
        <v>285</v>
      </c>
      <c r="B234" s="23" t="s">
        <v>278</v>
      </c>
      <c r="C234" s="23" t="s">
        <v>195</v>
      </c>
      <c r="D234" s="23" t="s">
        <v>196</v>
      </c>
      <c r="E234" s="15">
        <v>310000</v>
      </c>
      <c r="F234" s="15">
        <v>0</v>
      </c>
      <c r="G234" s="15">
        <v>0</v>
      </c>
      <c r="H234" s="50">
        <f>F234+Table2[[#This Row],[Comprometido (RD$)]]</f>
        <v>0</v>
      </c>
      <c r="I234" s="60">
        <f t="shared" ref="I234" si="29">E234-H234</f>
        <v>310000</v>
      </c>
      <c r="J234" s="25">
        <f t="shared" si="27"/>
        <v>0</v>
      </c>
      <c r="K234" s="26" t="str">
        <f t="shared" si="28"/>
        <v>Pendiente de ejecutar</v>
      </c>
      <c r="L234" s="6" t="s">
        <v>328</v>
      </c>
      <c r="M234" s="6" t="s">
        <v>325</v>
      </c>
    </row>
    <row r="235" spans="1:13" x14ac:dyDescent="0.35">
      <c r="A235" s="11" t="s">
        <v>298</v>
      </c>
      <c r="B235" s="11" t="s">
        <v>208</v>
      </c>
      <c r="C235" s="11" t="s">
        <v>214</v>
      </c>
      <c r="D235" s="11" t="s">
        <v>215</v>
      </c>
      <c r="E235" s="13">
        <v>310000</v>
      </c>
      <c r="F235" s="13">
        <v>0</v>
      </c>
      <c r="G235" s="13">
        <v>205239.74</v>
      </c>
      <c r="H235" s="50">
        <f t="shared" si="23"/>
        <v>205239.74</v>
      </c>
      <c r="I235" s="60">
        <f t="shared" si="24"/>
        <v>104760.26000000001</v>
      </c>
      <c r="J235" s="18">
        <f t="shared" si="27"/>
        <v>0.66206367741935479</v>
      </c>
      <c r="K235" s="19" t="str">
        <f t="shared" si="28"/>
        <v>En Progreso</v>
      </c>
      <c r="L235" s="6" t="s">
        <v>328</v>
      </c>
      <c r="M235" s="6" t="s">
        <v>325</v>
      </c>
    </row>
    <row r="236" spans="1:13" x14ac:dyDescent="0.35">
      <c r="A236" s="23" t="s">
        <v>300</v>
      </c>
      <c r="B236" s="11" t="s">
        <v>208</v>
      </c>
      <c r="C236" s="23" t="s">
        <v>175</v>
      </c>
      <c r="D236" s="23" t="s">
        <v>176</v>
      </c>
      <c r="E236" s="15">
        <v>305000</v>
      </c>
      <c r="F236" s="15">
        <v>0</v>
      </c>
      <c r="G236" s="15">
        <v>0</v>
      </c>
      <c r="H236" s="50">
        <f t="shared" si="23"/>
        <v>0</v>
      </c>
      <c r="I236" s="60">
        <f t="shared" si="24"/>
        <v>305000</v>
      </c>
      <c r="J236" s="25">
        <f t="shared" si="27"/>
        <v>0</v>
      </c>
      <c r="K236" s="26" t="str">
        <f t="shared" si="28"/>
        <v>Pendiente de ejecutar</v>
      </c>
      <c r="L236" s="6" t="s">
        <v>328</v>
      </c>
      <c r="M236" s="6" t="s">
        <v>325</v>
      </c>
    </row>
    <row r="237" spans="1:13" x14ac:dyDescent="0.35">
      <c r="A237" s="11" t="s">
        <v>125</v>
      </c>
      <c r="B237" s="11" t="s">
        <v>129</v>
      </c>
      <c r="C237" s="11" t="s">
        <v>126</v>
      </c>
      <c r="D237" s="11" t="s">
        <v>127</v>
      </c>
      <c r="E237" s="13">
        <v>300000</v>
      </c>
      <c r="F237" s="13">
        <v>0</v>
      </c>
      <c r="G237" s="13">
        <v>0</v>
      </c>
      <c r="H237" s="50">
        <f t="shared" si="23"/>
        <v>0</v>
      </c>
      <c r="I237" s="60">
        <f t="shared" si="24"/>
        <v>300000</v>
      </c>
      <c r="J237" s="18">
        <f t="shared" si="27"/>
        <v>0</v>
      </c>
      <c r="K237" s="19" t="str">
        <f t="shared" si="28"/>
        <v>Pendiente de ejecutar</v>
      </c>
      <c r="L237" s="6" t="s">
        <v>326</v>
      </c>
      <c r="M237" s="6" t="s">
        <v>325</v>
      </c>
    </row>
    <row r="238" spans="1:13" x14ac:dyDescent="0.35">
      <c r="A238" s="20" t="s">
        <v>88</v>
      </c>
      <c r="B238" s="11" t="s">
        <v>324</v>
      </c>
      <c r="C238" s="20" t="s">
        <v>29</v>
      </c>
      <c r="D238" s="20" t="s">
        <v>30</v>
      </c>
      <c r="E238" s="13">
        <v>0</v>
      </c>
      <c r="F238" s="13">
        <v>164705.79999999999</v>
      </c>
      <c r="G238" s="13">
        <v>0</v>
      </c>
      <c r="H238" s="50">
        <f t="shared" si="23"/>
        <v>164705.79999999999</v>
      </c>
      <c r="I238" s="60">
        <f t="shared" si="24"/>
        <v>-164705.79999999999</v>
      </c>
      <c r="J238" s="25">
        <f t="shared" si="27"/>
        <v>0</v>
      </c>
      <c r="K238" s="26" t="str">
        <f t="shared" si="28"/>
        <v>Sin Plan</v>
      </c>
      <c r="L238" s="6" t="s">
        <v>328</v>
      </c>
      <c r="M238" s="6" t="s">
        <v>323</v>
      </c>
    </row>
    <row r="239" spans="1:13" x14ac:dyDescent="0.35">
      <c r="A239" s="11" t="s">
        <v>225</v>
      </c>
      <c r="B239" s="11" t="s">
        <v>208</v>
      </c>
      <c r="C239" s="11" t="s">
        <v>31</v>
      </c>
      <c r="D239" s="11" t="s">
        <v>32</v>
      </c>
      <c r="E239" s="15">
        <v>278000</v>
      </c>
      <c r="F239" s="16">
        <v>155000</v>
      </c>
      <c r="G239" s="15">
        <v>0</v>
      </c>
      <c r="H239" s="50">
        <f t="shared" si="23"/>
        <v>155000</v>
      </c>
      <c r="I239" s="60">
        <f t="shared" si="24"/>
        <v>123000</v>
      </c>
      <c r="J239" s="18">
        <f t="shared" si="27"/>
        <v>0.55755395683453235</v>
      </c>
      <c r="K239" s="19" t="str">
        <f t="shared" si="28"/>
        <v>En Progreso</v>
      </c>
      <c r="L239" s="6" t="s">
        <v>326</v>
      </c>
      <c r="M239" s="6" t="s">
        <v>325</v>
      </c>
    </row>
    <row r="240" spans="1:13" x14ac:dyDescent="0.35">
      <c r="A240" s="11" t="s">
        <v>258</v>
      </c>
      <c r="B240" s="11" t="s">
        <v>208</v>
      </c>
      <c r="C240" s="27"/>
      <c r="D240" s="27" t="s">
        <v>330</v>
      </c>
      <c r="E240" s="15">
        <v>270457</v>
      </c>
      <c r="F240" s="15"/>
      <c r="G240" s="15"/>
      <c r="H240" s="50">
        <f t="shared" si="23"/>
        <v>0</v>
      </c>
      <c r="I240" s="60">
        <f t="shared" si="24"/>
        <v>270457</v>
      </c>
      <c r="J240" s="27"/>
      <c r="K240" s="29"/>
      <c r="L240" s="6" t="s">
        <v>328</v>
      </c>
      <c r="M240" s="6"/>
    </row>
    <row r="241" spans="1:13" x14ac:dyDescent="0.35">
      <c r="A241" s="23" t="s">
        <v>225</v>
      </c>
      <c r="B241" s="11" t="s">
        <v>208</v>
      </c>
      <c r="C241" s="23" t="s">
        <v>107</v>
      </c>
      <c r="D241" s="23" t="s">
        <v>108</v>
      </c>
      <c r="E241" s="15">
        <v>261750</v>
      </c>
      <c r="F241" s="15"/>
      <c r="G241" s="15">
        <v>0</v>
      </c>
      <c r="H241" s="50">
        <f t="shared" si="23"/>
        <v>0</v>
      </c>
      <c r="I241" s="60">
        <f t="shared" si="24"/>
        <v>261750</v>
      </c>
      <c r="J241" s="25">
        <f t="shared" ref="J241:J272" si="30">IFERROR(H241/E241,0)</f>
        <v>0</v>
      </c>
      <c r="K241" s="26" t="str">
        <f t="shared" ref="K241:K272" si="31">IF(E241=0,"Sin Plan",IF(J241&gt;=1,"Completado",IF(J241&gt;0.001,"En Progreso","Pendiente de ejecutar")))</f>
        <v>Pendiente de ejecutar</v>
      </c>
      <c r="L241" s="6" t="s">
        <v>328</v>
      </c>
      <c r="M241" s="6" t="s">
        <v>325</v>
      </c>
    </row>
    <row r="242" spans="1:13" x14ac:dyDescent="0.35">
      <c r="A242" s="38" t="s">
        <v>205</v>
      </c>
      <c r="B242" s="11" t="s">
        <v>208</v>
      </c>
      <c r="C242" s="11" t="s">
        <v>197</v>
      </c>
      <c r="D242" s="38" t="s">
        <v>198</v>
      </c>
      <c r="E242" s="51">
        <v>260000</v>
      </c>
      <c r="F242" s="51">
        <f>98659.84*2</f>
        <v>197319.67999999999</v>
      </c>
      <c r="G242" s="51">
        <v>0</v>
      </c>
      <c r="H242" s="50">
        <f t="shared" si="23"/>
        <v>197319.67999999999</v>
      </c>
      <c r="I242" s="60">
        <f t="shared" si="24"/>
        <v>62680.320000000007</v>
      </c>
      <c r="J242" s="18">
        <f t="shared" si="30"/>
        <v>0.75892184615384617</v>
      </c>
      <c r="K242" s="19" t="str">
        <f t="shared" si="31"/>
        <v>En Progreso</v>
      </c>
      <c r="L242" s="6" t="s">
        <v>328</v>
      </c>
      <c r="M242" s="6" t="s">
        <v>325</v>
      </c>
    </row>
    <row r="243" spans="1:13" x14ac:dyDescent="0.35">
      <c r="A243" s="20" t="s">
        <v>147</v>
      </c>
      <c r="B243" s="20" t="s">
        <v>148</v>
      </c>
      <c r="C243" s="20" t="s">
        <v>136</v>
      </c>
      <c r="D243" s="20" t="s">
        <v>137</v>
      </c>
      <c r="E243" s="13">
        <v>256500</v>
      </c>
      <c r="F243" s="45">
        <v>255337.83</v>
      </c>
      <c r="G243" s="13">
        <v>0</v>
      </c>
      <c r="H243" s="50">
        <f t="shared" si="23"/>
        <v>255337.83</v>
      </c>
      <c r="I243" s="60">
        <f t="shared" si="24"/>
        <v>1162.1700000000128</v>
      </c>
      <c r="J243" s="21">
        <f t="shared" si="30"/>
        <v>0.99546912280701749</v>
      </c>
      <c r="K243" s="22" t="str">
        <f t="shared" si="31"/>
        <v>En Progreso</v>
      </c>
      <c r="L243" s="6" t="s">
        <v>328</v>
      </c>
      <c r="M243" s="6" t="s">
        <v>325</v>
      </c>
    </row>
    <row r="244" spans="1:13" x14ac:dyDescent="0.35">
      <c r="A244" s="11" t="s">
        <v>222</v>
      </c>
      <c r="B244" s="11" t="s">
        <v>208</v>
      </c>
      <c r="C244" s="11" t="s">
        <v>95</v>
      </c>
      <c r="D244" s="11" t="s">
        <v>75</v>
      </c>
      <c r="E244" s="15">
        <v>255000</v>
      </c>
      <c r="F244" s="15">
        <v>0</v>
      </c>
      <c r="G244" s="15">
        <v>0</v>
      </c>
      <c r="H244" s="50">
        <f t="shared" si="23"/>
        <v>0</v>
      </c>
      <c r="I244" s="60">
        <f t="shared" si="24"/>
        <v>255000</v>
      </c>
      <c r="J244" s="18">
        <f t="shared" si="30"/>
        <v>0</v>
      </c>
      <c r="K244" s="19" t="str">
        <f t="shared" si="31"/>
        <v>Pendiente de ejecutar</v>
      </c>
      <c r="L244" s="6" t="s">
        <v>328</v>
      </c>
      <c r="M244" s="6" t="s">
        <v>325</v>
      </c>
    </row>
    <row r="245" spans="1:13" x14ac:dyDescent="0.35">
      <c r="A245" s="23" t="s">
        <v>155</v>
      </c>
      <c r="B245" s="23" t="s">
        <v>129</v>
      </c>
      <c r="C245" s="23" t="s">
        <v>47</v>
      </c>
      <c r="D245" s="23" t="s">
        <v>48</v>
      </c>
      <c r="E245" s="15">
        <v>252000</v>
      </c>
      <c r="F245" s="15">
        <v>0</v>
      </c>
      <c r="G245" s="15">
        <f>636439.74*2</f>
        <v>1272879.48</v>
      </c>
      <c r="H245" s="50">
        <f t="shared" si="23"/>
        <v>1272879.48</v>
      </c>
      <c r="I245" s="60">
        <f t="shared" si="24"/>
        <v>-1020879.48</v>
      </c>
      <c r="J245" s="25">
        <f t="shared" si="30"/>
        <v>5.0511090476190477</v>
      </c>
      <c r="K245" s="26" t="str">
        <f t="shared" si="31"/>
        <v>Completado</v>
      </c>
      <c r="L245" s="6" t="s">
        <v>328</v>
      </c>
      <c r="M245" s="6" t="s">
        <v>325</v>
      </c>
    </row>
    <row r="246" spans="1:13" x14ac:dyDescent="0.35">
      <c r="A246" s="11" t="s">
        <v>229</v>
      </c>
      <c r="B246" s="11" t="s">
        <v>208</v>
      </c>
      <c r="C246" s="11" t="s">
        <v>47</v>
      </c>
      <c r="D246" s="11" t="s">
        <v>48</v>
      </c>
      <c r="E246" s="13">
        <v>252000</v>
      </c>
      <c r="F246" s="13">
        <v>0</v>
      </c>
      <c r="G246" s="13">
        <v>246624.75</v>
      </c>
      <c r="H246" s="50">
        <f t="shared" si="23"/>
        <v>246624.75</v>
      </c>
      <c r="I246" s="60">
        <f t="shared" si="24"/>
        <v>5375.25</v>
      </c>
      <c r="J246" s="18">
        <f t="shared" si="30"/>
        <v>0.97866964285714286</v>
      </c>
      <c r="K246" s="19" t="str">
        <f t="shared" si="31"/>
        <v>En Progreso</v>
      </c>
      <c r="L246" s="6" t="s">
        <v>326</v>
      </c>
      <c r="M246" s="6" t="s">
        <v>325</v>
      </c>
    </row>
    <row r="247" spans="1:13" s="2" customFormat="1" x14ac:dyDescent="0.35">
      <c r="A247" s="20" t="s">
        <v>262</v>
      </c>
      <c r="B247" s="11" t="s">
        <v>208</v>
      </c>
      <c r="C247" s="20" t="s">
        <v>107</v>
      </c>
      <c r="D247" s="20" t="s">
        <v>108</v>
      </c>
      <c r="E247" s="13">
        <v>252000</v>
      </c>
      <c r="F247" s="13"/>
      <c r="G247" s="13">
        <v>0</v>
      </c>
      <c r="H247" s="50">
        <f t="shared" si="23"/>
        <v>0</v>
      </c>
      <c r="I247" s="60">
        <f t="shared" si="24"/>
        <v>252000</v>
      </c>
      <c r="J247" s="21">
        <f t="shared" si="30"/>
        <v>0</v>
      </c>
      <c r="K247" s="22" t="str">
        <f t="shared" si="31"/>
        <v>Pendiente de ejecutar</v>
      </c>
      <c r="L247" s="6" t="s">
        <v>328</v>
      </c>
      <c r="M247" s="6" t="s">
        <v>325</v>
      </c>
    </row>
    <row r="248" spans="1:13" x14ac:dyDescent="0.35">
      <c r="A248" s="23" t="s">
        <v>89</v>
      </c>
      <c r="B248" s="11" t="s">
        <v>324</v>
      </c>
      <c r="C248" s="23" t="s">
        <v>13</v>
      </c>
      <c r="D248" s="23" t="s">
        <v>14</v>
      </c>
      <c r="E248" s="15">
        <v>685000</v>
      </c>
      <c r="F248" s="15">
        <v>0</v>
      </c>
      <c r="G248" s="15">
        <v>871130</v>
      </c>
      <c r="H248" s="50">
        <f t="shared" si="23"/>
        <v>871130</v>
      </c>
      <c r="I248" s="60">
        <f t="shared" si="24"/>
        <v>-186130</v>
      </c>
      <c r="J248" s="25">
        <f t="shared" si="30"/>
        <v>1.2717226277372262</v>
      </c>
      <c r="K248" s="26" t="str">
        <f t="shared" si="31"/>
        <v>Completado</v>
      </c>
      <c r="L248" s="6" t="s">
        <v>328</v>
      </c>
      <c r="M248" s="6" t="s">
        <v>325</v>
      </c>
    </row>
    <row r="249" spans="1:13" x14ac:dyDescent="0.35">
      <c r="A249" s="11" t="s">
        <v>89</v>
      </c>
      <c r="B249" s="11" t="s">
        <v>324</v>
      </c>
      <c r="C249" s="11" t="s">
        <v>39</v>
      </c>
      <c r="D249" s="11" t="s">
        <v>40</v>
      </c>
      <c r="E249" s="13">
        <v>1367212</v>
      </c>
      <c r="F249" s="13">
        <v>274353.5</v>
      </c>
      <c r="G249" s="13">
        <v>0</v>
      </c>
      <c r="H249" s="50">
        <f t="shared" si="23"/>
        <v>274353.5</v>
      </c>
      <c r="I249" s="60">
        <f t="shared" si="24"/>
        <v>1092858.5</v>
      </c>
      <c r="J249" s="25">
        <f t="shared" si="30"/>
        <v>0.20066639262967265</v>
      </c>
      <c r="K249" s="26" t="str">
        <f t="shared" si="31"/>
        <v>En Progreso</v>
      </c>
      <c r="L249" s="6" t="s">
        <v>328</v>
      </c>
      <c r="M249" s="6" t="s">
        <v>325</v>
      </c>
    </row>
    <row r="250" spans="1:13" x14ac:dyDescent="0.35">
      <c r="A250" s="20" t="s">
        <v>160</v>
      </c>
      <c r="B250" s="11" t="s">
        <v>208</v>
      </c>
      <c r="C250" s="20" t="s">
        <v>136</v>
      </c>
      <c r="D250" s="20" t="s">
        <v>137</v>
      </c>
      <c r="E250" s="13">
        <v>245500</v>
      </c>
      <c r="F250" s="13">
        <v>254379.31</v>
      </c>
      <c r="G250" s="13">
        <v>0</v>
      </c>
      <c r="H250" s="50">
        <f t="shared" si="23"/>
        <v>254379.31</v>
      </c>
      <c r="I250" s="60">
        <f t="shared" si="24"/>
        <v>-8879.3099999999977</v>
      </c>
      <c r="J250" s="21">
        <f t="shared" si="30"/>
        <v>1.0361682688391038</v>
      </c>
      <c r="K250" s="22" t="str">
        <f t="shared" si="31"/>
        <v>Completado</v>
      </c>
      <c r="L250" s="6" t="s">
        <v>328</v>
      </c>
      <c r="M250" s="6" t="s">
        <v>325</v>
      </c>
    </row>
    <row r="251" spans="1:13" x14ac:dyDescent="0.35">
      <c r="A251" s="11" t="s">
        <v>169</v>
      </c>
      <c r="B251" s="11" t="s">
        <v>208</v>
      </c>
      <c r="C251" s="11" t="s">
        <v>177</v>
      </c>
      <c r="D251" s="11" t="s">
        <v>178</v>
      </c>
      <c r="E251" s="13">
        <v>245000</v>
      </c>
      <c r="F251" s="13">
        <v>218568.22</v>
      </c>
      <c r="G251" s="13">
        <v>0</v>
      </c>
      <c r="H251" s="50">
        <f t="shared" si="23"/>
        <v>218568.22</v>
      </c>
      <c r="I251" s="60">
        <f t="shared" si="24"/>
        <v>26431.78</v>
      </c>
      <c r="J251" s="18">
        <f t="shared" si="30"/>
        <v>0.89211518367346943</v>
      </c>
      <c r="K251" s="19" t="str">
        <f t="shared" si="31"/>
        <v>En Progreso</v>
      </c>
      <c r="L251" s="6" t="s">
        <v>326</v>
      </c>
      <c r="M251" s="6" t="s">
        <v>325</v>
      </c>
    </row>
    <row r="252" spans="1:13" x14ac:dyDescent="0.35">
      <c r="A252" s="11" t="s">
        <v>229</v>
      </c>
      <c r="B252" s="11" t="s">
        <v>208</v>
      </c>
      <c r="C252" s="11" t="s">
        <v>177</v>
      </c>
      <c r="D252" s="11" t="s">
        <v>178</v>
      </c>
      <c r="E252" s="13">
        <v>245000</v>
      </c>
      <c r="F252" s="13">
        <v>218568.22</v>
      </c>
      <c r="G252" s="13">
        <v>0</v>
      </c>
      <c r="H252" s="50">
        <f t="shared" si="23"/>
        <v>218568.22</v>
      </c>
      <c r="I252" s="60">
        <f t="shared" si="24"/>
        <v>26431.78</v>
      </c>
      <c r="J252" s="18">
        <f t="shared" si="30"/>
        <v>0.89211518367346943</v>
      </c>
      <c r="K252" s="19" t="str">
        <f t="shared" si="31"/>
        <v>En Progreso</v>
      </c>
      <c r="L252" s="6" t="s">
        <v>326</v>
      </c>
      <c r="M252" s="6" t="s">
        <v>325</v>
      </c>
    </row>
    <row r="253" spans="1:13" x14ac:dyDescent="0.35">
      <c r="A253" s="23" t="s">
        <v>272</v>
      </c>
      <c r="B253" s="23" t="s">
        <v>129</v>
      </c>
      <c r="C253" s="23" t="s">
        <v>31</v>
      </c>
      <c r="D253" s="23" t="s">
        <v>32</v>
      </c>
      <c r="E253" s="15">
        <v>235000</v>
      </c>
      <c r="F253" s="15">
        <v>0</v>
      </c>
      <c r="G253" s="15">
        <v>0</v>
      </c>
      <c r="H253" s="50">
        <f t="shared" si="23"/>
        <v>0</v>
      </c>
      <c r="I253" s="60">
        <f t="shared" si="24"/>
        <v>235000</v>
      </c>
      <c r="J253" s="25">
        <f t="shared" si="30"/>
        <v>0</v>
      </c>
      <c r="K253" s="26" t="str">
        <f t="shared" si="31"/>
        <v>Pendiente de ejecutar</v>
      </c>
      <c r="L253" s="6" t="s">
        <v>326</v>
      </c>
      <c r="M253" s="6" t="s">
        <v>325</v>
      </c>
    </row>
    <row r="254" spans="1:13" x14ac:dyDescent="0.35">
      <c r="A254" s="70" t="s">
        <v>11</v>
      </c>
      <c r="B254" s="11" t="s">
        <v>324</v>
      </c>
      <c r="C254" s="11" t="s">
        <v>21</v>
      </c>
      <c r="D254" s="11" t="s">
        <v>22</v>
      </c>
      <c r="E254" s="15">
        <v>0</v>
      </c>
      <c r="F254" s="15">
        <v>0</v>
      </c>
      <c r="G254" s="16">
        <v>177001.97</v>
      </c>
      <c r="H254" s="50">
        <f t="shared" si="23"/>
        <v>177001.97</v>
      </c>
      <c r="I254" s="60">
        <f t="shared" si="24"/>
        <v>-177001.97</v>
      </c>
      <c r="J254" s="25">
        <f t="shared" si="30"/>
        <v>0</v>
      </c>
      <c r="K254" s="26" t="str">
        <f t="shared" si="31"/>
        <v>Sin Plan</v>
      </c>
      <c r="L254" s="6" t="s">
        <v>326</v>
      </c>
      <c r="M254" s="6" t="s">
        <v>323</v>
      </c>
    </row>
    <row r="255" spans="1:13" x14ac:dyDescent="0.35">
      <c r="A255" s="11" t="s">
        <v>89</v>
      </c>
      <c r="B255" s="11" t="s">
        <v>324</v>
      </c>
      <c r="C255" s="11" t="s">
        <v>47</v>
      </c>
      <c r="D255" s="11" t="s">
        <v>48</v>
      </c>
      <c r="E255" s="15">
        <v>132300</v>
      </c>
      <c r="F255" s="15">
        <v>0</v>
      </c>
      <c r="G255" s="15">
        <v>137843.10999999999</v>
      </c>
      <c r="H255" s="50">
        <f t="shared" si="23"/>
        <v>137843.10999999999</v>
      </c>
      <c r="I255" s="60">
        <f t="shared" si="24"/>
        <v>-5543.109999999986</v>
      </c>
      <c r="J255" s="25">
        <f t="shared" si="30"/>
        <v>1.0418980347694633</v>
      </c>
      <c r="K255" s="26" t="str">
        <f t="shared" si="31"/>
        <v>Completado</v>
      </c>
      <c r="L255" s="6" t="s">
        <v>328</v>
      </c>
      <c r="M255" s="6" t="s">
        <v>325</v>
      </c>
    </row>
    <row r="256" spans="1:13" x14ac:dyDescent="0.35">
      <c r="A256" s="20" t="s">
        <v>89</v>
      </c>
      <c r="B256" s="11" t="s">
        <v>324</v>
      </c>
      <c r="C256" s="20" t="s">
        <v>90</v>
      </c>
      <c r="D256" s="20" t="s">
        <v>91</v>
      </c>
      <c r="E256" s="13">
        <v>155000</v>
      </c>
      <c r="F256" s="13">
        <v>0</v>
      </c>
      <c r="G256" s="13">
        <v>42919.1</v>
      </c>
      <c r="H256" s="50">
        <f t="shared" si="23"/>
        <v>42919.1</v>
      </c>
      <c r="I256" s="60">
        <f t="shared" si="24"/>
        <v>112080.9</v>
      </c>
      <c r="J256" s="25">
        <f t="shared" si="30"/>
        <v>0.27689741935483869</v>
      </c>
      <c r="K256" s="26" t="str">
        <f t="shared" si="31"/>
        <v>En Progreso</v>
      </c>
      <c r="L256" s="6" t="s">
        <v>328</v>
      </c>
      <c r="M256" s="6" t="s">
        <v>325</v>
      </c>
    </row>
    <row r="257" spans="1:13" x14ac:dyDescent="0.35">
      <c r="A257" s="11" t="s">
        <v>89</v>
      </c>
      <c r="B257" s="11" t="s">
        <v>324</v>
      </c>
      <c r="C257" s="11" t="s">
        <v>92</v>
      </c>
      <c r="D257" s="11" t="s">
        <v>93</v>
      </c>
      <c r="E257" s="13">
        <v>0</v>
      </c>
      <c r="F257" s="13">
        <v>0</v>
      </c>
      <c r="G257" s="13">
        <v>82425.95</v>
      </c>
      <c r="H257" s="50">
        <f t="shared" si="23"/>
        <v>82425.95</v>
      </c>
      <c r="I257" s="60">
        <f t="shared" si="24"/>
        <v>-82425.95</v>
      </c>
      <c r="J257" s="25">
        <f t="shared" si="30"/>
        <v>0</v>
      </c>
      <c r="K257" s="26" t="str">
        <f t="shared" si="31"/>
        <v>Sin Plan</v>
      </c>
      <c r="L257" s="6" t="s">
        <v>328</v>
      </c>
      <c r="M257" s="6" t="s">
        <v>323</v>
      </c>
    </row>
    <row r="258" spans="1:13" x14ac:dyDescent="0.35">
      <c r="A258" s="11" t="s">
        <v>94</v>
      </c>
      <c r="B258" s="11" t="s">
        <v>324</v>
      </c>
      <c r="C258" s="11" t="s">
        <v>95</v>
      </c>
      <c r="D258" s="11" t="s">
        <v>75</v>
      </c>
      <c r="E258" s="13">
        <v>46800</v>
      </c>
      <c r="F258" s="16">
        <v>48099.51</v>
      </c>
      <c r="G258" s="13">
        <v>0</v>
      </c>
      <c r="H258" s="50">
        <f t="shared" ref="H258:H321" si="32">F258+G258</f>
        <v>48099.51</v>
      </c>
      <c r="I258" s="60">
        <f t="shared" ref="I258:I321" si="33">E258-H258</f>
        <v>-1299.510000000002</v>
      </c>
      <c r="J258" s="25">
        <f t="shared" si="30"/>
        <v>1.0277673076923077</v>
      </c>
      <c r="K258" s="26" t="str">
        <f t="shared" si="31"/>
        <v>Completado</v>
      </c>
      <c r="L258" s="6" t="s">
        <v>328</v>
      </c>
      <c r="M258" s="6" t="s">
        <v>325</v>
      </c>
    </row>
    <row r="259" spans="1:13" s="2" customFormat="1" x14ac:dyDescent="0.35">
      <c r="A259" s="23" t="s">
        <v>225</v>
      </c>
      <c r="B259" s="11" t="s">
        <v>208</v>
      </c>
      <c r="C259" s="23" t="s">
        <v>175</v>
      </c>
      <c r="D259" s="23" t="s">
        <v>176</v>
      </c>
      <c r="E259" s="15">
        <v>221038</v>
      </c>
      <c r="F259" s="16">
        <v>220662</v>
      </c>
      <c r="G259" s="15">
        <v>0</v>
      </c>
      <c r="H259" s="50">
        <f t="shared" si="32"/>
        <v>220662</v>
      </c>
      <c r="I259" s="60">
        <f t="shared" si="33"/>
        <v>376</v>
      </c>
      <c r="J259" s="25">
        <f t="shared" si="30"/>
        <v>0.99829893502474687</v>
      </c>
      <c r="K259" s="26" t="str">
        <f t="shared" si="31"/>
        <v>En Progreso</v>
      </c>
      <c r="L259" s="6" t="s">
        <v>326</v>
      </c>
      <c r="M259" s="6" t="s">
        <v>325</v>
      </c>
    </row>
    <row r="260" spans="1:13" x14ac:dyDescent="0.35">
      <c r="A260" s="23" t="s">
        <v>94</v>
      </c>
      <c r="B260" s="11" t="s">
        <v>324</v>
      </c>
      <c r="C260" s="23" t="s">
        <v>68</v>
      </c>
      <c r="D260" s="23" t="s">
        <v>69</v>
      </c>
      <c r="E260" s="15">
        <v>39000</v>
      </c>
      <c r="F260" s="16">
        <v>29850</v>
      </c>
      <c r="G260" s="15">
        <v>0</v>
      </c>
      <c r="H260" s="50">
        <f t="shared" si="32"/>
        <v>29850</v>
      </c>
      <c r="I260" s="60">
        <f t="shared" si="33"/>
        <v>9150</v>
      </c>
      <c r="J260" s="25">
        <f t="shared" si="30"/>
        <v>0.76538461538461533</v>
      </c>
      <c r="K260" s="26" t="str">
        <f t="shared" si="31"/>
        <v>En Progreso</v>
      </c>
      <c r="L260" s="6" t="s">
        <v>328</v>
      </c>
      <c r="M260" s="6" t="s">
        <v>325</v>
      </c>
    </row>
    <row r="261" spans="1:13" x14ac:dyDescent="0.35">
      <c r="A261" s="11" t="s">
        <v>104</v>
      </c>
      <c r="B261" s="11" t="s">
        <v>324</v>
      </c>
      <c r="C261" s="11" t="s">
        <v>23</v>
      </c>
      <c r="D261" s="11" t="s">
        <v>24</v>
      </c>
      <c r="E261" s="13">
        <v>246000</v>
      </c>
      <c r="F261" s="13">
        <v>112100.8</v>
      </c>
      <c r="G261" s="13">
        <v>0</v>
      </c>
      <c r="H261" s="50">
        <f t="shared" si="32"/>
        <v>112100.8</v>
      </c>
      <c r="I261" s="60">
        <f t="shared" si="33"/>
        <v>133899.20000000001</v>
      </c>
      <c r="J261" s="25">
        <f t="shared" si="30"/>
        <v>0.45569430894308943</v>
      </c>
      <c r="K261" s="26" t="str">
        <f t="shared" si="31"/>
        <v>En Progreso</v>
      </c>
      <c r="L261" s="6" t="s">
        <v>326</v>
      </c>
      <c r="M261" s="6" t="s">
        <v>325</v>
      </c>
    </row>
    <row r="262" spans="1:13" x14ac:dyDescent="0.35">
      <c r="A262" s="23" t="s">
        <v>57</v>
      </c>
      <c r="B262" s="11" t="s">
        <v>324</v>
      </c>
      <c r="C262" s="23" t="s">
        <v>23</v>
      </c>
      <c r="D262" s="23" t="s">
        <v>24</v>
      </c>
      <c r="E262" s="15">
        <v>192000</v>
      </c>
      <c r="F262" s="15">
        <v>86781.81</v>
      </c>
      <c r="G262" s="15">
        <v>0</v>
      </c>
      <c r="H262" s="50">
        <f t="shared" si="32"/>
        <v>86781.81</v>
      </c>
      <c r="I262" s="60">
        <f t="shared" si="33"/>
        <v>105218.19</v>
      </c>
      <c r="J262" s="25">
        <f t="shared" si="30"/>
        <v>0.45198859375</v>
      </c>
      <c r="K262" s="26" t="str">
        <f t="shared" si="31"/>
        <v>En Progreso</v>
      </c>
      <c r="L262" s="6" t="s">
        <v>326</v>
      </c>
      <c r="M262" s="6" t="s">
        <v>325</v>
      </c>
    </row>
    <row r="263" spans="1:13" x14ac:dyDescent="0.35">
      <c r="A263" s="23" t="s">
        <v>240</v>
      </c>
      <c r="B263" s="11" t="s">
        <v>208</v>
      </c>
      <c r="C263" s="23" t="s">
        <v>136</v>
      </c>
      <c r="D263" s="23" t="s">
        <v>137</v>
      </c>
      <c r="E263" s="15">
        <v>217000</v>
      </c>
      <c r="F263" s="15">
        <v>226008.44</v>
      </c>
      <c r="G263" s="15">
        <v>0</v>
      </c>
      <c r="H263" s="50">
        <f t="shared" si="32"/>
        <v>226008.44</v>
      </c>
      <c r="I263" s="60">
        <f t="shared" si="33"/>
        <v>-9008.4400000000023</v>
      </c>
      <c r="J263" s="25">
        <f t="shared" si="30"/>
        <v>1.0415135483870968</v>
      </c>
      <c r="K263" s="26" t="str">
        <f t="shared" si="31"/>
        <v>Completado</v>
      </c>
      <c r="L263" s="6" t="s">
        <v>328</v>
      </c>
      <c r="M263" s="6" t="s">
        <v>325</v>
      </c>
    </row>
    <row r="264" spans="1:13" x14ac:dyDescent="0.35">
      <c r="A264" s="20" t="s">
        <v>262</v>
      </c>
      <c r="B264" s="11" t="s">
        <v>208</v>
      </c>
      <c r="C264" s="20" t="s">
        <v>83</v>
      </c>
      <c r="D264" s="20" t="s">
        <v>84</v>
      </c>
      <c r="E264" s="13">
        <v>213000</v>
      </c>
      <c r="F264" s="13">
        <v>0</v>
      </c>
      <c r="G264" s="13">
        <v>0</v>
      </c>
      <c r="H264" s="50">
        <f t="shared" si="32"/>
        <v>0</v>
      </c>
      <c r="I264" s="60">
        <f t="shared" si="33"/>
        <v>213000</v>
      </c>
      <c r="J264" s="21">
        <f t="shared" si="30"/>
        <v>0</v>
      </c>
      <c r="K264" s="22" t="str">
        <f t="shared" si="31"/>
        <v>Pendiente de ejecutar</v>
      </c>
      <c r="L264" s="6" t="s">
        <v>326</v>
      </c>
      <c r="M264" s="6" t="s">
        <v>325</v>
      </c>
    </row>
    <row r="265" spans="1:13" x14ac:dyDescent="0.35">
      <c r="A265" s="11" t="s">
        <v>202</v>
      </c>
      <c r="B265" s="11" t="s">
        <v>208</v>
      </c>
      <c r="C265" s="11" t="s">
        <v>95</v>
      </c>
      <c r="D265" s="11" t="s">
        <v>337</v>
      </c>
      <c r="E265" s="46">
        <v>212500</v>
      </c>
      <c r="F265" s="15">
        <v>0</v>
      </c>
      <c r="G265" s="15">
        <v>0</v>
      </c>
      <c r="H265" s="50">
        <f t="shared" si="32"/>
        <v>0</v>
      </c>
      <c r="I265" s="60">
        <f t="shared" si="33"/>
        <v>212500</v>
      </c>
      <c r="J265" s="18">
        <f t="shared" si="30"/>
        <v>0</v>
      </c>
      <c r="K265" s="19" t="str">
        <f t="shared" si="31"/>
        <v>Pendiente de ejecutar</v>
      </c>
      <c r="L265" s="6" t="s">
        <v>328</v>
      </c>
      <c r="M265" s="6" t="s">
        <v>325</v>
      </c>
    </row>
    <row r="266" spans="1:13" x14ac:dyDescent="0.35">
      <c r="A266" s="20" t="s">
        <v>301</v>
      </c>
      <c r="B266" s="11" t="s">
        <v>208</v>
      </c>
      <c r="C266" s="20" t="s">
        <v>220</v>
      </c>
      <c r="D266" s="20" t="s">
        <v>221</v>
      </c>
      <c r="E266" s="13">
        <v>200000</v>
      </c>
      <c r="F266" s="13">
        <v>0</v>
      </c>
      <c r="G266" s="13">
        <v>0</v>
      </c>
      <c r="H266" s="50">
        <f t="shared" si="32"/>
        <v>0</v>
      </c>
      <c r="I266" s="60">
        <f t="shared" si="33"/>
        <v>200000</v>
      </c>
      <c r="J266" s="21">
        <f t="shared" si="30"/>
        <v>0</v>
      </c>
      <c r="K266" s="22" t="str">
        <f t="shared" si="31"/>
        <v>Pendiente de ejecutar</v>
      </c>
      <c r="L266" s="6" t="s">
        <v>326</v>
      </c>
      <c r="M266" s="6" t="s">
        <v>325</v>
      </c>
    </row>
    <row r="267" spans="1:13" x14ac:dyDescent="0.35">
      <c r="A267" s="11" t="s">
        <v>283</v>
      </c>
      <c r="B267" s="11" t="s">
        <v>278</v>
      </c>
      <c r="C267" s="11" t="s">
        <v>96</v>
      </c>
      <c r="D267" s="11" t="s">
        <v>97</v>
      </c>
      <c r="E267" s="13">
        <v>198000</v>
      </c>
      <c r="F267" s="13">
        <v>0</v>
      </c>
      <c r="G267" s="13">
        <v>243751.56</v>
      </c>
      <c r="H267" s="50">
        <f t="shared" si="32"/>
        <v>243751.56</v>
      </c>
      <c r="I267" s="60">
        <f t="shared" si="33"/>
        <v>-45751.56</v>
      </c>
      <c r="J267" s="18">
        <f t="shared" si="30"/>
        <v>1.2310684848484847</v>
      </c>
      <c r="K267" s="19" t="str">
        <f t="shared" si="31"/>
        <v>Completado</v>
      </c>
      <c r="L267" s="6" t="s">
        <v>328</v>
      </c>
      <c r="M267" s="6" t="s">
        <v>325</v>
      </c>
    </row>
    <row r="268" spans="1:13" x14ac:dyDescent="0.35">
      <c r="A268" s="70" t="s">
        <v>73</v>
      </c>
      <c r="B268" s="11" t="s">
        <v>324</v>
      </c>
      <c r="C268" s="11" t="s">
        <v>23</v>
      </c>
      <c r="D268" s="11" t="s">
        <v>24</v>
      </c>
      <c r="E268" s="15">
        <v>192000</v>
      </c>
      <c r="F268" s="15">
        <v>68760.78</v>
      </c>
      <c r="G268" s="15">
        <v>0</v>
      </c>
      <c r="H268" s="50">
        <f t="shared" si="32"/>
        <v>68760.78</v>
      </c>
      <c r="I268" s="60">
        <f t="shared" si="33"/>
        <v>123239.22</v>
      </c>
      <c r="J268" s="25">
        <f t="shared" si="30"/>
        <v>0.35812906249999998</v>
      </c>
      <c r="K268" s="26" t="str">
        <f t="shared" si="31"/>
        <v>En Progreso</v>
      </c>
      <c r="L268" s="6" t="s">
        <v>326</v>
      </c>
      <c r="M268" s="6" t="s">
        <v>325</v>
      </c>
    </row>
    <row r="269" spans="1:13" x14ac:dyDescent="0.35">
      <c r="A269" s="61" t="s">
        <v>76</v>
      </c>
      <c r="B269" s="38" t="s">
        <v>324</v>
      </c>
      <c r="C269" s="23" t="s">
        <v>23</v>
      </c>
      <c r="D269" s="61" t="s">
        <v>24</v>
      </c>
      <c r="E269" s="51">
        <v>192000</v>
      </c>
      <c r="F269" s="51">
        <v>0</v>
      </c>
      <c r="G269" s="51">
        <v>0</v>
      </c>
      <c r="H269" s="50">
        <f t="shared" si="32"/>
        <v>0</v>
      </c>
      <c r="I269" s="60">
        <f t="shared" si="33"/>
        <v>192000</v>
      </c>
      <c r="J269" s="96">
        <f t="shared" si="30"/>
        <v>0</v>
      </c>
      <c r="K269" s="97" t="str">
        <f t="shared" si="31"/>
        <v>Pendiente de ejecutar</v>
      </c>
      <c r="L269" s="94" t="s">
        <v>326</v>
      </c>
      <c r="M269" s="6" t="s">
        <v>325</v>
      </c>
    </row>
    <row r="270" spans="1:13" x14ac:dyDescent="0.35">
      <c r="A270" s="11" t="s">
        <v>89</v>
      </c>
      <c r="B270" s="11" t="s">
        <v>324</v>
      </c>
      <c r="C270" s="11" t="s">
        <v>23</v>
      </c>
      <c r="D270" s="11" t="s">
        <v>24</v>
      </c>
      <c r="E270" s="15">
        <v>192000</v>
      </c>
      <c r="F270" s="15">
        <v>91094.75</v>
      </c>
      <c r="G270" s="15">
        <v>0</v>
      </c>
      <c r="H270" s="50">
        <f t="shared" si="32"/>
        <v>91094.75</v>
      </c>
      <c r="I270" s="60">
        <f t="shared" si="33"/>
        <v>100905.25</v>
      </c>
      <c r="J270" s="25">
        <f t="shared" si="30"/>
        <v>0.47445182291666665</v>
      </c>
      <c r="K270" s="26" t="str">
        <f t="shared" si="31"/>
        <v>En Progreso</v>
      </c>
      <c r="L270" s="6" t="s">
        <v>326</v>
      </c>
      <c r="M270" s="6" t="s">
        <v>325</v>
      </c>
    </row>
    <row r="271" spans="1:13" x14ac:dyDescent="0.35">
      <c r="A271" s="11" t="s">
        <v>70</v>
      </c>
      <c r="B271" s="11" t="s">
        <v>324</v>
      </c>
      <c r="C271" s="11" t="s">
        <v>23</v>
      </c>
      <c r="D271" s="11" t="s">
        <v>24</v>
      </c>
      <c r="E271" s="15">
        <v>160000</v>
      </c>
      <c r="F271" s="15">
        <v>64307.7</v>
      </c>
      <c r="G271" s="15">
        <v>0</v>
      </c>
      <c r="H271" s="50">
        <f t="shared" si="32"/>
        <v>64307.7</v>
      </c>
      <c r="I271" s="60">
        <f t="shared" si="33"/>
        <v>95692.3</v>
      </c>
      <c r="J271" s="25">
        <f t="shared" si="30"/>
        <v>0.40192312499999999</v>
      </c>
      <c r="K271" s="26" t="str">
        <f t="shared" si="31"/>
        <v>En Progreso</v>
      </c>
      <c r="L271" s="6" t="s">
        <v>326</v>
      </c>
      <c r="M271" s="6" t="s">
        <v>325</v>
      </c>
    </row>
    <row r="272" spans="1:13" x14ac:dyDescent="0.35">
      <c r="A272" s="11" t="s">
        <v>52</v>
      </c>
      <c r="B272" s="11" t="s">
        <v>324</v>
      </c>
      <c r="C272" s="11" t="s">
        <v>23</v>
      </c>
      <c r="D272" s="11" t="s">
        <v>24</v>
      </c>
      <c r="E272" s="15">
        <v>128000</v>
      </c>
      <c r="F272" s="16">
        <v>25662</v>
      </c>
      <c r="G272" s="46">
        <v>267560</v>
      </c>
      <c r="H272" s="50">
        <f t="shared" si="32"/>
        <v>293222</v>
      </c>
      <c r="I272" s="60">
        <f t="shared" si="33"/>
        <v>-165222</v>
      </c>
      <c r="J272" s="25">
        <f t="shared" si="30"/>
        <v>2.2907968749999998</v>
      </c>
      <c r="K272" s="26" t="str">
        <f t="shared" si="31"/>
        <v>Completado</v>
      </c>
      <c r="L272" s="6" t="s">
        <v>326</v>
      </c>
      <c r="M272" s="6" t="s">
        <v>325</v>
      </c>
    </row>
    <row r="273" spans="1:13" x14ac:dyDescent="0.35">
      <c r="A273" s="11" t="s">
        <v>186</v>
      </c>
      <c r="B273" s="11" t="s">
        <v>208</v>
      </c>
      <c r="C273" s="11" t="s">
        <v>136</v>
      </c>
      <c r="D273" s="11" t="s">
        <v>137</v>
      </c>
      <c r="E273" s="13">
        <v>188500</v>
      </c>
      <c r="F273" s="46">
        <v>193721.52</v>
      </c>
      <c r="G273" s="50">
        <v>0</v>
      </c>
      <c r="H273" s="50">
        <f t="shared" si="32"/>
        <v>193721.52</v>
      </c>
      <c r="I273" s="60">
        <f t="shared" si="33"/>
        <v>-5221.5199999999895</v>
      </c>
      <c r="J273" s="18">
        <f t="shared" ref="J273:J304" si="34">IFERROR(H273/E273,0)</f>
        <v>1.027700371352785</v>
      </c>
      <c r="K273" s="19" t="str">
        <f t="shared" ref="K273:K304" si="35">IF(E273=0,"Sin Plan",IF(J273&gt;=1,"Completado",IF(J273&gt;0.001,"En Progreso","Pendiente de ejecutar")))</f>
        <v>Completado</v>
      </c>
      <c r="L273" s="6" t="s">
        <v>328</v>
      </c>
      <c r="M273" s="6" t="s">
        <v>325</v>
      </c>
    </row>
    <row r="274" spans="1:13" x14ac:dyDescent="0.35">
      <c r="A274" s="23" t="s">
        <v>186</v>
      </c>
      <c r="B274" s="11" t="s">
        <v>208</v>
      </c>
      <c r="C274" s="23" t="s">
        <v>175</v>
      </c>
      <c r="D274" s="23" t="s">
        <v>176</v>
      </c>
      <c r="E274" s="15">
        <v>188000</v>
      </c>
      <c r="F274" s="46">
        <v>199248.88</v>
      </c>
      <c r="G274" s="51">
        <v>0</v>
      </c>
      <c r="H274" s="50">
        <f t="shared" si="32"/>
        <v>199248.88</v>
      </c>
      <c r="I274" s="60">
        <f t="shared" si="33"/>
        <v>-11248.880000000005</v>
      </c>
      <c r="J274" s="25">
        <f t="shared" si="34"/>
        <v>1.0598344680851064</v>
      </c>
      <c r="K274" s="26" t="str">
        <f t="shared" si="35"/>
        <v>Completado</v>
      </c>
      <c r="L274" s="6" t="s">
        <v>328</v>
      </c>
      <c r="M274" s="6" t="s">
        <v>325</v>
      </c>
    </row>
    <row r="275" spans="1:13" x14ac:dyDescent="0.35">
      <c r="A275" s="11" t="s">
        <v>186</v>
      </c>
      <c r="B275" s="11" t="s">
        <v>208</v>
      </c>
      <c r="C275" s="11" t="s">
        <v>171</v>
      </c>
      <c r="D275" s="11" t="s">
        <v>172</v>
      </c>
      <c r="E275" s="13">
        <v>180000</v>
      </c>
      <c r="F275" s="46">
        <v>157344</v>
      </c>
      <c r="G275" s="50">
        <v>0</v>
      </c>
      <c r="H275" s="50">
        <f t="shared" si="32"/>
        <v>157344</v>
      </c>
      <c r="I275" s="60">
        <f t="shared" si="33"/>
        <v>22656</v>
      </c>
      <c r="J275" s="18">
        <f t="shared" si="34"/>
        <v>0.87413333333333332</v>
      </c>
      <c r="K275" s="19" t="str">
        <f t="shared" si="35"/>
        <v>En Progreso</v>
      </c>
      <c r="L275" s="6" t="s">
        <v>328</v>
      </c>
      <c r="M275" s="6" t="s">
        <v>325</v>
      </c>
    </row>
    <row r="276" spans="1:13" x14ac:dyDescent="0.35">
      <c r="A276" s="20" t="s">
        <v>212</v>
      </c>
      <c r="B276" s="11" t="s">
        <v>208</v>
      </c>
      <c r="C276" s="20" t="s">
        <v>171</v>
      </c>
      <c r="D276" s="20" t="s">
        <v>172</v>
      </c>
      <c r="E276" s="13">
        <v>180000</v>
      </c>
      <c r="F276" s="13">
        <v>157344</v>
      </c>
      <c r="G276" s="13">
        <v>0</v>
      </c>
      <c r="H276" s="50">
        <f t="shared" si="32"/>
        <v>157344</v>
      </c>
      <c r="I276" s="60">
        <f t="shared" si="33"/>
        <v>22656</v>
      </c>
      <c r="J276" s="21">
        <f t="shared" si="34"/>
        <v>0.87413333333333332</v>
      </c>
      <c r="K276" s="22" t="str">
        <f t="shared" si="35"/>
        <v>En Progreso</v>
      </c>
      <c r="L276" s="6" t="s">
        <v>328</v>
      </c>
      <c r="M276" s="6" t="s">
        <v>325</v>
      </c>
    </row>
    <row r="277" spans="1:13" x14ac:dyDescent="0.35">
      <c r="A277" s="11" t="s">
        <v>265</v>
      </c>
      <c r="B277" s="11" t="s">
        <v>208</v>
      </c>
      <c r="C277" s="11" t="s">
        <v>171</v>
      </c>
      <c r="D277" s="11" t="s">
        <v>172</v>
      </c>
      <c r="E277" s="13">
        <v>180000</v>
      </c>
      <c r="F277" s="13">
        <v>0</v>
      </c>
      <c r="G277" s="13">
        <v>0</v>
      </c>
      <c r="H277" s="50">
        <f t="shared" si="32"/>
        <v>0</v>
      </c>
      <c r="I277" s="60">
        <f t="shared" si="33"/>
        <v>180000</v>
      </c>
      <c r="J277" s="18">
        <f t="shared" si="34"/>
        <v>0</v>
      </c>
      <c r="K277" s="19" t="str">
        <f t="shared" si="35"/>
        <v>Pendiente de ejecutar</v>
      </c>
      <c r="L277" s="6" t="s">
        <v>328</v>
      </c>
      <c r="M277" s="6" t="s">
        <v>325</v>
      </c>
    </row>
    <row r="278" spans="1:13" x14ac:dyDescent="0.35">
      <c r="A278" s="20" t="s">
        <v>265</v>
      </c>
      <c r="B278" s="11" t="s">
        <v>208</v>
      </c>
      <c r="C278" s="20" t="s">
        <v>29</v>
      </c>
      <c r="D278" s="20" t="s">
        <v>30</v>
      </c>
      <c r="E278" s="13">
        <v>180000</v>
      </c>
      <c r="F278" s="13">
        <v>0</v>
      </c>
      <c r="G278" s="13">
        <v>0</v>
      </c>
      <c r="H278" s="50">
        <f t="shared" si="32"/>
        <v>0</v>
      </c>
      <c r="I278" s="60">
        <f t="shared" si="33"/>
        <v>180000</v>
      </c>
      <c r="J278" s="21">
        <f t="shared" si="34"/>
        <v>0</v>
      </c>
      <c r="K278" s="22" t="str">
        <f t="shared" si="35"/>
        <v>Pendiente de ejecutar</v>
      </c>
      <c r="L278" s="6" t="s">
        <v>328</v>
      </c>
      <c r="M278" s="6" t="s">
        <v>325</v>
      </c>
    </row>
    <row r="279" spans="1:13" x14ac:dyDescent="0.35">
      <c r="A279" s="11" t="s">
        <v>298</v>
      </c>
      <c r="B279" s="11" t="s">
        <v>208</v>
      </c>
      <c r="C279" s="11" t="s">
        <v>171</v>
      </c>
      <c r="D279" s="11" t="s">
        <v>172</v>
      </c>
      <c r="E279" s="15">
        <v>180000</v>
      </c>
      <c r="F279" s="16">
        <v>157344</v>
      </c>
      <c r="G279" s="15">
        <v>0</v>
      </c>
      <c r="H279" s="50">
        <f t="shared" si="32"/>
        <v>157344</v>
      </c>
      <c r="I279" s="60">
        <f t="shared" si="33"/>
        <v>22656</v>
      </c>
      <c r="J279" s="18">
        <f t="shared" si="34"/>
        <v>0.87413333333333332</v>
      </c>
      <c r="K279" s="19" t="str">
        <f t="shared" si="35"/>
        <v>En Progreso</v>
      </c>
      <c r="L279" s="6" t="s">
        <v>328</v>
      </c>
      <c r="M279" s="6" t="s">
        <v>325</v>
      </c>
    </row>
    <row r="280" spans="1:13" x14ac:dyDescent="0.35">
      <c r="A280" s="38" t="s">
        <v>41</v>
      </c>
      <c r="B280" s="38" t="s">
        <v>324</v>
      </c>
      <c r="C280" s="11" t="s">
        <v>23</v>
      </c>
      <c r="D280" s="38" t="s">
        <v>24</v>
      </c>
      <c r="E280" s="50">
        <v>112000</v>
      </c>
      <c r="F280" s="50">
        <v>0</v>
      </c>
      <c r="G280" s="50">
        <v>0</v>
      </c>
      <c r="H280" s="50">
        <f t="shared" si="32"/>
        <v>0</v>
      </c>
      <c r="I280" s="60">
        <f t="shared" si="33"/>
        <v>112000</v>
      </c>
      <c r="J280" s="96">
        <f t="shared" si="34"/>
        <v>0</v>
      </c>
      <c r="K280" s="97" t="str">
        <f t="shared" si="35"/>
        <v>Pendiente de ejecutar</v>
      </c>
      <c r="L280" s="94" t="s">
        <v>326</v>
      </c>
      <c r="M280" s="6" t="s">
        <v>325</v>
      </c>
    </row>
    <row r="281" spans="1:13" x14ac:dyDescent="0.35">
      <c r="A281" s="11" t="s">
        <v>232</v>
      </c>
      <c r="B281" s="11" t="s">
        <v>208</v>
      </c>
      <c r="C281" s="11" t="s">
        <v>136</v>
      </c>
      <c r="D281" s="11" t="s">
        <v>137</v>
      </c>
      <c r="E281" s="46">
        <v>175000</v>
      </c>
      <c r="F281" s="46">
        <v>178092.1</v>
      </c>
      <c r="G281" s="51">
        <v>0</v>
      </c>
      <c r="H281" s="50">
        <f t="shared" si="32"/>
        <v>178092.1</v>
      </c>
      <c r="I281" s="60">
        <f t="shared" si="33"/>
        <v>-3092.1000000000058</v>
      </c>
      <c r="J281" s="18">
        <f t="shared" si="34"/>
        <v>1.0176691428571429</v>
      </c>
      <c r="K281" s="19" t="str">
        <f t="shared" si="35"/>
        <v>Completado</v>
      </c>
      <c r="L281" s="6" t="s">
        <v>328</v>
      </c>
      <c r="M281" s="6" t="s">
        <v>325</v>
      </c>
    </row>
    <row r="282" spans="1:13" s="2" customFormat="1" x14ac:dyDescent="0.35">
      <c r="A282" s="23" t="s">
        <v>292</v>
      </c>
      <c r="B282" s="11" t="s">
        <v>208</v>
      </c>
      <c r="C282" s="23" t="s">
        <v>136</v>
      </c>
      <c r="D282" s="23" t="s">
        <v>137</v>
      </c>
      <c r="E282" s="15">
        <v>173500</v>
      </c>
      <c r="F282" s="15">
        <v>0</v>
      </c>
      <c r="G282" s="15">
        <v>0</v>
      </c>
      <c r="H282" s="50">
        <f t="shared" si="32"/>
        <v>0</v>
      </c>
      <c r="I282" s="60">
        <f t="shared" si="33"/>
        <v>173500</v>
      </c>
      <c r="J282" s="25">
        <f t="shared" si="34"/>
        <v>0</v>
      </c>
      <c r="K282" s="26" t="str">
        <f t="shared" si="35"/>
        <v>Pendiente de ejecutar</v>
      </c>
      <c r="L282" s="6" t="s">
        <v>328</v>
      </c>
      <c r="M282" s="6" t="s">
        <v>325</v>
      </c>
    </row>
    <row r="283" spans="1:13" x14ac:dyDescent="0.35">
      <c r="A283" s="23" t="s">
        <v>262</v>
      </c>
      <c r="B283" s="11" t="s">
        <v>208</v>
      </c>
      <c r="C283" s="11" t="s">
        <v>96</v>
      </c>
      <c r="D283" s="11" t="s">
        <v>97</v>
      </c>
      <c r="E283" s="15">
        <v>172000</v>
      </c>
      <c r="F283" s="15">
        <v>0</v>
      </c>
      <c r="G283" s="15">
        <v>0</v>
      </c>
      <c r="H283" s="50">
        <f t="shared" si="32"/>
        <v>0</v>
      </c>
      <c r="I283" s="60">
        <f t="shared" si="33"/>
        <v>172000</v>
      </c>
      <c r="J283" s="18">
        <f t="shared" si="34"/>
        <v>0</v>
      </c>
      <c r="K283" s="19" t="str">
        <f t="shared" si="35"/>
        <v>Pendiente de ejecutar</v>
      </c>
      <c r="L283" s="6" t="s">
        <v>328</v>
      </c>
      <c r="M283" s="6" t="s">
        <v>325</v>
      </c>
    </row>
    <row r="284" spans="1:13" x14ac:dyDescent="0.35">
      <c r="A284" s="23" t="s">
        <v>287</v>
      </c>
      <c r="B284" s="11" t="s">
        <v>208</v>
      </c>
      <c r="C284" s="23" t="s">
        <v>126</v>
      </c>
      <c r="D284" s="23" t="s">
        <v>127</v>
      </c>
      <c r="E284" s="15">
        <v>168000</v>
      </c>
      <c r="F284" s="15">
        <v>0</v>
      </c>
      <c r="G284" s="15">
        <v>0</v>
      </c>
      <c r="H284" s="50">
        <f t="shared" si="32"/>
        <v>0</v>
      </c>
      <c r="I284" s="60">
        <f t="shared" si="33"/>
        <v>168000</v>
      </c>
      <c r="J284" s="25">
        <f t="shared" si="34"/>
        <v>0</v>
      </c>
      <c r="K284" s="26" t="str">
        <f t="shared" si="35"/>
        <v>Pendiente de ejecutar</v>
      </c>
      <c r="L284" s="6" t="s">
        <v>326</v>
      </c>
      <c r="M284" s="6" t="s">
        <v>325</v>
      </c>
    </row>
    <row r="285" spans="1:13" x14ac:dyDescent="0.35">
      <c r="A285" s="11" t="s">
        <v>287</v>
      </c>
      <c r="B285" s="11" t="s">
        <v>208</v>
      </c>
      <c r="C285" s="11" t="s">
        <v>136</v>
      </c>
      <c r="D285" s="11" t="s">
        <v>137</v>
      </c>
      <c r="E285" s="15">
        <v>167500</v>
      </c>
      <c r="F285" s="15">
        <v>283708.7</v>
      </c>
      <c r="G285" s="15">
        <v>0</v>
      </c>
      <c r="H285" s="50">
        <f t="shared" si="32"/>
        <v>283708.7</v>
      </c>
      <c r="I285" s="60">
        <f t="shared" si="33"/>
        <v>-116208.70000000001</v>
      </c>
      <c r="J285" s="18">
        <f t="shared" si="34"/>
        <v>1.6937832835820896</v>
      </c>
      <c r="K285" s="19" t="str">
        <f t="shared" si="35"/>
        <v>Completado</v>
      </c>
      <c r="L285" s="6" t="s">
        <v>328</v>
      </c>
      <c r="M285" s="6" t="s">
        <v>325</v>
      </c>
    </row>
    <row r="286" spans="1:13" x14ac:dyDescent="0.35">
      <c r="A286" s="23" t="s">
        <v>243</v>
      </c>
      <c r="B286" s="11" t="s">
        <v>208</v>
      </c>
      <c r="C286" s="23" t="s">
        <v>193</v>
      </c>
      <c r="D286" s="23" t="s">
        <v>194</v>
      </c>
      <c r="E286" s="15">
        <v>166400</v>
      </c>
      <c r="F286" s="15">
        <v>137608.89000000001</v>
      </c>
      <c r="G286" s="15">
        <v>0</v>
      </c>
      <c r="H286" s="50">
        <f t="shared" si="32"/>
        <v>137608.89000000001</v>
      </c>
      <c r="I286" s="60">
        <f t="shared" si="33"/>
        <v>28791.109999999986</v>
      </c>
      <c r="J286" s="25">
        <f t="shared" si="34"/>
        <v>0.82697650240384624</v>
      </c>
      <c r="K286" s="26" t="str">
        <f t="shared" si="35"/>
        <v>En Progreso</v>
      </c>
      <c r="L286" s="6" t="s">
        <v>328</v>
      </c>
      <c r="M286" s="6" t="s">
        <v>325</v>
      </c>
    </row>
    <row r="287" spans="1:13" x14ac:dyDescent="0.35">
      <c r="A287" s="11" t="s">
        <v>300</v>
      </c>
      <c r="B287" s="11" t="s">
        <v>208</v>
      </c>
      <c r="C287" s="11" t="s">
        <v>182</v>
      </c>
      <c r="D287" s="11" t="s">
        <v>183</v>
      </c>
      <c r="E287" s="15">
        <v>165000</v>
      </c>
      <c r="F287" s="15">
        <v>0</v>
      </c>
      <c r="G287" s="15">
        <v>0</v>
      </c>
      <c r="H287" s="50">
        <f t="shared" si="32"/>
        <v>0</v>
      </c>
      <c r="I287" s="60">
        <f t="shared" si="33"/>
        <v>165000</v>
      </c>
      <c r="J287" s="18">
        <f t="shared" si="34"/>
        <v>0</v>
      </c>
      <c r="K287" s="19" t="str">
        <f t="shared" si="35"/>
        <v>Pendiente de ejecutar</v>
      </c>
      <c r="L287" s="6" t="s">
        <v>328</v>
      </c>
      <c r="M287" s="6" t="s">
        <v>325</v>
      </c>
    </row>
    <row r="288" spans="1:13" x14ac:dyDescent="0.35">
      <c r="A288" s="23" t="s">
        <v>202</v>
      </c>
      <c r="B288" s="11" t="s">
        <v>208</v>
      </c>
      <c r="C288" s="23" t="s">
        <v>136</v>
      </c>
      <c r="D288" s="23" t="s">
        <v>137</v>
      </c>
      <c r="E288" s="46">
        <v>162500</v>
      </c>
      <c r="F288" s="15">
        <v>0</v>
      </c>
      <c r="G288" s="15">
        <v>0</v>
      </c>
      <c r="H288" s="50">
        <f t="shared" si="32"/>
        <v>0</v>
      </c>
      <c r="I288" s="60">
        <f t="shared" si="33"/>
        <v>162500</v>
      </c>
      <c r="J288" s="25">
        <f t="shared" si="34"/>
        <v>0</v>
      </c>
      <c r="K288" s="26" t="str">
        <f t="shared" si="35"/>
        <v>Pendiente de ejecutar</v>
      </c>
      <c r="L288" s="6" t="s">
        <v>328</v>
      </c>
      <c r="M288" s="6" t="s">
        <v>325</v>
      </c>
    </row>
    <row r="289" spans="1:13" x14ac:dyDescent="0.35">
      <c r="A289" s="23" t="s">
        <v>86</v>
      </c>
      <c r="B289" s="11" t="s">
        <v>324</v>
      </c>
      <c r="C289" s="23" t="s">
        <v>23</v>
      </c>
      <c r="D289" s="23" t="s">
        <v>24</v>
      </c>
      <c r="E289" s="15">
        <v>112000</v>
      </c>
      <c r="F289" s="15">
        <v>59096.85</v>
      </c>
      <c r="G289" s="15">
        <v>0</v>
      </c>
      <c r="H289" s="50">
        <f t="shared" si="32"/>
        <v>59096.85</v>
      </c>
      <c r="I289" s="60">
        <f t="shared" si="33"/>
        <v>52903.15</v>
      </c>
      <c r="J289" s="25">
        <f t="shared" si="34"/>
        <v>0.5276504464285714</v>
      </c>
      <c r="K289" s="26" t="str">
        <f t="shared" si="35"/>
        <v>En Progreso</v>
      </c>
      <c r="L289" s="6" t="s">
        <v>326</v>
      </c>
      <c r="M289" s="6" t="s">
        <v>325</v>
      </c>
    </row>
    <row r="290" spans="1:13" s="2" customFormat="1" x14ac:dyDescent="0.35">
      <c r="A290" s="36" t="s">
        <v>199</v>
      </c>
      <c r="B290" s="11" t="s">
        <v>208</v>
      </c>
      <c r="C290" s="23" t="s">
        <v>136</v>
      </c>
      <c r="D290" s="23" t="s">
        <v>137</v>
      </c>
      <c r="E290" s="15">
        <v>160000</v>
      </c>
      <c r="F290" s="15">
        <v>161434.6</v>
      </c>
      <c r="G290" s="15"/>
      <c r="H290" s="50">
        <f t="shared" si="32"/>
        <v>161434.6</v>
      </c>
      <c r="I290" s="60">
        <f t="shared" si="33"/>
        <v>-1434.6000000000058</v>
      </c>
      <c r="J290" s="25">
        <f t="shared" si="34"/>
        <v>1.0089662500000001</v>
      </c>
      <c r="K290" s="26" t="str">
        <f t="shared" si="35"/>
        <v>Completado</v>
      </c>
      <c r="L290" s="6" t="s">
        <v>328</v>
      </c>
      <c r="M290" s="6" t="s">
        <v>325</v>
      </c>
    </row>
    <row r="291" spans="1:13" x14ac:dyDescent="0.35">
      <c r="A291" s="11" t="s">
        <v>298</v>
      </c>
      <c r="B291" s="11" t="s">
        <v>208</v>
      </c>
      <c r="C291" s="11" t="s">
        <v>136</v>
      </c>
      <c r="D291" s="11" t="s">
        <v>137</v>
      </c>
      <c r="E291" s="13">
        <v>160000</v>
      </c>
      <c r="F291" s="13">
        <v>0</v>
      </c>
      <c r="G291" s="45">
        <v>161434.6</v>
      </c>
      <c r="H291" s="50">
        <f t="shared" si="32"/>
        <v>161434.6</v>
      </c>
      <c r="I291" s="60">
        <f t="shared" si="33"/>
        <v>-1434.6000000000058</v>
      </c>
      <c r="J291" s="18">
        <f t="shared" si="34"/>
        <v>1.0089662500000001</v>
      </c>
      <c r="K291" s="19" t="str">
        <f t="shared" si="35"/>
        <v>Completado</v>
      </c>
      <c r="L291" s="6" t="s">
        <v>328</v>
      </c>
      <c r="M291" s="6" t="s">
        <v>325</v>
      </c>
    </row>
    <row r="292" spans="1:13" x14ac:dyDescent="0.35">
      <c r="A292" s="20" t="s">
        <v>300</v>
      </c>
      <c r="B292" s="11" t="s">
        <v>208</v>
      </c>
      <c r="C292" s="20" t="s">
        <v>136</v>
      </c>
      <c r="D292" s="20" t="s">
        <v>137</v>
      </c>
      <c r="E292" s="13">
        <v>160000</v>
      </c>
      <c r="F292" s="13">
        <v>0</v>
      </c>
      <c r="G292" s="13">
        <v>161434.6</v>
      </c>
      <c r="H292" s="50">
        <f t="shared" si="32"/>
        <v>161434.6</v>
      </c>
      <c r="I292" s="60">
        <f t="shared" si="33"/>
        <v>-1434.6000000000058</v>
      </c>
      <c r="J292" s="21">
        <f t="shared" si="34"/>
        <v>1.0089662500000001</v>
      </c>
      <c r="K292" s="22" t="str">
        <f t="shared" si="35"/>
        <v>Completado</v>
      </c>
      <c r="L292" s="6" t="s">
        <v>328</v>
      </c>
      <c r="M292" s="6" t="s">
        <v>325</v>
      </c>
    </row>
    <row r="293" spans="1:13" x14ac:dyDescent="0.35">
      <c r="A293" s="38" t="s">
        <v>205</v>
      </c>
      <c r="B293" s="11" t="s">
        <v>208</v>
      </c>
      <c r="C293" s="11" t="s">
        <v>53</v>
      </c>
      <c r="D293" s="38" t="s">
        <v>54</v>
      </c>
      <c r="E293" s="51">
        <v>156000</v>
      </c>
      <c r="F293" s="51">
        <v>0</v>
      </c>
      <c r="G293" s="51">
        <v>0</v>
      </c>
      <c r="H293" s="50">
        <f t="shared" si="32"/>
        <v>0</v>
      </c>
      <c r="I293" s="60">
        <f t="shared" si="33"/>
        <v>156000</v>
      </c>
      <c r="J293" s="18">
        <f t="shared" si="34"/>
        <v>0</v>
      </c>
      <c r="K293" s="19" t="str">
        <f t="shared" si="35"/>
        <v>Pendiente de ejecutar</v>
      </c>
      <c r="L293" s="6" t="s">
        <v>328</v>
      </c>
      <c r="M293" s="6" t="s">
        <v>325</v>
      </c>
    </row>
    <row r="294" spans="1:13" x14ac:dyDescent="0.35">
      <c r="A294" s="11" t="s">
        <v>87</v>
      </c>
      <c r="B294" s="11" t="s">
        <v>324</v>
      </c>
      <c r="C294" s="11" t="s">
        <v>23</v>
      </c>
      <c r="D294" s="11" t="s">
        <v>24</v>
      </c>
      <c r="E294" s="15">
        <v>112000</v>
      </c>
      <c r="F294" s="16">
        <v>39353.85</v>
      </c>
      <c r="G294" s="15">
        <v>0</v>
      </c>
      <c r="H294" s="50">
        <f t="shared" si="32"/>
        <v>39353.85</v>
      </c>
      <c r="I294" s="60">
        <f t="shared" si="33"/>
        <v>72646.149999999994</v>
      </c>
      <c r="J294" s="25">
        <f t="shared" si="34"/>
        <v>0.35137366071428572</v>
      </c>
      <c r="K294" s="26" t="str">
        <f t="shared" si="35"/>
        <v>En Progreso</v>
      </c>
      <c r="L294" s="6" t="s">
        <v>326</v>
      </c>
      <c r="M294" s="6" t="s">
        <v>325</v>
      </c>
    </row>
    <row r="295" spans="1:13" x14ac:dyDescent="0.35">
      <c r="A295" s="11" t="s">
        <v>169</v>
      </c>
      <c r="B295" s="11" t="s">
        <v>208</v>
      </c>
      <c r="C295" s="11" t="s">
        <v>83</v>
      </c>
      <c r="D295" s="11" t="s">
        <v>84</v>
      </c>
      <c r="E295" s="15">
        <v>154000</v>
      </c>
      <c r="F295" s="15">
        <v>0</v>
      </c>
      <c r="G295" s="46">
        <v>158800</v>
      </c>
      <c r="H295" s="50">
        <f t="shared" si="32"/>
        <v>158800</v>
      </c>
      <c r="I295" s="60">
        <f t="shared" si="33"/>
        <v>-4800</v>
      </c>
      <c r="J295" s="18">
        <f t="shared" si="34"/>
        <v>1.0311688311688312</v>
      </c>
      <c r="K295" s="19" t="str">
        <f t="shared" si="35"/>
        <v>Completado</v>
      </c>
      <c r="L295" s="6" t="s">
        <v>326</v>
      </c>
      <c r="M295" s="6" t="s">
        <v>325</v>
      </c>
    </row>
    <row r="296" spans="1:13" x14ac:dyDescent="0.35">
      <c r="A296" s="23" t="s">
        <v>98</v>
      </c>
      <c r="B296" s="11" t="s">
        <v>324</v>
      </c>
      <c r="C296" s="23" t="s">
        <v>23</v>
      </c>
      <c r="D296" s="23" t="s">
        <v>24</v>
      </c>
      <c r="E296" s="15">
        <v>112000</v>
      </c>
      <c r="F296" s="15">
        <v>64877.85</v>
      </c>
      <c r="G296" s="16">
        <f>267560+137581.3</f>
        <v>405141.3</v>
      </c>
      <c r="H296" s="50">
        <f t="shared" si="32"/>
        <v>470019.14999999997</v>
      </c>
      <c r="I296" s="60">
        <f t="shared" si="33"/>
        <v>-358019.14999999997</v>
      </c>
      <c r="J296" s="25">
        <f t="shared" si="34"/>
        <v>4.1965995535714287</v>
      </c>
      <c r="K296" s="26" t="str">
        <f t="shared" si="35"/>
        <v>Completado</v>
      </c>
      <c r="L296" s="6" t="s">
        <v>326</v>
      </c>
      <c r="M296" s="6" t="s">
        <v>325</v>
      </c>
    </row>
    <row r="297" spans="1:13" x14ac:dyDescent="0.35">
      <c r="A297" s="11" t="s">
        <v>300</v>
      </c>
      <c r="B297" s="11" t="s">
        <v>208</v>
      </c>
      <c r="C297" s="11" t="s">
        <v>171</v>
      </c>
      <c r="D297" s="11" t="s">
        <v>172</v>
      </c>
      <c r="E297" s="15">
        <v>150000</v>
      </c>
      <c r="F297" s="15">
        <v>131120</v>
      </c>
      <c r="G297" s="15">
        <v>0</v>
      </c>
      <c r="H297" s="50">
        <f t="shared" si="32"/>
        <v>131120</v>
      </c>
      <c r="I297" s="60">
        <f t="shared" si="33"/>
        <v>18880</v>
      </c>
      <c r="J297" s="18">
        <f t="shared" si="34"/>
        <v>0.87413333333333332</v>
      </c>
      <c r="K297" s="19" t="str">
        <f t="shared" si="35"/>
        <v>En Progreso</v>
      </c>
      <c r="L297" s="6" t="s">
        <v>328</v>
      </c>
      <c r="M297" s="6" t="s">
        <v>325</v>
      </c>
    </row>
    <row r="298" spans="1:13" x14ac:dyDescent="0.35">
      <c r="A298" s="11" t="s">
        <v>116</v>
      </c>
      <c r="B298" s="11" t="s">
        <v>324</v>
      </c>
      <c r="C298" s="11" t="s">
        <v>23</v>
      </c>
      <c r="D298" s="11" t="s">
        <v>24</v>
      </c>
      <c r="E298" s="15">
        <v>112000</v>
      </c>
      <c r="F298" s="15">
        <v>132990.26</v>
      </c>
      <c r="G298" s="15">
        <v>0</v>
      </c>
      <c r="H298" s="50">
        <f t="shared" si="32"/>
        <v>132990.26</v>
      </c>
      <c r="I298" s="60">
        <f t="shared" si="33"/>
        <v>-20990.260000000009</v>
      </c>
      <c r="J298" s="25">
        <f t="shared" si="34"/>
        <v>1.1874130357142858</v>
      </c>
      <c r="K298" s="26" t="str">
        <f t="shared" si="35"/>
        <v>Completado</v>
      </c>
      <c r="L298" s="6" t="s">
        <v>326</v>
      </c>
      <c r="M298" s="6" t="s">
        <v>325</v>
      </c>
    </row>
    <row r="299" spans="1:13" x14ac:dyDescent="0.35">
      <c r="A299" s="11" t="s">
        <v>292</v>
      </c>
      <c r="B299" s="11" t="s">
        <v>208</v>
      </c>
      <c r="C299" s="11" t="s">
        <v>29</v>
      </c>
      <c r="D299" s="11" t="s">
        <v>30</v>
      </c>
      <c r="E299" s="13">
        <v>144000</v>
      </c>
      <c r="F299" s="13">
        <v>0</v>
      </c>
      <c r="G299" s="13">
        <v>0</v>
      </c>
      <c r="H299" s="50">
        <f t="shared" si="32"/>
        <v>0</v>
      </c>
      <c r="I299" s="60">
        <f t="shared" si="33"/>
        <v>144000</v>
      </c>
      <c r="J299" s="18">
        <f t="shared" si="34"/>
        <v>0</v>
      </c>
      <c r="K299" s="19" t="str">
        <f t="shared" si="35"/>
        <v>Pendiente de ejecutar</v>
      </c>
      <c r="L299" s="6" t="s">
        <v>328</v>
      </c>
      <c r="M299" s="6" t="s">
        <v>325</v>
      </c>
    </row>
    <row r="300" spans="1:13" x14ac:dyDescent="0.35">
      <c r="A300" s="63" t="s">
        <v>205</v>
      </c>
      <c r="B300" s="11" t="s">
        <v>208</v>
      </c>
      <c r="C300" s="20" t="s">
        <v>29</v>
      </c>
      <c r="D300" s="63" t="s">
        <v>30</v>
      </c>
      <c r="E300" s="50">
        <v>143200</v>
      </c>
      <c r="F300" s="50">
        <v>0</v>
      </c>
      <c r="G300" s="50">
        <v>0</v>
      </c>
      <c r="H300" s="50">
        <f t="shared" si="32"/>
        <v>0</v>
      </c>
      <c r="I300" s="60">
        <f t="shared" si="33"/>
        <v>143200</v>
      </c>
      <c r="J300" s="21">
        <f t="shared" si="34"/>
        <v>0</v>
      </c>
      <c r="K300" s="22" t="str">
        <f t="shared" si="35"/>
        <v>Pendiente de ejecutar</v>
      </c>
      <c r="L300" s="6" t="s">
        <v>328</v>
      </c>
      <c r="M300" s="6" t="s">
        <v>325</v>
      </c>
    </row>
    <row r="301" spans="1:13" x14ac:dyDescent="0.35">
      <c r="A301" s="11" t="s">
        <v>128</v>
      </c>
      <c r="B301" s="11" t="s">
        <v>129</v>
      </c>
      <c r="C301" s="11" t="s">
        <v>136</v>
      </c>
      <c r="D301" s="11" t="s">
        <v>137</v>
      </c>
      <c r="E301" s="13">
        <v>142500</v>
      </c>
      <c r="F301" s="13">
        <v>141854.35</v>
      </c>
      <c r="G301" s="13">
        <v>0</v>
      </c>
      <c r="H301" s="50">
        <f t="shared" si="32"/>
        <v>141854.35</v>
      </c>
      <c r="I301" s="60">
        <f t="shared" si="33"/>
        <v>645.64999999999418</v>
      </c>
      <c r="J301" s="18">
        <f t="shared" si="34"/>
        <v>0.9954691228070176</v>
      </c>
      <c r="K301" s="19" t="str">
        <f t="shared" si="35"/>
        <v>En Progreso</v>
      </c>
      <c r="L301" s="6" t="s">
        <v>328</v>
      </c>
      <c r="M301" s="6" t="s">
        <v>325</v>
      </c>
    </row>
    <row r="302" spans="1:13" x14ac:dyDescent="0.35">
      <c r="A302" s="23" t="s">
        <v>154</v>
      </c>
      <c r="B302" s="23" t="s">
        <v>129</v>
      </c>
      <c r="C302" s="23" t="s">
        <v>136</v>
      </c>
      <c r="D302" s="23" t="s">
        <v>137</v>
      </c>
      <c r="E302" s="15">
        <v>142500</v>
      </c>
      <c r="F302" s="15">
        <v>0</v>
      </c>
      <c r="G302" s="15">
        <v>113483.48</v>
      </c>
      <c r="H302" s="50">
        <f t="shared" si="32"/>
        <v>113483.48</v>
      </c>
      <c r="I302" s="60">
        <f t="shared" si="33"/>
        <v>29016.520000000004</v>
      </c>
      <c r="J302" s="25">
        <f t="shared" si="34"/>
        <v>0.79637529824561404</v>
      </c>
      <c r="K302" s="26" t="str">
        <f t="shared" si="35"/>
        <v>En Progreso</v>
      </c>
      <c r="L302" s="6" t="s">
        <v>328</v>
      </c>
      <c r="M302" s="6" t="s">
        <v>325</v>
      </c>
    </row>
    <row r="303" spans="1:13" s="2" customFormat="1" x14ac:dyDescent="0.35">
      <c r="A303" s="70" t="s">
        <v>11</v>
      </c>
      <c r="B303" s="11" t="s">
        <v>324</v>
      </c>
      <c r="C303" s="11" t="s">
        <v>23</v>
      </c>
      <c r="D303" s="11" t="s">
        <v>24</v>
      </c>
      <c r="E303" s="13">
        <v>112000</v>
      </c>
      <c r="F303" s="45">
        <v>50224</v>
      </c>
      <c r="G303" s="13">
        <v>0</v>
      </c>
      <c r="H303" s="50">
        <f t="shared" si="32"/>
        <v>50224</v>
      </c>
      <c r="I303" s="60">
        <f t="shared" si="33"/>
        <v>61776</v>
      </c>
      <c r="J303" s="25">
        <f t="shared" si="34"/>
        <v>0.44842857142857145</v>
      </c>
      <c r="K303" s="26" t="str">
        <f t="shared" si="35"/>
        <v>En Progreso</v>
      </c>
      <c r="L303" s="6" t="s">
        <v>326</v>
      </c>
      <c r="M303" s="6" t="s">
        <v>323</v>
      </c>
    </row>
    <row r="304" spans="1:13" x14ac:dyDescent="0.35">
      <c r="A304" s="23" t="s">
        <v>228</v>
      </c>
      <c r="B304" s="11" t="s">
        <v>208</v>
      </c>
      <c r="C304" s="23" t="s">
        <v>83</v>
      </c>
      <c r="D304" s="23" t="s">
        <v>84</v>
      </c>
      <c r="E304" s="15">
        <v>138500</v>
      </c>
      <c r="F304" s="15">
        <v>81650</v>
      </c>
      <c r="G304" s="15">
        <v>0</v>
      </c>
      <c r="H304" s="50">
        <f t="shared" si="32"/>
        <v>81650</v>
      </c>
      <c r="I304" s="60">
        <f t="shared" si="33"/>
        <v>56850</v>
      </c>
      <c r="J304" s="25">
        <f t="shared" si="34"/>
        <v>0.58953068592057767</v>
      </c>
      <c r="K304" s="26" t="str">
        <f t="shared" si="35"/>
        <v>En Progreso</v>
      </c>
      <c r="L304" s="6" t="s">
        <v>326</v>
      </c>
      <c r="M304" s="6" t="s">
        <v>325</v>
      </c>
    </row>
    <row r="305" spans="1:13" x14ac:dyDescent="0.35">
      <c r="A305" s="11" t="s">
        <v>230</v>
      </c>
      <c r="B305" s="11" t="s">
        <v>208</v>
      </c>
      <c r="C305" s="11" t="s">
        <v>83</v>
      </c>
      <c r="D305" s="11" t="s">
        <v>84</v>
      </c>
      <c r="E305" s="15">
        <v>138500</v>
      </c>
      <c r="F305" s="15">
        <v>124050</v>
      </c>
      <c r="G305" s="15"/>
      <c r="H305" s="50">
        <f t="shared" si="32"/>
        <v>124050</v>
      </c>
      <c r="I305" s="60">
        <f t="shared" si="33"/>
        <v>14450</v>
      </c>
      <c r="J305" s="18">
        <f t="shared" ref="J305:J336" si="36">IFERROR(H305/E305,0)</f>
        <v>0.89566787003610104</v>
      </c>
      <c r="K305" s="19" t="str">
        <f t="shared" ref="K305:K336" si="37">IF(E305=0,"Sin Plan",IF(J305&gt;=1,"Completado",IF(J305&gt;0.001,"En Progreso","Pendiente de ejecutar")))</f>
        <v>En Progreso</v>
      </c>
      <c r="L305" s="6" t="s">
        <v>326</v>
      </c>
      <c r="M305" s="6" t="s">
        <v>325</v>
      </c>
    </row>
    <row r="306" spans="1:13" x14ac:dyDescent="0.35">
      <c r="A306" s="23" t="s">
        <v>186</v>
      </c>
      <c r="B306" s="11" t="s">
        <v>208</v>
      </c>
      <c r="C306" s="23" t="s">
        <v>96</v>
      </c>
      <c r="D306" s="23" t="s">
        <v>97</v>
      </c>
      <c r="E306" s="15">
        <v>136000</v>
      </c>
      <c r="F306" s="51">
        <v>0</v>
      </c>
      <c r="G306" s="51">
        <v>0</v>
      </c>
      <c r="H306" s="50">
        <f t="shared" si="32"/>
        <v>0</v>
      </c>
      <c r="I306" s="60">
        <f t="shared" si="33"/>
        <v>136000</v>
      </c>
      <c r="J306" s="25">
        <f t="shared" si="36"/>
        <v>0</v>
      </c>
      <c r="K306" s="26" t="str">
        <f t="shared" si="37"/>
        <v>Pendiente de ejecutar</v>
      </c>
      <c r="L306" s="6" t="s">
        <v>328</v>
      </c>
      <c r="M306" s="6" t="s">
        <v>325</v>
      </c>
    </row>
    <row r="307" spans="1:13" x14ac:dyDescent="0.35">
      <c r="A307" s="11" t="s">
        <v>106</v>
      </c>
      <c r="B307" s="11" t="s">
        <v>324</v>
      </c>
      <c r="C307" s="27"/>
      <c r="D307" s="28" t="s">
        <v>24</v>
      </c>
      <c r="E307" s="15"/>
      <c r="F307" s="15"/>
      <c r="G307" s="16">
        <v>267560</v>
      </c>
      <c r="H307" s="50">
        <f t="shared" si="32"/>
        <v>267560</v>
      </c>
      <c r="I307" s="60">
        <f t="shared" si="33"/>
        <v>-267560</v>
      </c>
      <c r="J307" s="25">
        <f t="shared" si="36"/>
        <v>0</v>
      </c>
      <c r="K307" s="26" t="str">
        <f t="shared" si="37"/>
        <v>Sin Plan</v>
      </c>
      <c r="L307" s="6" t="s">
        <v>326</v>
      </c>
      <c r="M307" s="6" t="s">
        <v>323</v>
      </c>
    </row>
    <row r="308" spans="1:13" x14ac:dyDescent="0.35">
      <c r="A308" s="20" t="s">
        <v>111</v>
      </c>
      <c r="B308" s="11" t="s">
        <v>324</v>
      </c>
      <c r="C308" s="12"/>
      <c r="D308" s="30" t="s">
        <v>24</v>
      </c>
      <c r="E308" s="13"/>
      <c r="F308" s="16"/>
      <c r="G308" s="31">
        <v>320721.71000000002</v>
      </c>
      <c r="H308" s="50">
        <f t="shared" si="32"/>
        <v>320721.71000000002</v>
      </c>
      <c r="I308" s="60">
        <f t="shared" si="33"/>
        <v>-320721.71000000002</v>
      </c>
      <c r="J308" s="25">
        <f t="shared" si="36"/>
        <v>0</v>
      </c>
      <c r="K308" s="26" t="str">
        <f t="shared" si="37"/>
        <v>Sin Plan</v>
      </c>
      <c r="L308" s="6" t="s">
        <v>326</v>
      </c>
      <c r="M308" s="6" t="s">
        <v>323</v>
      </c>
    </row>
    <row r="309" spans="1:13" x14ac:dyDescent="0.35">
      <c r="A309" s="20" t="s">
        <v>52</v>
      </c>
      <c r="B309" s="11" t="s">
        <v>324</v>
      </c>
      <c r="C309" s="20" t="s">
        <v>39</v>
      </c>
      <c r="D309" s="20" t="s">
        <v>40</v>
      </c>
      <c r="E309" s="13">
        <v>2049812</v>
      </c>
      <c r="F309" s="13">
        <v>31946.11</v>
      </c>
      <c r="G309" s="13">
        <v>171600</v>
      </c>
      <c r="H309" s="50">
        <f t="shared" si="32"/>
        <v>203546.11</v>
      </c>
      <c r="I309" s="60">
        <f t="shared" si="33"/>
        <v>1846265.8900000001</v>
      </c>
      <c r="J309" s="25">
        <f t="shared" si="36"/>
        <v>9.9299891892524778E-2</v>
      </c>
      <c r="K309" s="26" t="str">
        <f t="shared" si="37"/>
        <v>En Progreso</v>
      </c>
      <c r="L309" s="6" t="s">
        <v>326</v>
      </c>
      <c r="M309" s="6" t="s">
        <v>325</v>
      </c>
    </row>
    <row r="310" spans="1:13" x14ac:dyDescent="0.35">
      <c r="A310" s="11" t="s">
        <v>82</v>
      </c>
      <c r="B310" s="11" t="s">
        <v>324</v>
      </c>
      <c r="C310" s="11" t="s">
        <v>39</v>
      </c>
      <c r="D310" s="11" t="s">
        <v>40</v>
      </c>
      <c r="E310" s="13">
        <v>1872500</v>
      </c>
      <c r="F310" s="13">
        <v>0</v>
      </c>
      <c r="G310" s="16">
        <v>2093961.33</v>
      </c>
      <c r="H310" s="50">
        <f t="shared" si="32"/>
        <v>2093961.33</v>
      </c>
      <c r="I310" s="60">
        <f t="shared" si="33"/>
        <v>-221461.33000000007</v>
      </c>
      <c r="J310" s="25">
        <f t="shared" si="36"/>
        <v>1.1182704032042725</v>
      </c>
      <c r="K310" s="26" t="str">
        <f t="shared" si="37"/>
        <v>Completado</v>
      </c>
      <c r="L310" s="6" t="s">
        <v>326</v>
      </c>
      <c r="M310" s="6" t="s">
        <v>325</v>
      </c>
    </row>
    <row r="311" spans="1:13" x14ac:dyDescent="0.35">
      <c r="A311" s="11" t="s">
        <v>94</v>
      </c>
      <c r="B311" s="11" t="s">
        <v>324</v>
      </c>
      <c r="C311" s="11" t="s">
        <v>13</v>
      </c>
      <c r="D311" s="11" t="s">
        <v>14</v>
      </c>
      <c r="E311" s="13">
        <v>685000</v>
      </c>
      <c r="F311" s="13">
        <v>0</v>
      </c>
      <c r="G311" s="13">
        <v>865300</v>
      </c>
      <c r="H311" s="50">
        <f t="shared" si="32"/>
        <v>865300</v>
      </c>
      <c r="I311" s="60">
        <f t="shared" si="33"/>
        <v>-180300</v>
      </c>
      <c r="J311" s="25">
        <f t="shared" si="36"/>
        <v>1.2632116788321168</v>
      </c>
      <c r="K311" s="26" t="str">
        <f t="shared" si="37"/>
        <v>Completado</v>
      </c>
      <c r="L311" s="6" t="s">
        <v>328</v>
      </c>
      <c r="M311" s="6" t="s">
        <v>325</v>
      </c>
    </row>
    <row r="312" spans="1:13" x14ac:dyDescent="0.35">
      <c r="A312" s="11" t="s">
        <v>42</v>
      </c>
      <c r="B312" s="11" t="s">
        <v>324</v>
      </c>
      <c r="C312" s="11" t="s">
        <v>39</v>
      </c>
      <c r="D312" s="11" t="s">
        <v>40</v>
      </c>
      <c r="E312" s="15">
        <v>1080000</v>
      </c>
      <c r="F312" s="15">
        <v>783656.43</v>
      </c>
      <c r="G312" s="15">
        <v>0</v>
      </c>
      <c r="H312" s="50">
        <f t="shared" si="32"/>
        <v>783656.43</v>
      </c>
      <c r="I312" s="60">
        <f t="shared" si="33"/>
        <v>296343.56999999995</v>
      </c>
      <c r="J312" s="25">
        <f t="shared" si="36"/>
        <v>0.7256078055555556</v>
      </c>
      <c r="K312" s="26" t="str">
        <f t="shared" si="37"/>
        <v>En Progreso</v>
      </c>
      <c r="L312" s="6" t="s">
        <v>326</v>
      </c>
      <c r="M312" s="6" t="s">
        <v>325</v>
      </c>
    </row>
    <row r="313" spans="1:13" x14ac:dyDescent="0.35">
      <c r="A313" s="11" t="s">
        <v>109</v>
      </c>
      <c r="B313" s="11" t="s">
        <v>324</v>
      </c>
      <c r="C313" s="11" t="s">
        <v>39</v>
      </c>
      <c r="D313" s="11" t="s">
        <v>40</v>
      </c>
      <c r="E313" s="15">
        <v>655465.19999999995</v>
      </c>
      <c r="F313" s="15">
        <v>152858.07999999999</v>
      </c>
      <c r="G313" s="15">
        <v>0</v>
      </c>
      <c r="H313" s="50">
        <f t="shared" si="32"/>
        <v>152858.07999999999</v>
      </c>
      <c r="I313" s="60">
        <f t="shared" si="33"/>
        <v>502607.12</v>
      </c>
      <c r="J313" s="25">
        <f t="shared" si="36"/>
        <v>0.233205485203486</v>
      </c>
      <c r="K313" s="26" t="str">
        <f t="shared" si="37"/>
        <v>En Progreso</v>
      </c>
      <c r="L313" s="6" t="s">
        <v>326</v>
      </c>
      <c r="M313" s="6" t="s">
        <v>325</v>
      </c>
    </row>
    <row r="314" spans="1:13" x14ac:dyDescent="0.35">
      <c r="A314" s="11" t="s">
        <v>87</v>
      </c>
      <c r="B314" s="11" t="s">
        <v>324</v>
      </c>
      <c r="C314" s="11" t="s">
        <v>39</v>
      </c>
      <c r="D314" s="11" t="s">
        <v>40</v>
      </c>
      <c r="E314" s="13">
        <v>530000</v>
      </c>
      <c r="F314" s="13">
        <v>380758.84</v>
      </c>
      <c r="G314" s="13"/>
      <c r="H314" s="50">
        <f t="shared" si="32"/>
        <v>380758.84</v>
      </c>
      <c r="I314" s="60">
        <f t="shared" si="33"/>
        <v>149241.15999999997</v>
      </c>
      <c r="J314" s="25">
        <f t="shared" si="36"/>
        <v>0.71841290566037741</v>
      </c>
      <c r="K314" s="26" t="str">
        <f t="shared" si="37"/>
        <v>En Progreso</v>
      </c>
      <c r="L314" s="6" t="s">
        <v>326</v>
      </c>
      <c r="M314" s="6" t="s">
        <v>325</v>
      </c>
    </row>
    <row r="315" spans="1:13" x14ac:dyDescent="0.35">
      <c r="A315" s="11" t="s">
        <v>114</v>
      </c>
      <c r="B315" s="11" t="s">
        <v>324</v>
      </c>
      <c r="C315" s="11" t="s">
        <v>39</v>
      </c>
      <c r="D315" s="11" t="s">
        <v>40</v>
      </c>
      <c r="E315" s="15">
        <v>514800</v>
      </c>
      <c r="F315" s="15"/>
      <c r="G315" s="15">
        <v>345050</v>
      </c>
      <c r="H315" s="50">
        <f t="shared" si="32"/>
        <v>345050</v>
      </c>
      <c r="I315" s="60">
        <f t="shared" si="33"/>
        <v>169750</v>
      </c>
      <c r="J315" s="25">
        <f t="shared" si="36"/>
        <v>0.67026029526029529</v>
      </c>
      <c r="K315" s="26" t="str">
        <f t="shared" si="37"/>
        <v>En Progreso</v>
      </c>
      <c r="L315" s="6" t="s">
        <v>326</v>
      </c>
      <c r="M315" s="6" t="s">
        <v>325</v>
      </c>
    </row>
    <row r="316" spans="1:13" x14ac:dyDescent="0.35">
      <c r="A316" s="23" t="s">
        <v>94</v>
      </c>
      <c r="B316" s="11" t="s">
        <v>324</v>
      </c>
      <c r="C316" s="23" t="s">
        <v>96</v>
      </c>
      <c r="D316" s="23" t="s">
        <v>335</v>
      </c>
      <c r="E316" s="15">
        <v>0</v>
      </c>
      <c r="F316" s="16">
        <v>302580</v>
      </c>
      <c r="G316" s="15">
        <v>0</v>
      </c>
      <c r="H316" s="50">
        <f t="shared" si="32"/>
        <v>302580</v>
      </c>
      <c r="I316" s="60">
        <f t="shared" si="33"/>
        <v>-302580</v>
      </c>
      <c r="J316" s="25">
        <f t="shared" si="36"/>
        <v>0</v>
      </c>
      <c r="K316" s="26" t="str">
        <f t="shared" si="37"/>
        <v>Sin Plan</v>
      </c>
      <c r="L316" s="6" t="s">
        <v>328</v>
      </c>
      <c r="M316" s="6" t="s">
        <v>323</v>
      </c>
    </row>
    <row r="317" spans="1:13" x14ac:dyDescent="0.35">
      <c r="A317" s="63" t="s">
        <v>121</v>
      </c>
      <c r="B317" s="38" t="s">
        <v>324</v>
      </c>
      <c r="C317" s="20" t="s">
        <v>39</v>
      </c>
      <c r="D317" s="63" t="s">
        <v>40</v>
      </c>
      <c r="E317" s="50">
        <v>450000</v>
      </c>
      <c r="F317" s="50">
        <v>0</v>
      </c>
      <c r="G317" s="50">
        <v>0</v>
      </c>
      <c r="H317" s="50">
        <f t="shared" si="32"/>
        <v>0</v>
      </c>
      <c r="I317" s="60">
        <f t="shared" si="33"/>
        <v>450000</v>
      </c>
      <c r="J317" s="96">
        <f t="shared" si="36"/>
        <v>0</v>
      </c>
      <c r="K317" s="97" t="str">
        <f t="shared" si="37"/>
        <v>Pendiente de ejecutar</v>
      </c>
      <c r="L317" s="94" t="s">
        <v>326</v>
      </c>
      <c r="M317" s="6" t="s">
        <v>325</v>
      </c>
    </row>
    <row r="318" spans="1:13" x14ac:dyDescent="0.35">
      <c r="A318" s="11" t="s">
        <v>36</v>
      </c>
      <c r="B318" s="11" t="s">
        <v>324</v>
      </c>
      <c r="C318" s="11" t="s">
        <v>39</v>
      </c>
      <c r="D318" s="11" t="s">
        <v>40</v>
      </c>
      <c r="E318" s="13">
        <v>435000</v>
      </c>
      <c r="F318" s="13">
        <v>326891.09999999998</v>
      </c>
      <c r="G318" s="13">
        <v>0</v>
      </c>
      <c r="H318" s="50">
        <f t="shared" si="32"/>
        <v>326891.09999999998</v>
      </c>
      <c r="I318" s="60">
        <f t="shared" si="33"/>
        <v>108108.90000000002</v>
      </c>
      <c r="J318" s="25">
        <f t="shared" si="36"/>
        <v>0.7514737931034482</v>
      </c>
      <c r="K318" s="26" t="str">
        <f t="shared" si="37"/>
        <v>En Progreso</v>
      </c>
      <c r="L318" s="6" t="s">
        <v>326</v>
      </c>
      <c r="M318" s="6" t="s">
        <v>325</v>
      </c>
    </row>
    <row r="319" spans="1:13" x14ac:dyDescent="0.35">
      <c r="A319" s="20" t="s">
        <v>116</v>
      </c>
      <c r="B319" s="11" t="s">
        <v>324</v>
      </c>
      <c r="C319" s="20" t="s">
        <v>39</v>
      </c>
      <c r="D319" s="20" t="s">
        <v>40</v>
      </c>
      <c r="E319" s="13">
        <v>176160</v>
      </c>
      <c r="F319" s="13">
        <v>235610.58</v>
      </c>
      <c r="G319" s="13">
        <v>0</v>
      </c>
      <c r="H319" s="50">
        <f t="shared" si="32"/>
        <v>235610.58</v>
      </c>
      <c r="I319" s="60">
        <f t="shared" si="33"/>
        <v>-59450.579999999987</v>
      </c>
      <c r="J319" s="25">
        <f t="shared" si="36"/>
        <v>1.3374805858310626</v>
      </c>
      <c r="K319" s="26" t="str">
        <f t="shared" si="37"/>
        <v>Completado</v>
      </c>
      <c r="L319" s="6" t="s">
        <v>326</v>
      </c>
      <c r="M319" s="6" t="s">
        <v>325</v>
      </c>
    </row>
    <row r="320" spans="1:13" x14ac:dyDescent="0.35">
      <c r="A320" s="20" t="s">
        <v>262</v>
      </c>
      <c r="B320" s="11" t="s">
        <v>208</v>
      </c>
      <c r="C320" s="20" t="s">
        <v>136</v>
      </c>
      <c r="D320" s="20" t="s">
        <v>137</v>
      </c>
      <c r="E320" s="13">
        <v>131500</v>
      </c>
      <c r="F320" s="13">
        <v>129147.68</v>
      </c>
      <c r="G320" s="13">
        <v>0</v>
      </c>
      <c r="H320" s="50">
        <f t="shared" si="32"/>
        <v>129147.68</v>
      </c>
      <c r="I320" s="60">
        <f t="shared" si="33"/>
        <v>2352.320000000007</v>
      </c>
      <c r="J320" s="21">
        <f t="shared" si="36"/>
        <v>0.98211163498098852</v>
      </c>
      <c r="K320" s="22" t="str">
        <f t="shared" si="37"/>
        <v>En Progreso</v>
      </c>
      <c r="L320" s="6" t="s">
        <v>328</v>
      </c>
      <c r="M320" s="6" t="s">
        <v>325</v>
      </c>
    </row>
    <row r="321" spans="1:13" x14ac:dyDescent="0.35">
      <c r="A321" s="63" t="s">
        <v>86</v>
      </c>
      <c r="B321" s="38" t="s">
        <v>324</v>
      </c>
      <c r="C321" s="20" t="s">
        <v>39</v>
      </c>
      <c r="D321" s="63" t="s">
        <v>40</v>
      </c>
      <c r="E321" s="50">
        <v>147392</v>
      </c>
      <c r="F321" s="50">
        <v>0</v>
      </c>
      <c r="G321" s="50">
        <v>0</v>
      </c>
      <c r="H321" s="50">
        <f t="shared" si="32"/>
        <v>0</v>
      </c>
      <c r="I321" s="60">
        <f t="shared" si="33"/>
        <v>147392</v>
      </c>
      <c r="J321" s="96">
        <f t="shared" si="36"/>
        <v>0</v>
      </c>
      <c r="K321" s="97" t="str">
        <f t="shared" si="37"/>
        <v>Pendiente de ejecutar</v>
      </c>
      <c r="L321" s="94" t="s">
        <v>326</v>
      </c>
      <c r="M321" s="6" t="s">
        <v>325</v>
      </c>
    </row>
    <row r="322" spans="1:13" x14ac:dyDescent="0.35">
      <c r="A322" s="20" t="s">
        <v>192</v>
      </c>
      <c r="B322" s="11" t="s">
        <v>208</v>
      </c>
      <c r="C322" s="20" t="s">
        <v>197</v>
      </c>
      <c r="D322" s="20" t="s">
        <v>198</v>
      </c>
      <c r="E322" s="13">
        <v>130000</v>
      </c>
      <c r="F322" s="13">
        <v>0</v>
      </c>
      <c r="G322" s="13">
        <v>0</v>
      </c>
      <c r="H322" s="50">
        <f t="shared" ref="H322:H385" si="38">F322+G322</f>
        <v>0</v>
      </c>
      <c r="I322" s="60">
        <f t="shared" ref="I322:I385" si="39">E322-H322</f>
        <v>130000</v>
      </c>
      <c r="J322" s="21">
        <f t="shared" si="36"/>
        <v>0</v>
      </c>
      <c r="K322" s="22" t="str">
        <f t="shared" si="37"/>
        <v>Pendiente de ejecutar</v>
      </c>
      <c r="L322" s="6" t="s">
        <v>328</v>
      </c>
      <c r="M322" s="6" t="s">
        <v>325</v>
      </c>
    </row>
    <row r="323" spans="1:13" x14ac:dyDescent="0.35">
      <c r="A323" s="23" t="s">
        <v>202</v>
      </c>
      <c r="B323" s="11" t="s">
        <v>208</v>
      </c>
      <c r="C323" s="23" t="s">
        <v>197</v>
      </c>
      <c r="D323" s="23" t="s">
        <v>198</v>
      </c>
      <c r="E323" s="46">
        <v>130000</v>
      </c>
      <c r="F323" s="15">
        <v>98659.839999999997</v>
      </c>
      <c r="G323" s="15">
        <v>0</v>
      </c>
      <c r="H323" s="50">
        <f t="shared" si="38"/>
        <v>98659.839999999997</v>
      </c>
      <c r="I323" s="60">
        <f t="shared" si="39"/>
        <v>31340.160000000003</v>
      </c>
      <c r="J323" s="25">
        <f t="shared" si="36"/>
        <v>0.75892184615384617</v>
      </c>
      <c r="K323" s="26" t="str">
        <f t="shared" si="37"/>
        <v>En Progreso</v>
      </c>
      <c r="L323" s="6" t="s">
        <v>328</v>
      </c>
      <c r="M323" s="6" t="s">
        <v>325</v>
      </c>
    </row>
    <row r="324" spans="1:13" x14ac:dyDescent="0.35">
      <c r="A324" s="11" t="s">
        <v>229</v>
      </c>
      <c r="B324" s="11" t="s">
        <v>208</v>
      </c>
      <c r="C324" s="11" t="s">
        <v>197</v>
      </c>
      <c r="D324" s="11" t="s">
        <v>198</v>
      </c>
      <c r="E324" s="15">
        <v>130000</v>
      </c>
      <c r="F324" s="15">
        <v>98659.839999999997</v>
      </c>
      <c r="G324" s="15">
        <v>0</v>
      </c>
      <c r="H324" s="50">
        <f t="shared" si="38"/>
        <v>98659.839999999997</v>
      </c>
      <c r="I324" s="60">
        <f t="shared" si="39"/>
        <v>31340.160000000003</v>
      </c>
      <c r="J324" s="18">
        <f t="shared" si="36"/>
        <v>0.75892184615384617</v>
      </c>
      <c r="K324" s="19" t="str">
        <f t="shared" si="37"/>
        <v>En Progreso</v>
      </c>
      <c r="L324" s="6" t="s">
        <v>328</v>
      </c>
      <c r="M324" s="6" t="s">
        <v>325</v>
      </c>
    </row>
    <row r="325" spans="1:13" x14ac:dyDescent="0.35">
      <c r="A325" s="11" t="s">
        <v>286</v>
      </c>
      <c r="B325" s="11" t="s">
        <v>208</v>
      </c>
      <c r="C325" s="11" t="s">
        <v>197</v>
      </c>
      <c r="D325" s="11" t="s">
        <v>198</v>
      </c>
      <c r="E325" s="13">
        <v>130000</v>
      </c>
      <c r="F325" s="13">
        <v>98659.839999999997</v>
      </c>
      <c r="G325" s="13">
        <v>0</v>
      </c>
      <c r="H325" s="50">
        <f t="shared" si="38"/>
        <v>98659.839999999997</v>
      </c>
      <c r="I325" s="60">
        <f t="shared" si="39"/>
        <v>31340.160000000003</v>
      </c>
      <c r="J325" s="18">
        <f t="shared" si="36"/>
        <v>0.75892184615384617</v>
      </c>
      <c r="K325" s="19" t="str">
        <f t="shared" si="37"/>
        <v>En Progreso</v>
      </c>
      <c r="L325" s="6" t="s">
        <v>328</v>
      </c>
      <c r="M325" s="6" t="s">
        <v>325</v>
      </c>
    </row>
    <row r="326" spans="1:13" x14ac:dyDescent="0.35">
      <c r="A326" s="20" t="s">
        <v>297</v>
      </c>
      <c r="B326" s="11" t="s">
        <v>208</v>
      </c>
      <c r="C326" s="20" t="s">
        <v>197</v>
      </c>
      <c r="D326" s="20" t="s">
        <v>198</v>
      </c>
      <c r="E326" s="13">
        <v>130000</v>
      </c>
      <c r="F326" s="13">
        <v>98659.839999999997</v>
      </c>
      <c r="G326" s="13">
        <v>0</v>
      </c>
      <c r="H326" s="50">
        <f t="shared" si="38"/>
        <v>98659.839999999997</v>
      </c>
      <c r="I326" s="60">
        <f t="shared" si="39"/>
        <v>31340.160000000003</v>
      </c>
      <c r="J326" s="21">
        <f t="shared" si="36"/>
        <v>0.75892184615384617</v>
      </c>
      <c r="K326" s="22" t="str">
        <f t="shared" si="37"/>
        <v>En Progreso</v>
      </c>
      <c r="L326" s="6" t="s">
        <v>328</v>
      </c>
      <c r="M326" s="6" t="s">
        <v>325</v>
      </c>
    </row>
    <row r="327" spans="1:13" x14ac:dyDescent="0.35">
      <c r="A327" s="11" t="s">
        <v>106</v>
      </c>
      <c r="B327" s="11" t="s">
        <v>324</v>
      </c>
      <c r="C327" s="11" t="s">
        <v>39</v>
      </c>
      <c r="D327" s="11" t="s">
        <v>40</v>
      </c>
      <c r="E327" s="13">
        <v>140870.39999999999</v>
      </c>
      <c r="F327" s="13">
        <v>114515</v>
      </c>
      <c r="G327" s="13">
        <v>0</v>
      </c>
      <c r="H327" s="50">
        <f t="shared" si="38"/>
        <v>114515</v>
      </c>
      <c r="I327" s="60">
        <f t="shared" si="39"/>
        <v>26355.399999999994</v>
      </c>
      <c r="J327" s="25">
        <f t="shared" si="36"/>
        <v>0.81291030621053117</v>
      </c>
      <c r="K327" s="26" t="str">
        <f t="shared" si="37"/>
        <v>En Progreso</v>
      </c>
      <c r="L327" s="6" t="s">
        <v>326</v>
      </c>
      <c r="M327" s="6" t="s">
        <v>325</v>
      </c>
    </row>
    <row r="328" spans="1:13" x14ac:dyDescent="0.35">
      <c r="A328" s="20" t="s">
        <v>222</v>
      </c>
      <c r="B328" s="11" t="s">
        <v>208</v>
      </c>
      <c r="C328" s="20" t="s">
        <v>27</v>
      </c>
      <c r="D328" s="20" t="s">
        <v>28</v>
      </c>
      <c r="E328" s="13">
        <v>128000</v>
      </c>
      <c r="F328" s="13">
        <v>0</v>
      </c>
      <c r="G328" s="13">
        <v>0</v>
      </c>
      <c r="H328" s="50">
        <f t="shared" si="38"/>
        <v>0</v>
      </c>
      <c r="I328" s="60">
        <f t="shared" si="39"/>
        <v>128000</v>
      </c>
      <c r="J328" s="21">
        <f t="shared" si="36"/>
        <v>0</v>
      </c>
      <c r="K328" s="22" t="str">
        <f t="shared" si="37"/>
        <v>Pendiente de ejecutar</v>
      </c>
      <c r="L328" s="6" t="s">
        <v>328</v>
      </c>
      <c r="M328" s="6" t="s">
        <v>325</v>
      </c>
    </row>
    <row r="329" spans="1:13" x14ac:dyDescent="0.35">
      <c r="A329" s="11" t="s">
        <v>245</v>
      </c>
      <c r="B329" s="11" t="s">
        <v>208</v>
      </c>
      <c r="C329" s="11" t="s">
        <v>95</v>
      </c>
      <c r="D329" s="11" t="s">
        <v>75</v>
      </c>
      <c r="E329" s="13">
        <v>127500</v>
      </c>
      <c r="F329" s="13">
        <v>0</v>
      </c>
      <c r="G329" s="13">
        <v>0</v>
      </c>
      <c r="H329" s="50">
        <f t="shared" si="38"/>
        <v>0</v>
      </c>
      <c r="I329" s="60">
        <f t="shared" si="39"/>
        <v>127500</v>
      </c>
      <c r="J329" s="18">
        <f t="shared" si="36"/>
        <v>0</v>
      </c>
      <c r="K329" s="19" t="str">
        <f t="shared" si="37"/>
        <v>Pendiente de ejecutar</v>
      </c>
      <c r="L329" s="6" t="s">
        <v>328</v>
      </c>
      <c r="M329" s="6" t="s">
        <v>325</v>
      </c>
    </row>
    <row r="330" spans="1:13" x14ac:dyDescent="0.35">
      <c r="A330" s="23" t="s">
        <v>111</v>
      </c>
      <c r="B330" s="11" t="s">
        <v>324</v>
      </c>
      <c r="C330" s="23" t="s">
        <v>39</v>
      </c>
      <c r="D330" s="23" t="s">
        <v>40</v>
      </c>
      <c r="E330" s="15">
        <v>0</v>
      </c>
      <c r="F330" s="15">
        <v>300210.71999999997</v>
      </c>
      <c r="G330" s="15">
        <v>0</v>
      </c>
      <c r="H330" s="50">
        <f t="shared" si="38"/>
        <v>300210.71999999997</v>
      </c>
      <c r="I330" s="60">
        <f t="shared" si="39"/>
        <v>-300210.71999999997</v>
      </c>
      <c r="J330" s="25">
        <f t="shared" si="36"/>
        <v>0</v>
      </c>
      <c r="K330" s="26" t="str">
        <f t="shared" si="37"/>
        <v>Sin Plan</v>
      </c>
      <c r="L330" s="6" t="s">
        <v>326</v>
      </c>
      <c r="M330" s="6" t="s">
        <v>323</v>
      </c>
    </row>
    <row r="331" spans="1:13" x14ac:dyDescent="0.35">
      <c r="A331" s="11" t="s">
        <v>94</v>
      </c>
      <c r="B331" s="11" t="s">
        <v>324</v>
      </c>
      <c r="C331" s="11" t="s">
        <v>47</v>
      </c>
      <c r="D331" s="11" t="s">
        <v>48</v>
      </c>
      <c r="E331" s="13">
        <v>126000</v>
      </c>
      <c r="F331" s="13">
        <v>0</v>
      </c>
      <c r="G331" s="13">
        <v>246624.75</v>
      </c>
      <c r="H331" s="50">
        <f t="shared" si="38"/>
        <v>246624.75</v>
      </c>
      <c r="I331" s="60">
        <f t="shared" si="39"/>
        <v>-120624.75</v>
      </c>
      <c r="J331" s="25">
        <f t="shared" si="36"/>
        <v>1.9573392857142857</v>
      </c>
      <c r="K331" s="26" t="str">
        <f t="shared" si="37"/>
        <v>Completado</v>
      </c>
      <c r="L331" s="6" t="s">
        <v>328</v>
      </c>
      <c r="M331" s="6" t="s">
        <v>325</v>
      </c>
    </row>
    <row r="332" spans="1:13" x14ac:dyDescent="0.35">
      <c r="A332" s="23" t="s">
        <v>94</v>
      </c>
      <c r="B332" s="11" t="s">
        <v>324</v>
      </c>
      <c r="C332" s="23" t="s">
        <v>27</v>
      </c>
      <c r="D332" s="23" t="s">
        <v>28</v>
      </c>
      <c r="E332" s="15">
        <v>356000</v>
      </c>
      <c r="F332" s="15">
        <v>0</v>
      </c>
      <c r="G332" s="15">
        <v>116499.8</v>
      </c>
      <c r="H332" s="50">
        <f t="shared" si="38"/>
        <v>116499.8</v>
      </c>
      <c r="I332" s="60">
        <f t="shared" si="39"/>
        <v>239500.2</v>
      </c>
      <c r="J332" s="25">
        <f t="shared" si="36"/>
        <v>0.32724662921348313</v>
      </c>
      <c r="K332" s="26" t="str">
        <f t="shared" si="37"/>
        <v>En Progreso</v>
      </c>
      <c r="L332" s="6" t="s">
        <v>328</v>
      </c>
      <c r="M332" s="6" t="s">
        <v>325</v>
      </c>
    </row>
    <row r="333" spans="1:13" x14ac:dyDescent="0.35">
      <c r="A333" s="11" t="s">
        <v>94</v>
      </c>
      <c r="B333" s="11" t="s">
        <v>324</v>
      </c>
      <c r="C333" s="11" t="s">
        <v>53</v>
      </c>
      <c r="D333" s="11" t="s">
        <v>54</v>
      </c>
      <c r="E333" s="15">
        <v>26000</v>
      </c>
      <c r="F333" s="16">
        <v>25662.27</v>
      </c>
      <c r="G333" s="15">
        <v>0</v>
      </c>
      <c r="H333" s="50">
        <f t="shared" si="38"/>
        <v>25662.27</v>
      </c>
      <c r="I333" s="60">
        <f t="shared" si="39"/>
        <v>337.72999999999956</v>
      </c>
      <c r="J333" s="25">
        <f t="shared" si="36"/>
        <v>0.9870103846153846</v>
      </c>
      <c r="K333" s="26" t="str">
        <f t="shared" si="37"/>
        <v>En Progreso</v>
      </c>
      <c r="L333" s="6" t="s">
        <v>328</v>
      </c>
      <c r="M333" s="6" t="s">
        <v>325</v>
      </c>
    </row>
    <row r="334" spans="1:13" x14ac:dyDescent="0.35">
      <c r="A334" s="11" t="s">
        <v>98</v>
      </c>
      <c r="B334" s="11" t="s">
        <v>324</v>
      </c>
      <c r="C334" s="11" t="s">
        <v>99</v>
      </c>
      <c r="D334" s="11" t="s">
        <v>100</v>
      </c>
      <c r="E334" s="13">
        <v>0</v>
      </c>
      <c r="F334" s="13">
        <v>432987.06</v>
      </c>
      <c r="G334" s="31"/>
      <c r="H334" s="50">
        <f t="shared" si="38"/>
        <v>432987.06</v>
      </c>
      <c r="I334" s="60">
        <f t="shared" si="39"/>
        <v>-432987.06</v>
      </c>
      <c r="J334" s="25">
        <f t="shared" si="36"/>
        <v>0</v>
      </c>
      <c r="K334" s="26" t="str">
        <f t="shared" si="37"/>
        <v>Sin Plan</v>
      </c>
      <c r="L334" s="6" t="s">
        <v>328</v>
      </c>
      <c r="M334" s="6" t="s">
        <v>323</v>
      </c>
    </row>
    <row r="335" spans="1:13" x14ac:dyDescent="0.35">
      <c r="A335" s="23" t="s">
        <v>98</v>
      </c>
      <c r="B335" s="11" t="s">
        <v>324</v>
      </c>
      <c r="C335" s="23" t="s">
        <v>13</v>
      </c>
      <c r="D335" s="23" t="s">
        <v>14</v>
      </c>
      <c r="E335" s="15">
        <v>685000</v>
      </c>
      <c r="F335" s="15">
        <v>0</v>
      </c>
      <c r="G335" s="16">
        <v>827100</v>
      </c>
      <c r="H335" s="50">
        <f t="shared" si="38"/>
        <v>827100</v>
      </c>
      <c r="I335" s="60">
        <f t="shared" si="39"/>
        <v>-142100</v>
      </c>
      <c r="J335" s="25">
        <f t="shared" si="36"/>
        <v>1.2074452554744526</v>
      </c>
      <c r="K335" s="26" t="str">
        <f t="shared" si="37"/>
        <v>Completado</v>
      </c>
      <c r="L335" s="6" t="s">
        <v>328</v>
      </c>
      <c r="M335" s="6" t="s">
        <v>325</v>
      </c>
    </row>
    <row r="336" spans="1:13" x14ac:dyDescent="0.35">
      <c r="A336" s="20" t="s">
        <v>170</v>
      </c>
      <c r="B336" s="11" t="s">
        <v>208</v>
      </c>
      <c r="C336" s="20" t="s">
        <v>47</v>
      </c>
      <c r="D336" s="20" t="s">
        <v>48</v>
      </c>
      <c r="E336" s="13">
        <v>126000</v>
      </c>
      <c r="F336" s="13">
        <v>534229.98</v>
      </c>
      <c r="G336" s="13">
        <v>0</v>
      </c>
      <c r="H336" s="50">
        <f t="shared" si="38"/>
        <v>534229.98</v>
      </c>
      <c r="I336" s="60">
        <f t="shared" si="39"/>
        <v>-408229.98</v>
      </c>
      <c r="J336" s="21">
        <f t="shared" si="36"/>
        <v>4.2399204761904761</v>
      </c>
      <c r="K336" s="22" t="str">
        <f t="shared" si="37"/>
        <v>Completado</v>
      </c>
      <c r="L336" s="6" t="s">
        <v>328</v>
      </c>
      <c r="M336" s="6" t="s">
        <v>325</v>
      </c>
    </row>
    <row r="337" spans="1:13" x14ac:dyDescent="0.35">
      <c r="A337" s="63" t="s">
        <v>205</v>
      </c>
      <c r="B337" s="11" t="s">
        <v>208</v>
      </c>
      <c r="C337" s="20" t="s">
        <v>47</v>
      </c>
      <c r="D337" s="63" t="s">
        <v>48</v>
      </c>
      <c r="E337" s="50">
        <v>126000</v>
      </c>
      <c r="F337" s="50">
        <v>0</v>
      </c>
      <c r="G337" s="50">
        <v>246624.75</v>
      </c>
      <c r="H337" s="50">
        <f t="shared" si="38"/>
        <v>246624.75</v>
      </c>
      <c r="I337" s="60">
        <f t="shared" si="39"/>
        <v>-120624.75</v>
      </c>
      <c r="J337" s="21">
        <f t="shared" ref="J337:J343" si="40">IFERROR(H337/E337,0)</f>
        <v>1.9573392857142857</v>
      </c>
      <c r="K337" s="22" t="str">
        <f t="shared" ref="K337:K343" si="41">IF(E337=0,"Sin Plan",IF(J337&gt;=1,"Completado",IF(J337&gt;0.001,"En Progreso","Pendiente de ejecutar")))</f>
        <v>Completado</v>
      </c>
      <c r="L337" s="6" t="s">
        <v>328</v>
      </c>
      <c r="M337" s="6" t="s">
        <v>325</v>
      </c>
    </row>
    <row r="338" spans="1:13" x14ac:dyDescent="0.35">
      <c r="A338" s="11" t="s">
        <v>212</v>
      </c>
      <c r="B338" s="11" t="s">
        <v>208</v>
      </c>
      <c r="C338" s="11" t="s">
        <v>126</v>
      </c>
      <c r="D338" s="11" t="s">
        <v>127</v>
      </c>
      <c r="E338" s="13">
        <v>126000</v>
      </c>
      <c r="F338" s="13">
        <v>0</v>
      </c>
      <c r="G338" s="13">
        <v>0</v>
      </c>
      <c r="H338" s="50">
        <f t="shared" si="38"/>
        <v>0</v>
      </c>
      <c r="I338" s="60">
        <f t="shared" si="39"/>
        <v>126000</v>
      </c>
      <c r="J338" s="18">
        <f t="shared" si="40"/>
        <v>0</v>
      </c>
      <c r="K338" s="19" t="str">
        <f t="shared" si="41"/>
        <v>Pendiente de ejecutar</v>
      </c>
      <c r="L338" s="6" t="s">
        <v>326</v>
      </c>
      <c r="M338" s="6" t="s">
        <v>325</v>
      </c>
    </row>
    <row r="339" spans="1:13" x14ac:dyDescent="0.35">
      <c r="A339" s="11" t="s">
        <v>301</v>
      </c>
      <c r="B339" s="11" t="s">
        <v>208</v>
      </c>
      <c r="C339" s="11" t="s">
        <v>47</v>
      </c>
      <c r="D339" s="11" t="s">
        <v>48</v>
      </c>
      <c r="E339" s="15">
        <v>126000</v>
      </c>
      <c r="F339" s="15">
        <v>0</v>
      </c>
      <c r="G339" s="15">
        <v>0</v>
      </c>
      <c r="H339" s="50">
        <f t="shared" si="38"/>
        <v>0</v>
      </c>
      <c r="I339" s="60">
        <f t="shared" si="39"/>
        <v>126000</v>
      </c>
      <c r="J339" s="18">
        <f t="shared" si="40"/>
        <v>0</v>
      </c>
      <c r="K339" s="19" t="str">
        <f t="shared" si="41"/>
        <v>Pendiente de ejecutar</v>
      </c>
      <c r="L339" s="6" t="s">
        <v>328</v>
      </c>
      <c r="M339" s="6" t="s">
        <v>325</v>
      </c>
    </row>
    <row r="340" spans="1:13" x14ac:dyDescent="0.35">
      <c r="A340" s="20" t="s">
        <v>290</v>
      </c>
      <c r="B340" s="11" t="s">
        <v>208</v>
      </c>
      <c r="C340" s="20" t="s">
        <v>136</v>
      </c>
      <c r="D340" s="20" t="s">
        <v>137</v>
      </c>
      <c r="E340" s="13">
        <v>124000</v>
      </c>
      <c r="F340" s="13">
        <v>0</v>
      </c>
      <c r="G340" s="13">
        <v>0</v>
      </c>
      <c r="H340" s="50">
        <f t="shared" si="38"/>
        <v>0</v>
      </c>
      <c r="I340" s="60">
        <f t="shared" si="39"/>
        <v>124000</v>
      </c>
      <c r="J340" s="21">
        <f t="shared" si="40"/>
        <v>0</v>
      </c>
      <c r="K340" s="22" t="str">
        <f t="shared" si="41"/>
        <v>Pendiente de ejecutar</v>
      </c>
      <c r="L340" s="6" t="s">
        <v>328</v>
      </c>
      <c r="M340" s="6" t="s">
        <v>325</v>
      </c>
    </row>
    <row r="341" spans="1:13" x14ac:dyDescent="0.35">
      <c r="A341" s="11" t="s">
        <v>98</v>
      </c>
      <c r="B341" s="11" t="s">
        <v>324</v>
      </c>
      <c r="C341" s="11" t="s">
        <v>101</v>
      </c>
      <c r="D341" s="11" t="s">
        <v>102</v>
      </c>
      <c r="E341" s="13">
        <v>0</v>
      </c>
      <c r="F341" s="13">
        <v>68295.77</v>
      </c>
      <c r="G341" s="31"/>
      <c r="H341" s="50">
        <f t="shared" si="38"/>
        <v>68295.77</v>
      </c>
      <c r="I341" s="60">
        <f t="shared" si="39"/>
        <v>-68295.77</v>
      </c>
      <c r="J341" s="25">
        <f t="shared" si="40"/>
        <v>0</v>
      </c>
      <c r="K341" s="26" t="str">
        <f t="shared" si="41"/>
        <v>Sin Plan</v>
      </c>
      <c r="L341" s="6" t="s">
        <v>328</v>
      </c>
      <c r="M341" s="6" t="s">
        <v>323</v>
      </c>
    </row>
    <row r="342" spans="1:13" x14ac:dyDescent="0.35">
      <c r="A342" s="20" t="s">
        <v>98</v>
      </c>
      <c r="B342" s="11" t="s">
        <v>324</v>
      </c>
      <c r="C342" s="20" t="s">
        <v>47</v>
      </c>
      <c r="D342" s="20" t="s">
        <v>48</v>
      </c>
      <c r="E342" s="13">
        <v>132300</v>
      </c>
      <c r="F342" s="13">
        <v>0</v>
      </c>
      <c r="G342" s="16">
        <v>246624.75</v>
      </c>
      <c r="H342" s="50">
        <f t="shared" si="38"/>
        <v>246624.75</v>
      </c>
      <c r="I342" s="60">
        <f t="shared" si="39"/>
        <v>-114324.75</v>
      </c>
      <c r="J342" s="25">
        <f t="shared" si="40"/>
        <v>1.8641326530612246</v>
      </c>
      <c r="K342" s="26" t="str">
        <f t="shared" si="41"/>
        <v>Completado</v>
      </c>
      <c r="L342" s="6" t="s">
        <v>328</v>
      </c>
      <c r="M342" s="6" t="s">
        <v>325</v>
      </c>
    </row>
    <row r="343" spans="1:13" x14ac:dyDescent="0.35">
      <c r="A343" s="70" t="s">
        <v>98</v>
      </c>
      <c r="B343" s="11" t="s">
        <v>324</v>
      </c>
      <c r="C343" s="27"/>
      <c r="D343" s="75" t="s">
        <v>334</v>
      </c>
      <c r="E343" s="15">
        <v>1136355.69</v>
      </c>
      <c r="F343" s="15"/>
      <c r="G343" s="15"/>
      <c r="H343" s="50">
        <f t="shared" si="38"/>
        <v>0</v>
      </c>
      <c r="I343" s="60">
        <f t="shared" si="39"/>
        <v>1136355.69</v>
      </c>
      <c r="J343" s="25">
        <f t="shared" si="40"/>
        <v>0</v>
      </c>
      <c r="K343" s="26" t="str">
        <f t="shared" si="41"/>
        <v>Pendiente de ejecutar</v>
      </c>
      <c r="L343" s="6" t="s">
        <v>328</v>
      </c>
      <c r="M343" s="6"/>
    </row>
    <row r="344" spans="1:13" x14ac:dyDescent="0.35">
      <c r="A344" s="61" t="s">
        <v>246</v>
      </c>
      <c r="B344" s="11" t="s">
        <v>208</v>
      </c>
      <c r="C344" s="37"/>
      <c r="D344" s="64" t="s">
        <v>251</v>
      </c>
      <c r="E344" s="51"/>
      <c r="F344" s="51"/>
      <c r="G344" s="51"/>
      <c r="H344" s="50">
        <f t="shared" si="38"/>
        <v>0</v>
      </c>
      <c r="I344" s="60">
        <f t="shared" si="39"/>
        <v>0</v>
      </c>
      <c r="J344" s="12"/>
      <c r="K344" s="14"/>
      <c r="L344" s="6" t="s">
        <v>328</v>
      </c>
      <c r="M344" s="6" t="s">
        <v>323</v>
      </c>
    </row>
    <row r="345" spans="1:13" x14ac:dyDescent="0.35">
      <c r="A345" s="23" t="s">
        <v>262</v>
      </c>
      <c r="B345" s="11" t="s">
        <v>208</v>
      </c>
      <c r="C345" s="11" t="s">
        <v>47</v>
      </c>
      <c r="D345" s="11" t="s">
        <v>48</v>
      </c>
      <c r="E345" s="15">
        <v>120000</v>
      </c>
      <c r="F345" s="15">
        <v>0</v>
      </c>
      <c r="G345" s="15">
        <v>0</v>
      </c>
      <c r="H345" s="50">
        <f t="shared" si="38"/>
        <v>0</v>
      </c>
      <c r="I345" s="60">
        <f t="shared" si="39"/>
        <v>120000</v>
      </c>
      <c r="J345" s="18">
        <f t="shared" ref="J345:J376" si="42">IFERROR(H345/E345,0)</f>
        <v>0</v>
      </c>
      <c r="K345" s="19" t="str">
        <f t="shared" ref="K345:K376" si="43">IF(E345=0,"Sin Plan",IF(J345&gt;=1,"Completado",IF(J345&gt;0.001,"En Progreso","Pendiente de ejecutar")))</f>
        <v>Pendiente de ejecutar</v>
      </c>
      <c r="L345" s="6" t="s">
        <v>328</v>
      </c>
      <c r="M345" s="6" t="s">
        <v>325</v>
      </c>
    </row>
    <row r="346" spans="1:13" x14ac:dyDescent="0.35">
      <c r="A346" s="20" t="s">
        <v>292</v>
      </c>
      <c r="B346" s="11" t="s">
        <v>208</v>
      </c>
      <c r="C346" s="20" t="s">
        <v>47</v>
      </c>
      <c r="D346" s="20" t="s">
        <v>48</v>
      </c>
      <c r="E346" s="13">
        <v>120000</v>
      </c>
      <c r="F346" s="13">
        <v>0</v>
      </c>
      <c r="G346" s="13">
        <v>246624.75</v>
      </c>
      <c r="H346" s="50">
        <f t="shared" si="38"/>
        <v>246624.75</v>
      </c>
      <c r="I346" s="60">
        <f t="shared" si="39"/>
        <v>-126624.75</v>
      </c>
      <c r="J346" s="21">
        <f t="shared" si="42"/>
        <v>2.0552062499999999</v>
      </c>
      <c r="K346" s="22" t="str">
        <f t="shared" si="43"/>
        <v>Completado</v>
      </c>
      <c r="L346" s="6" t="s">
        <v>328</v>
      </c>
      <c r="M346" s="6" t="s">
        <v>325</v>
      </c>
    </row>
    <row r="347" spans="1:13" s="2" customFormat="1" x14ac:dyDescent="0.35">
      <c r="A347" s="11" t="s">
        <v>258</v>
      </c>
      <c r="B347" s="11" t="s">
        <v>208</v>
      </c>
      <c r="C347" s="11" t="s">
        <v>189</v>
      </c>
      <c r="D347" s="11" t="s">
        <v>190</v>
      </c>
      <c r="E347" s="13">
        <v>115000</v>
      </c>
      <c r="F347" s="13">
        <v>0</v>
      </c>
      <c r="G347" s="13">
        <v>0</v>
      </c>
      <c r="H347" s="50">
        <f t="shared" si="38"/>
        <v>0</v>
      </c>
      <c r="I347" s="60">
        <f t="shared" si="39"/>
        <v>115000</v>
      </c>
      <c r="J347" s="18">
        <f t="shared" si="42"/>
        <v>0</v>
      </c>
      <c r="K347" s="19" t="str">
        <f t="shared" si="43"/>
        <v>Pendiente de ejecutar</v>
      </c>
      <c r="L347" s="6" t="s">
        <v>328</v>
      </c>
      <c r="M347" s="6" t="s">
        <v>325</v>
      </c>
    </row>
    <row r="348" spans="1:13" x14ac:dyDescent="0.35">
      <c r="A348" s="20" t="s">
        <v>104</v>
      </c>
      <c r="B348" s="11" t="s">
        <v>324</v>
      </c>
      <c r="C348" s="20" t="s">
        <v>66</v>
      </c>
      <c r="D348" s="20" t="s">
        <v>67</v>
      </c>
      <c r="E348" s="13">
        <v>285000</v>
      </c>
      <c r="F348" s="13">
        <v>0</v>
      </c>
      <c r="G348" s="13">
        <v>168640.32</v>
      </c>
      <c r="H348" s="50">
        <f t="shared" si="38"/>
        <v>168640.32</v>
      </c>
      <c r="I348" s="60">
        <f t="shared" si="39"/>
        <v>116359.67999999999</v>
      </c>
      <c r="J348" s="25">
        <f t="shared" si="42"/>
        <v>0.59172042105263156</v>
      </c>
      <c r="K348" s="26" t="str">
        <f t="shared" si="43"/>
        <v>En Progreso</v>
      </c>
      <c r="L348" s="6" t="s">
        <v>328</v>
      </c>
      <c r="M348" s="6" t="s">
        <v>325</v>
      </c>
    </row>
    <row r="349" spans="1:13" x14ac:dyDescent="0.35">
      <c r="A349" s="11" t="s">
        <v>186</v>
      </c>
      <c r="B349" s="11" t="s">
        <v>208</v>
      </c>
      <c r="C349" s="11" t="s">
        <v>189</v>
      </c>
      <c r="D349" s="11" t="s">
        <v>190</v>
      </c>
      <c r="E349" s="13">
        <v>114000</v>
      </c>
      <c r="F349" s="50">
        <v>0</v>
      </c>
      <c r="G349" s="50">
        <v>0</v>
      </c>
      <c r="H349" s="50">
        <f t="shared" si="38"/>
        <v>0</v>
      </c>
      <c r="I349" s="60">
        <f t="shared" si="39"/>
        <v>114000</v>
      </c>
      <c r="J349" s="18">
        <f t="shared" si="42"/>
        <v>0</v>
      </c>
      <c r="K349" s="19" t="str">
        <f t="shared" si="43"/>
        <v>Pendiente de ejecutar</v>
      </c>
      <c r="L349" s="6" t="s">
        <v>328</v>
      </c>
      <c r="M349" s="6" t="s">
        <v>325</v>
      </c>
    </row>
    <row r="350" spans="1:13" x14ac:dyDescent="0.35">
      <c r="A350" s="23" t="s">
        <v>212</v>
      </c>
      <c r="B350" s="11" t="s">
        <v>208</v>
      </c>
      <c r="C350" s="23" t="s">
        <v>189</v>
      </c>
      <c r="D350" s="23" t="s">
        <v>190</v>
      </c>
      <c r="E350" s="15">
        <v>114000</v>
      </c>
      <c r="F350" s="15">
        <v>0</v>
      </c>
      <c r="G350" s="15">
        <v>0</v>
      </c>
      <c r="H350" s="50">
        <f t="shared" si="38"/>
        <v>0</v>
      </c>
      <c r="I350" s="60">
        <f t="shared" si="39"/>
        <v>114000</v>
      </c>
      <c r="J350" s="25">
        <f t="shared" si="42"/>
        <v>0</v>
      </c>
      <c r="K350" s="26" t="str">
        <f t="shared" si="43"/>
        <v>Pendiente de ejecutar</v>
      </c>
      <c r="L350" s="6" t="s">
        <v>328</v>
      </c>
      <c r="M350" s="6" t="s">
        <v>325</v>
      </c>
    </row>
    <row r="351" spans="1:13" x14ac:dyDescent="0.35">
      <c r="A351" s="11" t="s">
        <v>104</v>
      </c>
      <c r="B351" s="11" t="s">
        <v>324</v>
      </c>
      <c r="C351" s="11" t="s">
        <v>13</v>
      </c>
      <c r="D351" s="11" t="s">
        <v>14</v>
      </c>
      <c r="E351" s="15">
        <v>685000</v>
      </c>
      <c r="F351" s="15">
        <v>0</v>
      </c>
      <c r="G351" s="15">
        <v>826100</v>
      </c>
      <c r="H351" s="50">
        <f t="shared" si="38"/>
        <v>826100</v>
      </c>
      <c r="I351" s="60">
        <f t="shared" si="39"/>
        <v>-141100</v>
      </c>
      <c r="J351" s="25">
        <f t="shared" si="42"/>
        <v>1.2059854014598541</v>
      </c>
      <c r="K351" s="26" t="str">
        <f t="shared" si="43"/>
        <v>Completado</v>
      </c>
      <c r="L351" s="6" t="s">
        <v>328</v>
      </c>
      <c r="M351" s="6" t="s">
        <v>325</v>
      </c>
    </row>
    <row r="352" spans="1:13" x14ac:dyDescent="0.35">
      <c r="A352" s="11" t="s">
        <v>104</v>
      </c>
      <c r="B352" s="11" t="s">
        <v>324</v>
      </c>
      <c r="C352" s="11" t="s">
        <v>47</v>
      </c>
      <c r="D352" s="11" t="s">
        <v>48</v>
      </c>
      <c r="E352" s="15">
        <v>132300</v>
      </c>
      <c r="F352" s="15">
        <v>137843.10999999999</v>
      </c>
      <c r="G352" s="15">
        <v>0</v>
      </c>
      <c r="H352" s="50">
        <f t="shared" si="38"/>
        <v>137843.10999999999</v>
      </c>
      <c r="I352" s="60">
        <f t="shared" si="39"/>
        <v>-5543.109999999986</v>
      </c>
      <c r="J352" s="25">
        <f t="shared" si="42"/>
        <v>1.0418980347694633</v>
      </c>
      <c r="K352" s="26" t="str">
        <f t="shared" si="43"/>
        <v>Completado</v>
      </c>
      <c r="L352" s="6" t="s">
        <v>328</v>
      </c>
      <c r="M352" s="6" t="s">
        <v>325</v>
      </c>
    </row>
    <row r="353" spans="1:13" x14ac:dyDescent="0.35">
      <c r="A353" s="23" t="s">
        <v>104</v>
      </c>
      <c r="B353" s="11" t="s">
        <v>324</v>
      </c>
      <c r="C353" s="23" t="s">
        <v>53</v>
      </c>
      <c r="D353" s="23" t="s">
        <v>54</v>
      </c>
      <c r="E353" s="15">
        <v>26000</v>
      </c>
      <c r="F353" s="15">
        <v>25662.27</v>
      </c>
      <c r="G353" s="15">
        <v>0</v>
      </c>
      <c r="H353" s="50">
        <f t="shared" si="38"/>
        <v>25662.27</v>
      </c>
      <c r="I353" s="60">
        <f t="shared" si="39"/>
        <v>337.72999999999956</v>
      </c>
      <c r="J353" s="25">
        <f t="shared" si="42"/>
        <v>0.9870103846153846</v>
      </c>
      <c r="K353" s="26" t="str">
        <f t="shared" si="43"/>
        <v>En Progreso</v>
      </c>
      <c r="L353" s="6" t="s">
        <v>328</v>
      </c>
      <c r="M353" s="6" t="s">
        <v>325</v>
      </c>
    </row>
    <row r="354" spans="1:13" x14ac:dyDescent="0.35">
      <c r="A354" s="20" t="s">
        <v>105</v>
      </c>
      <c r="B354" s="11" t="s">
        <v>324</v>
      </c>
      <c r="C354" s="20" t="s">
        <v>37</v>
      </c>
      <c r="D354" s="11" t="s">
        <v>38</v>
      </c>
      <c r="E354" s="13">
        <v>45000</v>
      </c>
      <c r="F354" s="13">
        <v>23075.48</v>
      </c>
      <c r="G354" s="13">
        <v>0</v>
      </c>
      <c r="H354" s="50">
        <f t="shared" si="38"/>
        <v>23075.48</v>
      </c>
      <c r="I354" s="60">
        <f t="shared" si="39"/>
        <v>21924.52</v>
      </c>
      <c r="J354" s="25">
        <f t="shared" si="42"/>
        <v>0.51278844444444438</v>
      </c>
      <c r="K354" s="26" t="str">
        <f t="shared" si="43"/>
        <v>En Progreso</v>
      </c>
      <c r="L354" s="6" t="s">
        <v>328</v>
      </c>
      <c r="M354" s="6" t="s">
        <v>325</v>
      </c>
    </row>
    <row r="355" spans="1:13" x14ac:dyDescent="0.35">
      <c r="A355" s="11" t="s">
        <v>106</v>
      </c>
      <c r="B355" s="11" t="s">
        <v>324</v>
      </c>
      <c r="C355" s="11" t="s">
        <v>13</v>
      </c>
      <c r="D355" s="11" t="s">
        <v>14</v>
      </c>
      <c r="E355" s="15">
        <v>0</v>
      </c>
      <c r="F355" s="15">
        <v>0</v>
      </c>
      <c r="G355" s="15">
        <v>88300</v>
      </c>
      <c r="H355" s="50">
        <f t="shared" si="38"/>
        <v>88300</v>
      </c>
      <c r="I355" s="60">
        <f t="shared" si="39"/>
        <v>-88300</v>
      </c>
      <c r="J355" s="25">
        <f t="shared" si="42"/>
        <v>0</v>
      </c>
      <c r="K355" s="26" t="str">
        <f t="shared" si="43"/>
        <v>Sin Plan</v>
      </c>
      <c r="L355" s="6" t="s">
        <v>328</v>
      </c>
      <c r="M355" s="6" t="s">
        <v>323</v>
      </c>
    </row>
    <row r="356" spans="1:13" x14ac:dyDescent="0.35">
      <c r="A356" s="23" t="s">
        <v>229</v>
      </c>
      <c r="B356" s="11" t="s">
        <v>208</v>
      </c>
      <c r="C356" s="23" t="s">
        <v>19</v>
      </c>
      <c r="D356" s="23" t="s">
        <v>20</v>
      </c>
      <c r="E356" s="15">
        <v>112000</v>
      </c>
      <c r="F356" s="15">
        <v>0</v>
      </c>
      <c r="G356" s="15">
        <v>0</v>
      </c>
      <c r="H356" s="50">
        <f t="shared" si="38"/>
        <v>0</v>
      </c>
      <c r="I356" s="60">
        <f t="shared" si="39"/>
        <v>112000</v>
      </c>
      <c r="J356" s="25">
        <f t="shared" si="42"/>
        <v>0</v>
      </c>
      <c r="K356" s="26" t="str">
        <f t="shared" si="43"/>
        <v>Pendiente de ejecutar</v>
      </c>
      <c r="L356" s="6" t="s">
        <v>326</v>
      </c>
      <c r="M356" s="6" t="s">
        <v>325</v>
      </c>
    </row>
    <row r="357" spans="1:13" x14ac:dyDescent="0.35">
      <c r="A357" s="20" t="s">
        <v>106</v>
      </c>
      <c r="B357" s="11" t="s">
        <v>324</v>
      </c>
      <c r="C357" s="20" t="s">
        <v>107</v>
      </c>
      <c r="D357" s="20" t="s">
        <v>108</v>
      </c>
      <c r="E357" s="13">
        <v>34900</v>
      </c>
      <c r="F357" s="13">
        <v>66020</v>
      </c>
      <c r="G357" s="13">
        <v>0</v>
      </c>
      <c r="H357" s="50">
        <f t="shared" si="38"/>
        <v>66020</v>
      </c>
      <c r="I357" s="60">
        <f t="shared" si="39"/>
        <v>-31120</v>
      </c>
      <c r="J357" s="25">
        <f t="shared" si="42"/>
        <v>1.8916905444126075</v>
      </c>
      <c r="K357" s="26" t="str">
        <f t="shared" si="43"/>
        <v>Completado</v>
      </c>
      <c r="L357" s="6" t="s">
        <v>328</v>
      </c>
      <c r="M357" s="6" t="s">
        <v>325</v>
      </c>
    </row>
    <row r="358" spans="1:13" x14ac:dyDescent="0.35">
      <c r="A358" s="23" t="s">
        <v>169</v>
      </c>
      <c r="B358" s="11" t="s">
        <v>208</v>
      </c>
      <c r="C358" s="23" t="s">
        <v>29</v>
      </c>
      <c r="D358" s="23" t="s">
        <v>30</v>
      </c>
      <c r="E358" s="15">
        <v>108000</v>
      </c>
      <c r="F358" s="15">
        <f>37905.75*3</f>
        <v>113717.25</v>
      </c>
      <c r="G358" s="15"/>
      <c r="H358" s="50">
        <f t="shared" si="38"/>
        <v>113717.25</v>
      </c>
      <c r="I358" s="60">
        <f t="shared" si="39"/>
        <v>-5717.25</v>
      </c>
      <c r="J358" s="25">
        <f t="shared" si="42"/>
        <v>1.0529375000000001</v>
      </c>
      <c r="K358" s="26" t="str">
        <f t="shared" si="43"/>
        <v>Completado</v>
      </c>
      <c r="L358" s="6" t="s">
        <v>328</v>
      </c>
      <c r="M358" s="6" t="s">
        <v>325</v>
      </c>
    </row>
    <row r="359" spans="1:13" s="2" customFormat="1" x14ac:dyDescent="0.35">
      <c r="A359" s="11" t="s">
        <v>186</v>
      </c>
      <c r="B359" s="11" t="s">
        <v>208</v>
      </c>
      <c r="C359" s="11" t="s">
        <v>29</v>
      </c>
      <c r="D359" s="11" t="s">
        <v>30</v>
      </c>
      <c r="E359" s="15">
        <v>108000</v>
      </c>
      <c r="F359" s="51">
        <v>0</v>
      </c>
      <c r="G359" s="51">
        <v>0</v>
      </c>
      <c r="H359" s="50">
        <f t="shared" si="38"/>
        <v>0</v>
      </c>
      <c r="I359" s="60">
        <f t="shared" si="39"/>
        <v>108000</v>
      </c>
      <c r="J359" s="18">
        <f t="shared" si="42"/>
        <v>0</v>
      </c>
      <c r="K359" s="19" t="str">
        <f t="shared" si="43"/>
        <v>Pendiente de ejecutar</v>
      </c>
      <c r="L359" s="6" t="s">
        <v>328</v>
      </c>
      <c r="M359" s="6" t="s">
        <v>325</v>
      </c>
    </row>
    <row r="360" spans="1:13" s="2" customFormat="1" x14ac:dyDescent="0.35">
      <c r="A360" s="20" t="s">
        <v>295</v>
      </c>
      <c r="B360" s="11" t="s">
        <v>208</v>
      </c>
      <c r="C360" s="20" t="s">
        <v>29</v>
      </c>
      <c r="D360" s="20" t="s">
        <v>30</v>
      </c>
      <c r="E360" s="13">
        <v>108000</v>
      </c>
      <c r="F360" s="13">
        <v>37145</v>
      </c>
      <c r="G360" s="13">
        <v>0</v>
      </c>
      <c r="H360" s="50">
        <f t="shared" si="38"/>
        <v>37145</v>
      </c>
      <c r="I360" s="60">
        <f t="shared" si="39"/>
        <v>70855</v>
      </c>
      <c r="J360" s="21">
        <f t="shared" si="42"/>
        <v>0.34393518518518518</v>
      </c>
      <c r="K360" s="22" t="str">
        <f t="shared" si="43"/>
        <v>En Progreso</v>
      </c>
      <c r="L360" s="6" t="s">
        <v>326</v>
      </c>
      <c r="M360" s="6" t="s">
        <v>325</v>
      </c>
    </row>
    <row r="361" spans="1:13" s="2" customFormat="1" x14ac:dyDescent="0.35">
      <c r="A361" s="23" t="s">
        <v>106</v>
      </c>
      <c r="B361" s="11" t="s">
        <v>324</v>
      </c>
      <c r="C361" s="23" t="s">
        <v>47</v>
      </c>
      <c r="D361" s="23" t="s">
        <v>48</v>
      </c>
      <c r="E361" s="15">
        <v>132300</v>
      </c>
      <c r="F361" s="15">
        <v>0</v>
      </c>
      <c r="G361" s="15">
        <v>137843.10999999999</v>
      </c>
      <c r="H361" s="50">
        <f t="shared" si="38"/>
        <v>137843.10999999999</v>
      </c>
      <c r="I361" s="60">
        <f t="shared" si="39"/>
        <v>-5543.109999999986</v>
      </c>
      <c r="J361" s="25">
        <f t="shared" si="42"/>
        <v>1.0418980347694633</v>
      </c>
      <c r="K361" s="26" t="str">
        <f t="shared" si="43"/>
        <v>Completado</v>
      </c>
      <c r="L361" s="6" t="s">
        <v>328</v>
      </c>
      <c r="M361" s="6" t="s">
        <v>325</v>
      </c>
    </row>
    <row r="362" spans="1:13" x14ac:dyDescent="0.35">
      <c r="A362" s="61" t="s">
        <v>246</v>
      </c>
      <c r="B362" s="11" t="s">
        <v>208</v>
      </c>
      <c r="C362" s="36" t="s">
        <v>101</v>
      </c>
      <c r="D362" s="61" t="s">
        <v>102</v>
      </c>
      <c r="E362" s="51">
        <v>0</v>
      </c>
      <c r="F362" s="46">
        <f>283076.44+27542.37</f>
        <v>310618.81</v>
      </c>
      <c r="G362" s="51">
        <v>0</v>
      </c>
      <c r="H362" s="50">
        <f t="shared" si="38"/>
        <v>310618.81</v>
      </c>
      <c r="I362" s="60">
        <f t="shared" si="39"/>
        <v>-310618.81</v>
      </c>
      <c r="J362" s="21">
        <f t="shared" si="42"/>
        <v>0</v>
      </c>
      <c r="K362" s="22" t="str">
        <f t="shared" si="43"/>
        <v>Sin Plan</v>
      </c>
      <c r="L362" s="6" t="s">
        <v>328</v>
      </c>
      <c r="M362" s="6" t="s">
        <v>323</v>
      </c>
    </row>
    <row r="363" spans="1:13" x14ac:dyDescent="0.35">
      <c r="A363" s="11" t="s">
        <v>106</v>
      </c>
      <c r="B363" s="11" t="s">
        <v>324</v>
      </c>
      <c r="C363" s="11" t="s">
        <v>27</v>
      </c>
      <c r="D363" s="11" t="s">
        <v>28</v>
      </c>
      <c r="E363" s="13">
        <v>356000</v>
      </c>
      <c r="F363" s="13"/>
      <c r="G363" s="13">
        <v>116499.8</v>
      </c>
      <c r="H363" s="50">
        <f t="shared" si="38"/>
        <v>116499.8</v>
      </c>
      <c r="I363" s="60">
        <f t="shared" si="39"/>
        <v>239500.2</v>
      </c>
      <c r="J363" s="25">
        <f t="shared" si="42"/>
        <v>0.32724662921348313</v>
      </c>
      <c r="K363" s="26" t="str">
        <f t="shared" si="43"/>
        <v>En Progreso</v>
      </c>
      <c r="L363" s="6" t="s">
        <v>328</v>
      </c>
      <c r="M363" s="6" t="s">
        <v>325</v>
      </c>
    </row>
    <row r="364" spans="1:13" x14ac:dyDescent="0.35">
      <c r="A364" s="20" t="s">
        <v>212</v>
      </c>
      <c r="B364" s="11" t="s">
        <v>208</v>
      </c>
      <c r="C364" s="20" t="s">
        <v>37</v>
      </c>
      <c r="D364" s="11" t="s">
        <v>38</v>
      </c>
      <c r="E364" s="13">
        <v>105000</v>
      </c>
      <c r="F364" s="13">
        <v>17067.28</v>
      </c>
      <c r="G364" s="13">
        <v>0</v>
      </c>
      <c r="H364" s="50">
        <f t="shared" si="38"/>
        <v>17067.28</v>
      </c>
      <c r="I364" s="60">
        <f t="shared" si="39"/>
        <v>87932.72</v>
      </c>
      <c r="J364" s="21">
        <f t="shared" si="42"/>
        <v>0.16254552380952381</v>
      </c>
      <c r="K364" s="22" t="str">
        <f t="shared" si="43"/>
        <v>En Progreso</v>
      </c>
      <c r="L364" s="6" t="s">
        <v>326</v>
      </c>
      <c r="M364" s="6" t="s">
        <v>325</v>
      </c>
    </row>
    <row r="365" spans="1:13" x14ac:dyDescent="0.35">
      <c r="A365" s="11" t="s">
        <v>186</v>
      </c>
      <c r="B365" s="11" t="s">
        <v>208</v>
      </c>
      <c r="C365" s="11" t="s">
        <v>138</v>
      </c>
      <c r="D365" s="11" t="s">
        <v>139</v>
      </c>
      <c r="E365" s="13">
        <v>104400</v>
      </c>
      <c r="F365" s="50">
        <v>0</v>
      </c>
      <c r="G365" s="50">
        <v>56732.4</v>
      </c>
      <c r="H365" s="50">
        <f t="shared" si="38"/>
        <v>56732.4</v>
      </c>
      <c r="I365" s="60">
        <f t="shared" si="39"/>
        <v>47667.6</v>
      </c>
      <c r="J365" s="18">
        <f t="shared" si="42"/>
        <v>0.54341379310344828</v>
      </c>
      <c r="K365" s="19" t="str">
        <f t="shared" si="43"/>
        <v>En Progreso</v>
      </c>
      <c r="L365" s="6" t="s">
        <v>328</v>
      </c>
      <c r="M365" s="6" t="s">
        <v>325</v>
      </c>
    </row>
    <row r="366" spans="1:13" x14ac:dyDescent="0.35">
      <c r="A366" s="23" t="s">
        <v>261</v>
      </c>
      <c r="B366" s="11" t="s">
        <v>208</v>
      </c>
      <c r="C366" s="23" t="s">
        <v>136</v>
      </c>
      <c r="D366" s="23" t="s">
        <v>137</v>
      </c>
      <c r="E366" s="15">
        <v>103000</v>
      </c>
      <c r="F366" s="15">
        <v>0</v>
      </c>
      <c r="G366" s="15">
        <v>0</v>
      </c>
      <c r="H366" s="50">
        <f t="shared" si="38"/>
        <v>0</v>
      </c>
      <c r="I366" s="60">
        <f t="shared" si="39"/>
        <v>103000</v>
      </c>
      <c r="J366" s="25">
        <f t="shared" si="42"/>
        <v>0</v>
      </c>
      <c r="K366" s="26" t="str">
        <f t="shared" si="43"/>
        <v>Pendiente de ejecutar</v>
      </c>
      <c r="L366" s="6" t="s">
        <v>328</v>
      </c>
      <c r="M366" s="6" t="s">
        <v>325</v>
      </c>
    </row>
    <row r="367" spans="1:13" x14ac:dyDescent="0.35">
      <c r="A367" s="11" t="s">
        <v>265</v>
      </c>
      <c r="B367" s="11" t="s">
        <v>208</v>
      </c>
      <c r="C367" s="11" t="s">
        <v>136</v>
      </c>
      <c r="D367" s="11" t="s">
        <v>137</v>
      </c>
      <c r="E367" s="15">
        <v>103000</v>
      </c>
      <c r="F367" s="15">
        <v>295456.84999999998</v>
      </c>
      <c r="G367" s="15"/>
      <c r="H367" s="50">
        <f t="shared" si="38"/>
        <v>295456.84999999998</v>
      </c>
      <c r="I367" s="60">
        <f t="shared" si="39"/>
        <v>-192456.84999999998</v>
      </c>
      <c r="J367" s="18">
        <f t="shared" si="42"/>
        <v>2.8685131067961165</v>
      </c>
      <c r="K367" s="19" t="str">
        <f t="shared" si="43"/>
        <v>Completado</v>
      </c>
      <c r="L367" s="6" t="s">
        <v>328</v>
      </c>
      <c r="M367" s="6" t="s">
        <v>325</v>
      </c>
    </row>
    <row r="368" spans="1:13" x14ac:dyDescent="0.35">
      <c r="A368" s="23" t="s">
        <v>295</v>
      </c>
      <c r="B368" s="11" t="s">
        <v>208</v>
      </c>
      <c r="C368" s="23" t="s">
        <v>136</v>
      </c>
      <c r="D368" s="23" t="s">
        <v>137</v>
      </c>
      <c r="E368" s="15">
        <v>103000</v>
      </c>
      <c r="F368" s="15">
        <v>96860.76</v>
      </c>
      <c r="G368" s="15">
        <v>141854.35</v>
      </c>
      <c r="H368" s="50">
        <f t="shared" si="38"/>
        <v>238715.11</v>
      </c>
      <c r="I368" s="60">
        <f t="shared" si="39"/>
        <v>-135715.10999999999</v>
      </c>
      <c r="J368" s="25">
        <f t="shared" si="42"/>
        <v>2.3176224271844661</v>
      </c>
      <c r="K368" s="26" t="str">
        <f t="shared" si="43"/>
        <v>Completado</v>
      </c>
      <c r="L368" s="6" t="s">
        <v>328</v>
      </c>
      <c r="M368" s="6" t="s">
        <v>325</v>
      </c>
    </row>
    <row r="369" spans="1:13" x14ac:dyDescent="0.35">
      <c r="A369" s="20" t="s">
        <v>262</v>
      </c>
      <c r="B369" s="11" t="s">
        <v>208</v>
      </c>
      <c r="C369" s="11" t="s">
        <v>66</v>
      </c>
      <c r="D369" s="11" t="s">
        <v>67</v>
      </c>
      <c r="E369" s="13">
        <v>90000</v>
      </c>
      <c r="F369" s="13">
        <v>0</v>
      </c>
      <c r="G369" s="13">
        <v>82130.42</v>
      </c>
      <c r="H369" s="50">
        <f t="shared" si="38"/>
        <v>82130.42</v>
      </c>
      <c r="I369" s="60">
        <f t="shared" si="39"/>
        <v>7869.5800000000017</v>
      </c>
      <c r="J369" s="18">
        <f t="shared" si="42"/>
        <v>0.91256022222222222</v>
      </c>
      <c r="K369" s="19" t="str">
        <f t="shared" si="43"/>
        <v>En Progreso</v>
      </c>
      <c r="L369" s="6" t="s">
        <v>328</v>
      </c>
      <c r="M369" s="6" t="s">
        <v>325</v>
      </c>
    </row>
    <row r="370" spans="1:13" x14ac:dyDescent="0.35">
      <c r="A370" s="23" t="s">
        <v>290</v>
      </c>
      <c r="B370" s="11" t="s">
        <v>208</v>
      </c>
      <c r="C370" s="23" t="s">
        <v>96</v>
      </c>
      <c r="D370" s="23" t="s">
        <v>97</v>
      </c>
      <c r="E370" s="15">
        <v>86000</v>
      </c>
      <c r="F370" s="15">
        <v>0</v>
      </c>
      <c r="G370" s="15">
        <v>0</v>
      </c>
      <c r="H370" s="50">
        <f t="shared" si="38"/>
        <v>0</v>
      </c>
      <c r="I370" s="60">
        <f t="shared" si="39"/>
        <v>86000</v>
      </c>
      <c r="J370" s="25">
        <f t="shared" si="42"/>
        <v>0</v>
      </c>
      <c r="K370" s="26" t="str">
        <f t="shared" si="43"/>
        <v>Pendiente de ejecutar</v>
      </c>
      <c r="L370" s="6" t="s">
        <v>328</v>
      </c>
      <c r="M370" s="6" t="s">
        <v>325</v>
      </c>
    </row>
    <row r="371" spans="1:13" x14ac:dyDescent="0.35">
      <c r="A371" s="11" t="s">
        <v>300</v>
      </c>
      <c r="B371" s="11" t="s">
        <v>208</v>
      </c>
      <c r="C371" s="11" t="s">
        <v>83</v>
      </c>
      <c r="D371" s="11" t="s">
        <v>84</v>
      </c>
      <c r="E371" s="13">
        <v>86000</v>
      </c>
      <c r="F371" s="13">
        <v>37202.5</v>
      </c>
      <c r="G371" s="15"/>
      <c r="H371" s="50">
        <f t="shared" si="38"/>
        <v>37202.5</v>
      </c>
      <c r="I371" s="60">
        <f t="shared" si="39"/>
        <v>48797.5</v>
      </c>
      <c r="J371" s="18">
        <f t="shared" si="42"/>
        <v>0.43258720930232558</v>
      </c>
      <c r="K371" s="19" t="str">
        <f t="shared" si="43"/>
        <v>En Progreso</v>
      </c>
      <c r="L371" s="6" t="s">
        <v>326</v>
      </c>
      <c r="M371" s="6" t="s">
        <v>325</v>
      </c>
    </row>
    <row r="372" spans="1:13" x14ac:dyDescent="0.35">
      <c r="A372" s="20" t="s">
        <v>213</v>
      </c>
      <c r="B372" s="11" t="s">
        <v>208</v>
      </c>
      <c r="C372" s="20" t="s">
        <v>96</v>
      </c>
      <c r="D372" s="20" t="s">
        <v>97</v>
      </c>
      <c r="E372" s="13">
        <v>81000</v>
      </c>
      <c r="F372" s="13">
        <v>0</v>
      </c>
      <c r="G372" s="13">
        <v>0</v>
      </c>
      <c r="H372" s="50">
        <f t="shared" si="38"/>
        <v>0</v>
      </c>
      <c r="I372" s="60">
        <f t="shared" si="39"/>
        <v>81000</v>
      </c>
      <c r="J372" s="21">
        <f t="shared" si="42"/>
        <v>0</v>
      </c>
      <c r="K372" s="22" t="str">
        <f t="shared" si="43"/>
        <v>Pendiente de ejecutar</v>
      </c>
      <c r="L372" s="6" t="s">
        <v>328</v>
      </c>
      <c r="M372" s="6" t="s">
        <v>325</v>
      </c>
    </row>
    <row r="373" spans="1:13" x14ac:dyDescent="0.35">
      <c r="A373" s="11" t="s">
        <v>231</v>
      </c>
      <c r="B373" s="11" t="s">
        <v>208</v>
      </c>
      <c r="C373" s="11" t="s">
        <v>136</v>
      </c>
      <c r="D373" s="11" t="s">
        <v>137</v>
      </c>
      <c r="E373" s="13">
        <v>74500</v>
      </c>
      <c r="F373" s="13">
        <v>64573.84</v>
      </c>
      <c r="G373" s="13"/>
      <c r="H373" s="50">
        <f t="shared" si="38"/>
        <v>64573.84</v>
      </c>
      <c r="I373" s="60">
        <f t="shared" si="39"/>
        <v>9926.1600000000035</v>
      </c>
      <c r="J373" s="18">
        <f t="shared" si="42"/>
        <v>0.86676295302013417</v>
      </c>
      <c r="K373" s="19" t="str">
        <f t="shared" si="43"/>
        <v>En Progreso</v>
      </c>
      <c r="L373" s="6" t="s">
        <v>328</v>
      </c>
      <c r="M373" s="6" t="s">
        <v>325</v>
      </c>
    </row>
    <row r="374" spans="1:13" x14ac:dyDescent="0.35">
      <c r="A374" s="70" t="s">
        <v>106</v>
      </c>
      <c r="B374" s="11" t="s">
        <v>324</v>
      </c>
      <c r="C374" s="27"/>
      <c r="D374" s="75" t="s">
        <v>334</v>
      </c>
      <c r="E374" s="15">
        <v>268000</v>
      </c>
      <c r="F374" s="15"/>
      <c r="G374" s="15"/>
      <c r="H374" s="50">
        <f t="shared" si="38"/>
        <v>0</v>
      </c>
      <c r="I374" s="60">
        <f t="shared" si="39"/>
        <v>268000</v>
      </c>
      <c r="J374" s="25">
        <f t="shared" si="42"/>
        <v>0</v>
      </c>
      <c r="K374" s="26" t="str">
        <f t="shared" si="43"/>
        <v>Pendiente de ejecutar</v>
      </c>
      <c r="L374" s="6" t="s">
        <v>328</v>
      </c>
      <c r="M374" s="6"/>
    </row>
    <row r="375" spans="1:13" x14ac:dyDescent="0.35">
      <c r="A375" s="11" t="s">
        <v>109</v>
      </c>
      <c r="B375" s="11" t="s">
        <v>324</v>
      </c>
      <c r="C375" s="11" t="s">
        <v>47</v>
      </c>
      <c r="D375" s="11" t="s">
        <v>48</v>
      </c>
      <c r="E375" s="13">
        <v>132300</v>
      </c>
      <c r="F375" s="13">
        <v>0</v>
      </c>
      <c r="G375" s="13">
        <v>137843.10999999999</v>
      </c>
      <c r="H375" s="50">
        <f t="shared" si="38"/>
        <v>137843.10999999999</v>
      </c>
      <c r="I375" s="60">
        <f t="shared" si="39"/>
        <v>-5543.109999999986</v>
      </c>
      <c r="J375" s="25">
        <f t="shared" si="42"/>
        <v>1.0418980347694633</v>
      </c>
      <c r="K375" s="26" t="str">
        <f t="shared" si="43"/>
        <v>Completado</v>
      </c>
      <c r="L375" s="6" t="s">
        <v>328</v>
      </c>
      <c r="M375" s="6" t="s">
        <v>325</v>
      </c>
    </row>
    <row r="376" spans="1:13" x14ac:dyDescent="0.35">
      <c r="A376" s="20" t="s">
        <v>110</v>
      </c>
      <c r="B376" s="11" t="s">
        <v>324</v>
      </c>
      <c r="C376" s="20" t="s">
        <v>13</v>
      </c>
      <c r="D376" s="20" t="s">
        <v>14</v>
      </c>
      <c r="E376" s="13">
        <v>685000</v>
      </c>
      <c r="F376" s="13">
        <v>0</v>
      </c>
      <c r="G376" s="13">
        <v>806100</v>
      </c>
      <c r="H376" s="50">
        <f t="shared" si="38"/>
        <v>806100</v>
      </c>
      <c r="I376" s="60">
        <f t="shared" si="39"/>
        <v>-121100</v>
      </c>
      <c r="J376" s="25">
        <f t="shared" si="42"/>
        <v>1.1767883211678831</v>
      </c>
      <c r="K376" s="26" t="str">
        <f t="shared" si="43"/>
        <v>Completado</v>
      </c>
      <c r="L376" s="6" t="s">
        <v>328</v>
      </c>
      <c r="M376" s="6" t="s">
        <v>325</v>
      </c>
    </row>
    <row r="377" spans="1:13" x14ac:dyDescent="0.35">
      <c r="A377" s="23" t="s">
        <v>110</v>
      </c>
      <c r="B377" s="11" t="s">
        <v>324</v>
      </c>
      <c r="C377" s="23" t="s">
        <v>47</v>
      </c>
      <c r="D377" s="23" t="s">
        <v>48</v>
      </c>
      <c r="E377" s="15">
        <v>126000</v>
      </c>
      <c r="F377" s="15">
        <v>136751.45000000001</v>
      </c>
      <c r="G377" s="15">
        <v>0</v>
      </c>
      <c r="H377" s="50">
        <f t="shared" si="38"/>
        <v>136751.45000000001</v>
      </c>
      <c r="I377" s="60">
        <f t="shared" si="39"/>
        <v>-10751.450000000012</v>
      </c>
      <c r="J377" s="25">
        <f t="shared" ref="J377:J406" si="44">IFERROR(H377/E377,0)</f>
        <v>1.0853289682539684</v>
      </c>
      <c r="K377" s="26" t="str">
        <f t="shared" ref="K377:K406" si="45">IF(E377=0,"Sin Plan",IF(J377&gt;=1,"Completado",IF(J377&gt;0.001,"En Progreso","Pendiente de ejecutar")))</f>
        <v>Completado</v>
      </c>
      <c r="L377" s="6" t="s">
        <v>328</v>
      </c>
      <c r="M377" s="6" t="s">
        <v>325</v>
      </c>
    </row>
    <row r="378" spans="1:13" x14ac:dyDescent="0.35">
      <c r="A378" s="11" t="s">
        <v>110</v>
      </c>
      <c r="B378" s="11" t="s">
        <v>324</v>
      </c>
      <c r="C378" s="11" t="s">
        <v>27</v>
      </c>
      <c r="D378" s="11" t="s">
        <v>28</v>
      </c>
      <c r="E378" s="13">
        <v>222000</v>
      </c>
      <c r="F378" s="13">
        <v>0</v>
      </c>
      <c r="G378" s="13">
        <v>116499.8</v>
      </c>
      <c r="H378" s="50">
        <f t="shared" si="38"/>
        <v>116499.8</v>
      </c>
      <c r="I378" s="60">
        <f t="shared" si="39"/>
        <v>105500.2</v>
      </c>
      <c r="J378" s="25">
        <f t="shared" si="44"/>
        <v>0.52477387387387386</v>
      </c>
      <c r="K378" s="26" t="str">
        <f t="shared" si="45"/>
        <v>En Progreso</v>
      </c>
      <c r="L378" s="6" t="s">
        <v>328</v>
      </c>
      <c r="M378" s="6" t="s">
        <v>325</v>
      </c>
    </row>
    <row r="379" spans="1:13" x14ac:dyDescent="0.35">
      <c r="A379" s="20" t="s">
        <v>111</v>
      </c>
      <c r="B379" s="11" t="s">
        <v>324</v>
      </c>
      <c r="C379" s="20" t="s">
        <v>47</v>
      </c>
      <c r="D379" s="20" t="s">
        <v>48</v>
      </c>
      <c r="E379" s="13">
        <v>132300</v>
      </c>
      <c r="F379" s="13">
        <v>0</v>
      </c>
      <c r="G379" s="13">
        <v>246624.75</v>
      </c>
      <c r="H379" s="50">
        <f t="shared" si="38"/>
        <v>246624.75</v>
      </c>
      <c r="I379" s="60">
        <f t="shared" si="39"/>
        <v>-114324.75</v>
      </c>
      <c r="J379" s="25">
        <f t="shared" si="44"/>
        <v>1.8641326530612246</v>
      </c>
      <c r="K379" s="26" t="str">
        <f t="shared" si="45"/>
        <v>Completado</v>
      </c>
      <c r="L379" s="6" t="s">
        <v>328</v>
      </c>
      <c r="M379" s="6" t="s">
        <v>325</v>
      </c>
    </row>
    <row r="380" spans="1:13" x14ac:dyDescent="0.35">
      <c r="A380" s="23" t="s">
        <v>111</v>
      </c>
      <c r="B380" s="11" t="s">
        <v>324</v>
      </c>
      <c r="C380" s="23" t="s">
        <v>31</v>
      </c>
      <c r="D380" s="23" t="s">
        <v>32</v>
      </c>
      <c r="E380" s="15">
        <v>363000</v>
      </c>
      <c r="F380" s="15">
        <v>116300</v>
      </c>
      <c r="G380" s="15">
        <v>0</v>
      </c>
      <c r="H380" s="50">
        <f t="shared" si="38"/>
        <v>116300</v>
      </c>
      <c r="I380" s="60">
        <f t="shared" si="39"/>
        <v>246700</v>
      </c>
      <c r="J380" s="25">
        <f t="shared" si="44"/>
        <v>0.32038567493112946</v>
      </c>
      <c r="K380" s="26" t="str">
        <f t="shared" si="45"/>
        <v>En Progreso</v>
      </c>
      <c r="L380" s="6" t="s">
        <v>328</v>
      </c>
      <c r="M380" s="6" t="s">
        <v>325</v>
      </c>
    </row>
    <row r="381" spans="1:13" x14ac:dyDescent="0.35">
      <c r="A381" s="70" t="s">
        <v>111</v>
      </c>
      <c r="B381" s="11" t="s">
        <v>324</v>
      </c>
      <c r="C381" s="27"/>
      <c r="D381" s="75" t="s">
        <v>334</v>
      </c>
      <c r="E381" s="15">
        <v>302524.98</v>
      </c>
      <c r="F381" s="15"/>
      <c r="G381" s="15"/>
      <c r="H381" s="50">
        <f t="shared" si="38"/>
        <v>0</v>
      </c>
      <c r="I381" s="60">
        <f t="shared" si="39"/>
        <v>302524.98</v>
      </c>
      <c r="J381" s="25">
        <f t="shared" si="44"/>
        <v>0</v>
      </c>
      <c r="K381" s="26" t="str">
        <f t="shared" si="45"/>
        <v>Pendiente de ejecutar</v>
      </c>
      <c r="L381" s="6" t="s">
        <v>328</v>
      </c>
      <c r="M381" s="6"/>
    </row>
    <row r="382" spans="1:13" x14ac:dyDescent="0.35">
      <c r="A382" s="23" t="s">
        <v>112</v>
      </c>
      <c r="B382" s="11" t="s">
        <v>324</v>
      </c>
      <c r="C382" s="23" t="s">
        <v>66</v>
      </c>
      <c r="D382" s="23" t="s">
        <v>67</v>
      </c>
      <c r="E382" s="15">
        <v>46800</v>
      </c>
      <c r="F382" s="15">
        <v>48099.51</v>
      </c>
      <c r="G382" s="15">
        <v>0</v>
      </c>
      <c r="H382" s="50">
        <f t="shared" si="38"/>
        <v>48099.51</v>
      </c>
      <c r="I382" s="60">
        <f t="shared" si="39"/>
        <v>-1299.510000000002</v>
      </c>
      <c r="J382" s="25">
        <f t="shared" si="44"/>
        <v>1.0277673076923077</v>
      </c>
      <c r="K382" s="26" t="str">
        <f t="shared" si="45"/>
        <v>Completado</v>
      </c>
      <c r="L382" s="6" t="s">
        <v>328</v>
      </c>
      <c r="M382" s="6" t="s">
        <v>325</v>
      </c>
    </row>
    <row r="383" spans="1:13" x14ac:dyDescent="0.35">
      <c r="A383" s="11" t="s">
        <v>112</v>
      </c>
      <c r="B383" s="11" t="s">
        <v>324</v>
      </c>
      <c r="C383" s="11" t="s">
        <v>13</v>
      </c>
      <c r="D383" s="11" t="s">
        <v>14</v>
      </c>
      <c r="E383" s="13">
        <v>685000</v>
      </c>
      <c r="F383" s="13">
        <v>0</v>
      </c>
      <c r="G383" s="13">
        <v>857100</v>
      </c>
      <c r="H383" s="50">
        <f t="shared" si="38"/>
        <v>857100</v>
      </c>
      <c r="I383" s="60">
        <f t="shared" si="39"/>
        <v>-172100</v>
      </c>
      <c r="J383" s="25">
        <f t="shared" si="44"/>
        <v>1.2512408759124087</v>
      </c>
      <c r="K383" s="26" t="str">
        <f t="shared" si="45"/>
        <v>Completado</v>
      </c>
      <c r="L383" s="6" t="s">
        <v>328</v>
      </c>
      <c r="M383" s="6" t="s">
        <v>325</v>
      </c>
    </row>
    <row r="384" spans="1:13" x14ac:dyDescent="0.35">
      <c r="A384" s="11" t="s">
        <v>112</v>
      </c>
      <c r="B384" s="11" t="s">
        <v>324</v>
      </c>
      <c r="C384" s="11" t="s">
        <v>96</v>
      </c>
      <c r="D384" s="11" t="s">
        <v>97</v>
      </c>
      <c r="E384" s="15">
        <v>0</v>
      </c>
      <c r="F384" s="15">
        <v>302580</v>
      </c>
      <c r="G384" s="15">
        <v>0</v>
      </c>
      <c r="H384" s="50">
        <f t="shared" si="38"/>
        <v>302580</v>
      </c>
      <c r="I384" s="60">
        <f t="shared" si="39"/>
        <v>-302580</v>
      </c>
      <c r="J384" s="25">
        <f t="shared" si="44"/>
        <v>0</v>
      </c>
      <c r="K384" s="26" t="str">
        <f t="shared" si="45"/>
        <v>Sin Plan</v>
      </c>
      <c r="L384" s="6" t="s">
        <v>328</v>
      </c>
      <c r="M384" s="6" t="s">
        <v>323</v>
      </c>
    </row>
    <row r="385" spans="1:13" x14ac:dyDescent="0.35">
      <c r="A385" s="11" t="s">
        <v>213</v>
      </c>
      <c r="B385" s="11" t="s">
        <v>208</v>
      </c>
      <c r="C385" s="11" t="s">
        <v>37</v>
      </c>
      <c r="D385" s="11" t="s">
        <v>38</v>
      </c>
      <c r="E385" s="15">
        <v>63000</v>
      </c>
      <c r="F385" s="15">
        <v>0</v>
      </c>
      <c r="G385" s="15">
        <v>527900</v>
      </c>
      <c r="H385" s="50">
        <f t="shared" si="38"/>
        <v>527900</v>
      </c>
      <c r="I385" s="60">
        <f t="shared" si="39"/>
        <v>-464900</v>
      </c>
      <c r="J385" s="18">
        <f t="shared" si="44"/>
        <v>8.3793650793650798</v>
      </c>
      <c r="K385" s="19" t="str">
        <f t="shared" si="45"/>
        <v>Completado</v>
      </c>
      <c r="L385" s="6" t="s">
        <v>326</v>
      </c>
      <c r="M385" s="6" t="s">
        <v>325</v>
      </c>
    </row>
    <row r="386" spans="1:13" x14ac:dyDescent="0.35">
      <c r="A386" s="23" t="s">
        <v>262</v>
      </c>
      <c r="B386" s="11" t="s">
        <v>208</v>
      </c>
      <c r="C386" s="23" t="s">
        <v>247</v>
      </c>
      <c r="D386" s="23" t="s">
        <v>248</v>
      </c>
      <c r="E386" s="15">
        <v>60000</v>
      </c>
      <c r="F386" s="15">
        <v>73560</v>
      </c>
      <c r="G386" s="15">
        <v>0</v>
      </c>
      <c r="H386" s="50">
        <f t="shared" ref="H386:H449" si="46">F386+G386</f>
        <v>73560</v>
      </c>
      <c r="I386" s="60">
        <f t="shared" ref="I386:I449" si="47">E386-H386</f>
        <v>-13560</v>
      </c>
      <c r="J386" s="25">
        <f t="shared" si="44"/>
        <v>1.226</v>
      </c>
      <c r="K386" s="26" t="str">
        <f t="shared" si="45"/>
        <v>Completado</v>
      </c>
      <c r="L386" s="6" t="s">
        <v>328</v>
      </c>
      <c r="M386" s="6" t="s">
        <v>325</v>
      </c>
    </row>
    <row r="387" spans="1:13" x14ac:dyDescent="0.35">
      <c r="A387" s="11" t="s">
        <v>245</v>
      </c>
      <c r="B387" s="11" t="s">
        <v>208</v>
      </c>
      <c r="C387" s="11" t="s">
        <v>96</v>
      </c>
      <c r="D387" s="11" t="s">
        <v>97</v>
      </c>
      <c r="E387" s="13">
        <v>54000</v>
      </c>
      <c r="F387" s="13">
        <v>82670.600000000006</v>
      </c>
      <c r="G387" s="13">
        <v>0</v>
      </c>
      <c r="H387" s="50">
        <f t="shared" si="46"/>
        <v>82670.600000000006</v>
      </c>
      <c r="I387" s="60">
        <f t="shared" si="47"/>
        <v>-28670.600000000006</v>
      </c>
      <c r="J387" s="18">
        <f t="shared" si="44"/>
        <v>1.5309370370370372</v>
      </c>
      <c r="K387" s="19" t="str">
        <f t="shared" si="45"/>
        <v>Completado</v>
      </c>
      <c r="L387" s="6" t="s">
        <v>328</v>
      </c>
      <c r="M387" s="6" t="s">
        <v>325</v>
      </c>
    </row>
    <row r="388" spans="1:13" x14ac:dyDescent="0.35">
      <c r="A388" s="11" t="s">
        <v>112</v>
      </c>
      <c r="B388" s="11" t="s">
        <v>324</v>
      </c>
      <c r="C388" s="11" t="s">
        <v>47</v>
      </c>
      <c r="D388" s="11" t="s">
        <v>48</v>
      </c>
      <c r="E388" s="13">
        <v>126000</v>
      </c>
      <c r="F388" s="13">
        <v>0</v>
      </c>
      <c r="G388" s="13">
        <v>246624.75</v>
      </c>
      <c r="H388" s="50">
        <f t="shared" si="46"/>
        <v>246624.75</v>
      </c>
      <c r="I388" s="60">
        <f t="shared" si="47"/>
        <v>-120624.75</v>
      </c>
      <c r="J388" s="25">
        <f t="shared" si="44"/>
        <v>1.9573392857142857</v>
      </c>
      <c r="K388" s="26" t="str">
        <f t="shared" si="45"/>
        <v>Completado</v>
      </c>
      <c r="L388" s="6" t="s">
        <v>328</v>
      </c>
      <c r="M388" s="6" t="s">
        <v>325</v>
      </c>
    </row>
    <row r="389" spans="1:13" x14ac:dyDescent="0.35">
      <c r="A389" s="23" t="s">
        <v>245</v>
      </c>
      <c r="B389" s="11" t="s">
        <v>208</v>
      </c>
      <c r="C389" s="23" t="s">
        <v>53</v>
      </c>
      <c r="D389" s="23" t="s">
        <v>54</v>
      </c>
      <c r="E389" s="15">
        <v>52000</v>
      </c>
      <c r="F389" s="15">
        <v>0</v>
      </c>
      <c r="G389" s="15">
        <v>0</v>
      </c>
      <c r="H389" s="50">
        <f t="shared" si="46"/>
        <v>0</v>
      </c>
      <c r="I389" s="60">
        <f t="shared" si="47"/>
        <v>52000</v>
      </c>
      <c r="J389" s="25">
        <f t="shared" si="44"/>
        <v>0</v>
      </c>
      <c r="K389" s="26" t="str">
        <f t="shared" si="45"/>
        <v>Pendiente de ejecutar</v>
      </c>
      <c r="L389" s="6" t="s">
        <v>328</v>
      </c>
      <c r="M389" s="6" t="s">
        <v>325</v>
      </c>
    </row>
    <row r="390" spans="1:13" x14ac:dyDescent="0.35">
      <c r="A390" s="61" t="s">
        <v>246</v>
      </c>
      <c r="B390" s="11" t="s">
        <v>208</v>
      </c>
      <c r="C390" s="36" t="s">
        <v>234</v>
      </c>
      <c r="D390" s="61" t="s">
        <v>235</v>
      </c>
      <c r="E390" s="51">
        <v>1685000</v>
      </c>
      <c r="F390" s="51">
        <v>158547.88</v>
      </c>
      <c r="G390" s="51">
        <v>0</v>
      </c>
      <c r="H390" s="50">
        <f t="shared" si="46"/>
        <v>158547.88</v>
      </c>
      <c r="I390" s="60">
        <f t="shared" si="47"/>
        <v>1526452.12</v>
      </c>
      <c r="J390" s="21">
        <f t="shared" si="44"/>
        <v>9.4093697329376863E-2</v>
      </c>
      <c r="K390" s="22" t="str">
        <f t="shared" si="45"/>
        <v>En Progreso</v>
      </c>
      <c r="L390" s="6" t="s">
        <v>326</v>
      </c>
      <c r="M390" s="6" t="s">
        <v>325</v>
      </c>
    </row>
    <row r="391" spans="1:13" x14ac:dyDescent="0.35">
      <c r="A391" s="38" t="s">
        <v>205</v>
      </c>
      <c r="B391" s="11" t="s">
        <v>208</v>
      </c>
      <c r="C391" s="11" t="s">
        <v>138</v>
      </c>
      <c r="D391" s="38" t="s">
        <v>139</v>
      </c>
      <c r="E391" s="50">
        <v>50000</v>
      </c>
      <c r="F391" s="50">
        <v>199393</v>
      </c>
      <c r="G391" s="50">
        <v>0</v>
      </c>
      <c r="H391" s="50">
        <f t="shared" si="46"/>
        <v>199393</v>
      </c>
      <c r="I391" s="60">
        <f t="shared" si="47"/>
        <v>-149393</v>
      </c>
      <c r="J391" s="18">
        <f t="shared" si="44"/>
        <v>3.98786</v>
      </c>
      <c r="K391" s="19" t="str">
        <f t="shared" si="45"/>
        <v>Completado</v>
      </c>
      <c r="L391" s="6" t="s">
        <v>328</v>
      </c>
      <c r="M391" s="6" t="s">
        <v>325</v>
      </c>
    </row>
    <row r="392" spans="1:13" x14ac:dyDescent="0.35">
      <c r="A392" s="20" t="s">
        <v>287</v>
      </c>
      <c r="B392" s="11" t="s">
        <v>208</v>
      </c>
      <c r="C392" s="20" t="s">
        <v>37</v>
      </c>
      <c r="D392" s="11" t="s">
        <v>38</v>
      </c>
      <c r="E392" s="13">
        <v>49000</v>
      </c>
      <c r="F392" s="13">
        <v>17067.28</v>
      </c>
      <c r="G392" s="13">
        <v>0</v>
      </c>
      <c r="H392" s="50">
        <f t="shared" si="46"/>
        <v>17067.28</v>
      </c>
      <c r="I392" s="60">
        <f t="shared" si="47"/>
        <v>31932.720000000001</v>
      </c>
      <c r="J392" s="21">
        <f t="shared" si="44"/>
        <v>0.34831183673469385</v>
      </c>
      <c r="K392" s="22" t="str">
        <f t="shared" si="45"/>
        <v>En Progreso</v>
      </c>
      <c r="L392" s="6" t="s">
        <v>326</v>
      </c>
      <c r="M392" s="6" t="s">
        <v>325</v>
      </c>
    </row>
    <row r="393" spans="1:13" x14ac:dyDescent="0.35">
      <c r="A393" s="11" t="s">
        <v>212</v>
      </c>
      <c r="B393" s="11" t="s">
        <v>208</v>
      </c>
      <c r="C393" s="11" t="s">
        <v>136</v>
      </c>
      <c r="D393" s="11" t="s">
        <v>137</v>
      </c>
      <c r="E393" s="15">
        <v>48500</v>
      </c>
      <c r="F393" s="15">
        <v>0</v>
      </c>
      <c r="G393" s="15">
        <v>32286.92</v>
      </c>
      <c r="H393" s="50">
        <f t="shared" si="46"/>
        <v>32286.92</v>
      </c>
      <c r="I393" s="60">
        <f t="shared" si="47"/>
        <v>16213.080000000002</v>
      </c>
      <c r="J393" s="18">
        <f t="shared" si="44"/>
        <v>0.66570969072164943</v>
      </c>
      <c r="K393" s="19" t="str">
        <f t="shared" si="45"/>
        <v>En Progreso</v>
      </c>
      <c r="L393" s="6" t="s">
        <v>328</v>
      </c>
      <c r="M393" s="6" t="s">
        <v>325</v>
      </c>
    </row>
    <row r="394" spans="1:13" s="2" customFormat="1" x14ac:dyDescent="0.35">
      <c r="A394" s="20" t="s">
        <v>266</v>
      </c>
      <c r="B394" s="11" t="s">
        <v>208</v>
      </c>
      <c r="C394" s="20" t="s">
        <v>138</v>
      </c>
      <c r="D394" s="20" t="s">
        <v>139</v>
      </c>
      <c r="E394" s="13">
        <v>47500</v>
      </c>
      <c r="F394" s="13">
        <v>0</v>
      </c>
      <c r="G394" s="13">
        <v>0</v>
      </c>
      <c r="H394" s="50">
        <f t="shared" si="46"/>
        <v>0</v>
      </c>
      <c r="I394" s="60">
        <f t="shared" si="47"/>
        <v>47500</v>
      </c>
      <c r="J394" s="21">
        <f t="shared" si="44"/>
        <v>0</v>
      </c>
      <c r="K394" s="22" t="str">
        <f t="shared" si="45"/>
        <v>Pendiente de ejecutar</v>
      </c>
      <c r="L394" s="6" t="s">
        <v>328</v>
      </c>
      <c r="M394" s="8" t="s">
        <v>325</v>
      </c>
    </row>
    <row r="395" spans="1:13" x14ac:dyDescent="0.35">
      <c r="A395" s="38" t="s">
        <v>112</v>
      </c>
      <c r="B395" s="38" t="s">
        <v>324</v>
      </c>
      <c r="C395" s="11" t="s">
        <v>27</v>
      </c>
      <c r="D395" s="38" t="s">
        <v>28</v>
      </c>
      <c r="E395" s="51">
        <v>221676</v>
      </c>
      <c r="F395" s="51">
        <v>0</v>
      </c>
      <c r="G395" s="51">
        <v>0</v>
      </c>
      <c r="H395" s="50">
        <f t="shared" si="46"/>
        <v>0</v>
      </c>
      <c r="I395" s="60">
        <f t="shared" si="47"/>
        <v>221676</v>
      </c>
      <c r="J395" s="96">
        <f t="shared" si="44"/>
        <v>0</v>
      </c>
      <c r="K395" s="97" t="str">
        <f t="shared" si="45"/>
        <v>Pendiente de ejecutar</v>
      </c>
      <c r="L395" s="95" t="s">
        <v>328</v>
      </c>
      <c r="M395" s="6" t="s">
        <v>325</v>
      </c>
    </row>
    <row r="396" spans="1:13" x14ac:dyDescent="0.35">
      <c r="A396" s="70" t="s">
        <v>112</v>
      </c>
      <c r="B396" s="11" t="s">
        <v>324</v>
      </c>
      <c r="C396" s="27"/>
      <c r="D396" s="75" t="s">
        <v>334</v>
      </c>
      <c r="E396" s="15">
        <v>311378.56</v>
      </c>
      <c r="F396" s="15"/>
      <c r="G396" s="15"/>
      <c r="H396" s="50">
        <f t="shared" si="46"/>
        <v>0</v>
      </c>
      <c r="I396" s="60">
        <f t="shared" si="47"/>
        <v>311378.56</v>
      </c>
      <c r="J396" s="25">
        <f t="shared" si="44"/>
        <v>0</v>
      </c>
      <c r="K396" s="26" t="str">
        <f t="shared" si="45"/>
        <v>Pendiente de ejecutar</v>
      </c>
      <c r="L396" s="6" t="s">
        <v>328</v>
      </c>
      <c r="M396" s="6"/>
    </row>
    <row r="397" spans="1:13" x14ac:dyDescent="0.35">
      <c r="A397" s="11" t="s">
        <v>245</v>
      </c>
      <c r="B397" s="11" t="s">
        <v>208</v>
      </c>
      <c r="C397" s="11" t="s">
        <v>136</v>
      </c>
      <c r="D397" s="11" t="s">
        <v>137</v>
      </c>
      <c r="E397" s="13">
        <v>46000</v>
      </c>
      <c r="F397" s="13">
        <v>32286.92</v>
      </c>
      <c r="G397" s="13">
        <v>0</v>
      </c>
      <c r="H397" s="50">
        <f t="shared" si="46"/>
        <v>32286.92</v>
      </c>
      <c r="I397" s="60">
        <f t="shared" si="47"/>
        <v>13713.080000000002</v>
      </c>
      <c r="J397" s="18">
        <f t="shared" si="44"/>
        <v>0.70188956521739132</v>
      </c>
      <c r="K397" s="19" t="str">
        <f t="shared" si="45"/>
        <v>En Progreso</v>
      </c>
      <c r="L397" s="6" t="s">
        <v>328</v>
      </c>
      <c r="M397" s="6" t="s">
        <v>325</v>
      </c>
    </row>
    <row r="398" spans="1:13" x14ac:dyDescent="0.35">
      <c r="A398" s="23" t="s">
        <v>113</v>
      </c>
      <c r="B398" s="11" t="s">
        <v>324</v>
      </c>
      <c r="C398" s="23" t="s">
        <v>50</v>
      </c>
      <c r="D398" s="23" t="s">
        <v>51</v>
      </c>
      <c r="E398" s="15">
        <v>0</v>
      </c>
      <c r="F398" s="15">
        <v>7400</v>
      </c>
      <c r="G398" s="15">
        <v>0</v>
      </c>
      <c r="H398" s="50">
        <f t="shared" si="46"/>
        <v>7400</v>
      </c>
      <c r="I398" s="60">
        <f t="shared" si="47"/>
        <v>-7400</v>
      </c>
      <c r="J398" s="25">
        <f t="shared" si="44"/>
        <v>0</v>
      </c>
      <c r="K398" s="26" t="str">
        <f t="shared" si="45"/>
        <v>Sin Plan</v>
      </c>
      <c r="L398" s="6" t="s">
        <v>328</v>
      </c>
      <c r="M398" s="6" t="s">
        <v>323</v>
      </c>
    </row>
    <row r="399" spans="1:13" x14ac:dyDescent="0.35">
      <c r="A399" s="11" t="s">
        <v>222</v>
      </c>
      <c r="B399" s="11" t="s">
        <v>208</v>
      </c>
      <c r="C399" s="11" t="s">
        <v>136</v>
      </c>
      <c r="D399" s="11" t="s">
        <v>137</v>
      </c>
      <c r="E399" s="15">
        <v>41000</v>
      </c>
      <c r="F399" s="15">
        <v>32286.92</v>
      </c>
      <c r="G399" s="15">
        <v>0</v>
      </c>
      <c r="H399" s="50">
        <f t="shared" si="46"/>
        <v>32286.92</v>
      </c>
      <c r="I399" s="60">
        <f t="shared" si="47"/>
        <v>8713.0800000000017</v>
      </c>
      <c r="J399" s="18">
        <f t="shared" si="44"/>
        <v>0.78748585365853652</v>
      </c>
      <c r="K399" s="19" t="str">
        <f t="shared" si="45"/>
        <v>En Progreso</v>
      </c>
      <c r="L399" s="6" t="s">
        <v>328</v>
      </c>
      <c r="M399" s="6" t="s">
        <v>325</v>
      </c>
    </row>
    <row r="400" spans="1:13" x14ac:dyDescent="0.35">
      <c r="A400" s="20" t="s">
        <v>113</v>
      </c>
      <c r="B400" s="11" t="s">
        <v>324</v>
      </c>
      <c r="C400" s="20" t="s">
        <v>13</v>
      </c>
      <c r="D400" s="20" t="s">
        <v>14</v>
      </c>
      <c r="E400" s="13">
        <v>685000</v>
      </c>
      <c r="F400" s="13">
        <v>0</v>
      </c>
      <c r="G400" s="13">
        <v>800100</v>
      </c>
      <c r="H400" s="50">
        <f t="shared" si="46"/>
        <v>800100</v>
      </c>
      <c r="I400" s="60">
        <f t="shared" si="47"/>
        <v>-115100</v>
      </c>
      <c r="J400" s="25">
        <f t="shared" si="44"/>
        <v>1.1680291970802921</v>
      </c>
      <c r="K400" s="26" t="str">
        <f t="shared" si="45"/>
        <v>Completado</v>
      </c>
      <c r="L400" s="6" t="s">
        <v>328</v>
      </c>
      <c r="M400" s="6" t="s">
        <v>325</v>
      </c>
    </row>
    <row r="401" spans="1:13" x14ac:dyDescent="0.35">
      <c r="A401" s="11" t="s">
        <v>113</v>
      </c>
      <c r="B401" s="11" t="s">
        <v>324</v>
      </c>
      <c r="C401" s="11" t="s">
        <v>78</v>
      </c>
      <c r="D401" s="11" t="s">
        <v>79</v>
      </c>
      <c r="E401" s="15">
        <v>107000</v>
      </c>
      <c r="F401" s="15">
        <v>0</v>
      </c>
      <c r="G401" s="15">
        <v>58580.86</v>
      </c>
      <c r="H401" s="50">
        <f t="shared" si="46"/>
        <v>58580.86</v>
      </c>
      <c r="I401" s="60">
        <f t="shared" si="47"/>
        <v>48419.14</v>
      </c>
      <c r="J401" s="25">
        <f t="shared" si="44"/>
        <v>0.54748467289719627</v>
      </c>
      <c r="K401" s="26" t="str">
        <f t="shared" si="45"/>
        <v>En Progreso</v>
      </c>
      <c r="L401" s="6" t="s">
        <v>328</v>
      </c>
      <c r="M401" s="6" t="s">
        <v>325</v>
      </c>
    </row>
    <row r="402" spans="1:13" x14ac:dyDescent="0.35">
      <c r="A402" s="20" t="s">
        <v>114</v>
      </c>
      <c r="B402" s="11" t="s">
        <v>324</v>
      </c>
      <c r="C402" s="20" t="s">
        <v>83</v>
      </c>
      <c r="D402" s="20" t="s">
        <v>84</v>
      </c>
      <c r="E402" s="13">
        <v>150000</v>
      </c>
      <c r="F402" s="13">
        <v>369717.7</v>
      </c>
      <c r="G402" s="13"/>
      <c r="H402" s="50">
        <f t="shared" si="46"/>
        <v>369717.7</v>
      </c>
      <c r="I402" s="60">
        <f t="shared" si="47"/>
        <v>-219717.7</v>
      </c>
      <c r="J402" s="25">
        <f t="shared" si="44"/>
        <v>2.4647846666666666</v>
      </c>
      <c r="K402" s="26" t="str">
        <f t="shared" si="45"/>
        <v>Completado</v>
      </c>
      <c r="L402" s="6" t="s">
        <v>328</v>
      </c>
      <c r="M402" s="6" t="s">
        <v>325</v>
      </c>
    </row>
    <row r="403" spans="1:13" x14ac:dyDescent="0.35">
      <c r="A403" s="11" t="s">
        <v>160</v>
      </c>
      <c r="B403" s="11" t="s">
        <v>208</v>
      </c>
      <c r="C403" s="11" t="s">
        <v>163</v>
      </c>
      <c r="D403" s="11" t="s">
        <v>164</v>
      </c>
      <c r="E403" s="13">
        <v>38000</v>
      </c>
      <c r="F403" s="13">
        <v>0</v>
      </c>
      <c r="G403" s="13">
        <v>0</v>
      </c>
      <c r="H403" s="50">
        <f t="shared" si="46"/>
        <v>0</v>
      </c>
      <c r="I403" s="60">
        <f t="shared" si="47"/>
        <v>38000</v>
      </c>
      <c r="J403" s="18">
        <f t="shared" si="44"/>
        <v>0</v>
      </c>
      <c r="K403" s="19" t="str">
        <f t="shared" si="45"/>
        <v>Pendiente de ejecutar</v>
      </c>
      <c r="L403" s="6" t="s">
        <v>328</v>
      </c>
      <c r="M403" s="6" t="s">
        <v>325</v>
      </c>
    </row>
    <row r="404" spans="1:13" x14ac:dyDescent="0.35">
      <c r="A404" s="23" t="s">
        <v>262</v>
      </c>
      <c r="B404" s="11" t="s">
        <v>208</v>
      </c>
      <c r="C404" s="23" t="s">
        <v>163</v>
      </c>
      <c r="D404" s="23" t="s">
        <v>164</v>
      </c>
      <c r="E404" s="15">
        <v>38000</v>
      </c>
      <c r="F404" s="15">
        <v>0</v>
      </c>
      <c r="G404" s="15">
        <v>39850</v>
      </c>
      <c r="H404" s="50">
        <f t="shared" si="46"/>
        <v>39850</v>
      </c>
      <c r="I404" s="60">
        <f t="shared" si="47"/>
        <v>-1850</v>
      </c>
      <c r="J404" s="25">
        <f t="shared" si="44"/>
        <v>1.0486842105263159</v>
      </c>
      <c r="K404" s="26" t="str">
        <f t="shared" si="45"/>
        <v>Completado</v>
      </c>
      <c r="L404" s="6" t="s">
        <v>328</v>
      </c>
      <c r="M404" s="6" t="s">
        <v>325</v>
      </c>
    </row>
    <row r="405" spans="1:13" s="2" customFormat="1" x14ac:dyDescent="0.35">
      <c r="A405" s="11" t="s">
        <v>210</v>
      </c>
      <c r="B405" s="11" t="s">
        <v>208</v>
      </c>
      <c r="C405" s="11" t="s">
        <v>138</v>
      </c>
      <c r="D405" s="11" t="s">
        <v>139</v>
      </c>
      <c r="E405" s="13">
        <v>37500</v>
      </c>
      <c r="F405" s="13">
        <v>149544.75</v>
      </c>
      <c r="G405" s="13">
        <v>0</v>
      </c>
      <c r="H405" s="50">
        <f t="shared" si="46"/>
        <v>149544.75</v>
      </c>
      <c r="I405" s="60">
        <f t="shared" si="47"/>
        <v>-112044.75</v>
      </c>
      <c r="J405" s="18">
        <f t="shared" si="44"/>
        <v>3.98786</v>
      </c>
      <c r="K405" s="19" t="str">
        <f t="shared" si="45"/>
        <v>Completado</v>
      </c>
      <c r="L405" s="6" t="s">
        <v>328</v>
      </c>
      <c r="M405" s="6" t="s">
        <v>325</v>
      </c>
    </row>
    <row r="406" spans="1:13" x14ac:dyDescent="0.35">
      <c r="A406" s="11" t="s">
        <v>114</v>
      </c>
      <c r="B406" s="11" t="s">
        <v>324</v>
      </c>
      <c r="C406" s="11" t="s">
        <v>47</v>
      </c>
      <c r="D406" s="11" t="s">
        <v>48</v>
      </c>
      <c r="E406" s="13">
        <v>132300</v>
      </c>
      <c r="F406" s="13">
        <v>136751.45000000001</v>
      </c>
      <c r="G406" s="13"/>
      <c r="H406" s="50">
        <f t="shared" si="46"/>
        <v>136751.45000000001</v>
      </c>
      <c r="I406" s="60">
        <f t="shared" si="47"/>
        <v>-4451.4500000000116</v>
      </c>
      <c r="J406" s="25">
        <f t="shared" si="44"/>
        <v>1.0336466364323509</v>
      </c>
      <c r="K406" s="26" t="str">
        <f t="shared" si="45"/>
        <v>Completado</v>
      </c>
      <c r="L406" s="6" t="s">
        <v>328</v>
      </c>
      <c r="M406" s="6" t="s">
        <v>325</v>
      </c>
    </row>
    <row r="407" spans="1:13" x14ac:dyDescent="0.35">
      <c r="A407" s="20" t="s">
        <v>202</v>
      </c>
      <c r="B407" s="11" t="s">
        <v>208</v>
      </c>
      <c r="C407" s="20"/>
      <c r="D407" s="20" t="s">
        <v>75</v>
      </c>
      <c r="E407" s="45">
        <v>30000</v>
      </c>
      <c r="F407" s="13"/>
      <c r="G407" s="13"/>
      <c r="H407" s="50">
        <f t="shared" si="46"/>
        <v>0</v>
      </c>
      <c r="I407" s="60">
        <f t="shared" si="47"/>
        <v>30000</v>
      </c>
      <c r="J407" s="21"/>
      <c r="K407" s="22"/>
      <c r="L407" s="6" t="s">
        <v>328</v>
      </c>
      <c r="M407" s="6"/>
    </row>
    <row r="408" spans="1:13" x14ac:dyDescent="0.35">
      <c r="A408" s="20" t="s">
        <v>114</v>
      </c>
      <c r="B408" s="11" t="s">
        <v>324</v>
      </c>
      <c r="C408" s="20" t="s">
        <v>92</v>
      </c>
      <c r="D408" s="20" t="s">
        <v>93</v>
      </c>
      <c r="E408" s="13">
        <v>0</v>
      </c>
      <c r="F408" s="13"/>
      <c r="G408" s="13"/>
      <c r="H408" s="50">
        <f t="shared" si="46"/>
        <v>0</v>
      </c>
      <c r="I408" s="60">
        <f t="shared" si="47"/>
        <v>0</v>
      </c>
      <c r="J408" s="25">
        <f t="shared" ref="J408:J439" si="48">IFERROR(H408/E408,0)</f>
        <v>0</v>
      </c>
      <c r="K408" s="26" t="str">
        <f t="shared" ref="K408:K439" si="49">IF(E408=0,"Sin Plan",IF(J408&gt;=1,"Completado",IF(J408&gt;0.001,"En Progreso","Pendiente de ejecutar")))</f>
        <v>Sin Plan</v>
      </c>
      <c r="L408" s="6" t="s">
        <v>328</v>
      </c>
      <c r="M408" s="6" t="s">
        <v>323</v>
      </c>
    </row>
    <row r="409" spans="1:13" x14ac:dyDescent="0.35">
      <c r="A409" s="70" t="s">
        <v>114</v>
      </c>
      <c r="B409" s="11" t="s">
        <v>324</v>
      </c>
      <c r="C409" s="27"/>
      <c r="D409" s="75" t="s">
        <v>334</v>
      </c>
      <c r="E409" s="15">
        <v>265000</v>
      </c>
      <c r="F409" s="15"/>
      <c r="G409" s="15"/>
      <c r="H409" s="50">
        <f t="shared" si="46"/>
        <v>0</v>
      </c>
      <c r="I409" s="60">
        <f t="shared" si="47"/>
        <v>265000</v>
      </c>
      <c r="J409" s="25">
        <f t="shared" si="48"/>
        <v>0</v>
      </c>
      <c r="K409" s="26" t="str">
        <f t="shared" si="49"/>
        <v>Pendiente de ejecutar</v>
      </c>
      <c r="L409" s="6" t="s">
        <v>328</v>
      </c>
      <c r="M409" s="6"/>
    </row>
    <row r="410" spans="1:13" x14ac:dyDescent="0.35">
      <c r="A410" s="11" t="s">
        <v>202</v>
      </c>
      <c r="B410" s="11" t="s">
        <v>208</v>
      </c>
      <c r="C410" s="11" t="s">
        <v>53</v>
      </c>
      <c r="D410" s="11" t="s">
        <v>54</v>
      </c>
      <c r="E410" s="13">
        <v>26000</v>
      </c>
      <c r="F410" s="13">
        <v>25662.27</v>
      </c>
      <c r="G410" s="13">
        <v>0</v>
      </c>
      <c r="H410" s="50">
        <f t="shared" si="46"/>
        <v>25662.27</v>
      </c>
      <c r="I410" s="60">
        <f t="shared" si="47"/>
        <v>337.72999999999956</v>
      </c>
      <c r="J410" s="18">
        <f t="shared" si="48"/>
        <v>0.9870103846153846</v>
      </c>
      <c r="K410" s="19" t="str">
        <f t="shared" si="49"/>
        <v>En Progreso</v>
      </c>
      <c r="L410" s="6" t="s">
        <v>328</v>
      </c>
      <c r="M410" s="6" t="s">
        <v>325</v>
      </c>
    </row>
    <row r="411" spans="1:13" x14ac:dyDescent="0.35">
      <c r="A411" s="23" t="s">
        <v>297</v>
      </c>
      <c r="B411" s="11" t="s">
        <v>208</v>
      </c>
      <c r="C411" s="23" t="s">
        <v>136</v>
      </c>
      <c r="D411" s="23" t="s">
        <v>137</v>
      </c>
      <c r="E411" s="15">
        <v>25000</v>
      </c>
      <c r="F411" s="15">
        <v>0</v>
      </c>
      <c r="G411" s="15">
        <v>0</v>
      </c>
      <c r="H411" s="50">
        <f t="shared" si="46"/>
        <v>0</v>
      </c>
      <c r="I411" s="60">
        <f t="shared" si="47"/>
        <v>25000</v>
      </c>
      <c r="J411" s="25">
        <f t="shared" si="48"/>
        <v>0</v>
      </c>
      <c r="K411" s="26" t="str">
        <f t="shared" si="49"/>
        <v>Pendiente de ejecutar</v>
      </c>
      <c r="L411" s="6" t="s">
        <v>328</v>
      </c>
      <c r="M411" s="6" t="s">
        <v>325</v>
      </c>
    </row>
    <row r="412" spans="1:13" x14ac:dyDescent="0.35">
      <c r="A412" s="11" t="s">
        <v>303</v>
      </c>
      <c r="B412" s="11" t="s">
        <v>208</v>
      </c>
      <c r="C412" s="11" t="s">
        <v>136</v>
      </c>
      <c r="D412" s="11" t="s">
        <v>137</v>
      </c>
      <c r="E412" s="13">
        <v>25000</v>
      </c>
      <c r="F412" s="13">
        <v>0</v>
      </c>
      <c r="G412" s="13">
        <v>0</v>
      </c>
      <c r="H412" s="50">
        <f t="shared" si="46"/>
        <v>0</v>
      </c>
      <c r="I412" s="60">
        <f t="shared" si="47"/>
        <v>25000</v>
      </c>
      <c r="J412" s="18">
        <f t="shared" si="48"/>
        <v>0</v>
      </c>
      <c r="K412" s="19" t="str">
        <f t="shared" si="49"/>
        <v>Pendiente de ejecutar</v>
      </c>
      <c r="L412" s="6" t="s">
        <v>328</v>
      </c>
      <c r="M412" s="6" t="s">
        <v>325</v>
      </c>
    </row>
    <row r="413" spans="1:13" x14ac:dyDescent="0.35">
      <c r="A413" s="20" t="s">
        <v>169</v>
      </c>
      <c r="B413" s="11" t="s">
        <v>208</v>
      </c>
      <c r="C413" s="20" t="s">
        <v>136</v>
      </c>
      <c r="D413" s="20" t="s">
        <v>137</v>
      </c>
      <c r="E413" s="13">
        <v>20000</v>
      </c>
      <c r="F413" s="13">
        <v>0</v>
      </c>
      <c r="G413" s="45">
        <v>255337.83</v>
      </c>
      <c r="H413" s="50">
        <f t="shared" si="46"/>
        <v>255337.83</v>
      </c>
      <c r="I413" s="60">
        <f t="shared" si="47"/>
        <v>-235337.83</v>
      </c>
      <c r="J413" s="21">
        <f t="shared" si="48"/>
        <v>12.7668915</v>
      </c>
      <c r="K413" s="22" t="str">
        <f t="shared" si="49"/>
        <v>Completado</v>
      </c>
      <c r="L413" s="6" t="s">
        <v>328</v>
      </c>
      <c r="M413" s="6" t="s">
        <v>325</v>
      </c>
    </row>
    <row r="414" spans="1:13" x14ac:dyDescent="0.35">
      <c r="A414" s="23" t="s">
        <v>210</v>
      </c>
      <c r="B414" s="11" t="s">
        <v>208</v>
      </c>
      <c r="C414" s="23" t="s">
        <v>136</v>
      </c>
      <c r="D414" s="23" t="s">
        <v>137</v>
      </c>
      <c r="E414" s="15">
        <v>20000</v>
      </c>
      <c r="F414" s="15">
        <v>0</v>
      </c>
      <c r="G414" s="15">
        <v>0</v>
      </c>
      <c r="H414" s="50">
        <f t="shared" si="46"/>
        <v>0</v>
      </c>
      <c r="I414" s="60">
        <f t="shared" si="47"/>
        <v>20000</v>
      </c>
      <c r="J414" s="25">
        <f t="shared" si="48"/>
        <v>0</v>
      </c>
      <c r="K414" s="26" t="str">
        <f t="shared" si="49"/>
        <v>Pendiente de ejecutar</v>
      </c>
      <c r="L414" s="6" t="s">
        <v>328</v>
      </c>
      <c r="M414" s="6" t="s">
        <v>325</v>
      </c>
    </row>
    <row r="415" spans="1:13" x14ac:dyDescent="0.35">
      <c r="A415" s="11" t="s">
        <v>229</v>
      </c>
      <c r="B415" s="11" t="s">
        <v>208</v>
      </c>
      <c r="C415" s="11" t="s">
        <v>136</v>
      </c>
      <c r="D415" s="11" t="s">
        <v>137</v>
      </c>
      <c r="E415" s="13">
        <v>20000</v>
      </c>
      <c r="F415" s="13">
        <v>0</v>
      </c>
      <c r="G415" s="13">
        <v>0</v>
      </c>
      <c r="H415" s="50">
        <f t="shared" si="46"/>
        <v>0</v>
      </c>
      <c r="I415" s="60">
        <f t="shared" si="47"/>
        <v>20000</v>
      </c>
      <c r="J415" s="18">
        <f t="shared" si="48"/>
        <v>0</v>
      </c>
      <c r="K415" s="19" t="str">
        <f t="shared" si="49"/>
        <v>Pendiente de ejecutar</v>
      </c>
      <c r="L415" s="6" t="s">
        <v>328</v>
      </c>
      <c r="M415" s="6" t="s">
        <v>325</v>
      </c>
    </row>
    <row r="416" spans="1:13" x14ac:dyDescent="0.35">
      <c r="A416" s="11" t="s">
        <v>213</v>
      </c>
      <c r="B416" s="11" t="s">
        <v>208</v>
      </c>
      <c r="C416" s="11" t="s">
        <v>136</v>
      </c>
      <c r="D416" s="11" t="s">
        <v>137</v>
      </c>
      <c r="E416" s="13">
        <v>17500</v>
      </c>
      <c r="F416" s="13">
        <v>0</v>
      </c>
      <c r="G416" s="13">
        <v>0</v>
      </c>
      <c r="H416" s="50">
        <f t="shared" si="46"/>
        <v>0</v>
      </c>
      <c r="I416" s="60">
        <f t="shared" si="47"/>
        <v>17500</v>
      </c>
      <c r="J416" s="18">
        <f t="shared" si="48"/>
        <v>0</v>
      </c>
      <c r="K416" s="19" t="str">
        <f t="shared" si="49"/>
        <v>Pendiente de ejecutar</v>
      </c>
      <c r="L416" s="6" t="s">
        <v>328</v>
      </c>
      <c r="M416" s="6" t="s">
        <v>325</v>
      </c>
    </row>
    <row r="417" spans="1:13" x14ac:dyDescent="0.35">
      <c r="A417" s="20" t="s">
        <v>225</v>
      </c>
      <c r="B417" s="11" t="s">
        <v>208</v>
      </c>
      <c r="C417" s="20" t="s">
        <v>136</v>
      </c>
      <c r="D417" s="20" t="s">
        <v>137</v>
      </c>
      <c r="E417" s="13">
        <v>17500</v>
      </c>
      <c r="F417" s="13">
        <v>0</v>
      </c>
      <c r="G417" s="13">
        <v>0</v>
      </c>
      <c r="H417" s="50">
        <f t="shared" si="46"/>
        <v>0</v>
      </c>
      <c r="I417" s="60">
        <f t="shared" si="47"/>
        <v>17500</v>
      </c>
      <c r="J417" s="21">
        <f t="shared" si="48"/>
        <v>0</v>
      </c>
      <c r="K417" s="22" t="str">
        <f t="shared" si="49"/>
        <v>Pendiente de ejecutar</v>
      </c>
      <c r="L417" s="6" t="s">
        <v>328</v>
      </c>
      <c r="M417" s="6" t="s">
        <v>325</v>
      </c>
    </row>
    <row r="418" spans="1:13" x14ac:dyDescent="0.35">
      <c r="A418" s="11" t="s">
        <v>243</v>
      </c>
      <c r="B418" s="11" t="s">
        <v>208</v>
      </c>
      <c r="C418" s="11" t="s">
        <v>136</v>
      </c>
      <c r="D418" s="11" t="s">
        <v>137</v>
      </c>
      <c r="E418" s="15">
        <v>17500</v>
      </c>
      <c r="F418" s="15">
        <v>0</v>
      </c>
      <c r="G418" s="15">
        <v>0</v>
      </c>
      <c r="H418" s="50">
        <f t="shared" si="46"/>
        <v>0</v>
      </c>
      <c r="I418" s="60">
        <f t="shared" si="47"/>
        <v>17500</v>
      </c>
      <c r="J418" s="18">
        <f t="shared" si="48"/>
        <v>0</v>
      </c>
      <c r="K418" s="19" t="str">
        <f t="shared" si="49"/>
        <v>Pendiente de ejecutar</v>
      </c>
      <c r="L418" s="6" t="s">
        <v>328</v>
      </c>
      <c r="M418" s="6" t="s">
        <v>325</v>
      </c>
    </row>
    <row r="419" spans="1:13" x14ac:dyDescent="0.35">
      <c r="A419" s="36" t="s">
        <v>253</v>
      </c>
      <c r="B419" s="11" t="s">
        <v>208</v>
      </c>
      <c r="C419" s="38" t="s">
        <v>136</v>
      </c>
      <c r="D419" s="38" t="s">
        <v>137</v>
      </c>
      <c r="E419" s="31">
        <v>17500</v>
      </c>
      <c r="F419" s="31">
        <v>0</v>
      </c>
      <c r="G419" s="31">
        <v>0</v>
      </c>
      <c r="H419" s="50">
        <f t="shared" si="46"/>
        <v>0</v>
      </c>
      <c r="I419" s="60">
        <f t="shared" si="47"/>
        <v>17500</v>
      </c>
      <c r="J419" s="25">
        <f t="shared" si="48"/>
        <v>0</v>
      </c>
      <c r="K419" s="26" t="str">
        <f t="shared" si="49"/>
        <v>Pendiente de ejecutar</v>
      </c>
      <c r="L419" s="6" t="s">
        <v>328</v>
      </c>
      <c r="M419" s="6" t="s">
        <v>325</v>
      </c>
    </row>
    <row r="420" spans="1:13" x14ac:dyDescent="0.35">
      <c r="A420" s="11" t="s">
        <v>258</v>
      </c>
      <c r="B420" s="11" t="s">
        <v>208</v>
      </c>
      <c r="C420" s="11" t="s">
        <v>136</v>
      </c>
      <c r="D420" s="11" t="s">
        <v>137</v>
      </c>
      <c r="E420" s="13">
        <v>17500</v>
      </c>
      <c r="F420" s="13">
        <v>0</v>
      </c>
      <c r="G420" s="13">
        <v>0</v>
      </c>
      <c r="H420" s="50">
        <f t="shared" si="46"/>
        <v>0</v>
      </c>
      <c r="I420" s="60">
        <f t="shared" si="47"/>
        <v>17500</v>
      </c>
      <c r="J420" s="18">
        <f t="shared" si="48"/>
        <v>0</v>
      </c>
      <c r="K420" s="19" t="str">
        <f t="shared" si="49"/>
        <v>Pendiente de ejecutar</v>
      </c>
      <c r="L420" s="6" t="s">
        <v>328</v>
      </c>
      <c r="M420" s="6" t="s">
        <v>325</v>
      </c>
    </row>
    <row r="421" spans="1:13" s="2" customFormat="1" x14ac:dyDescent="0.35">
      <c r="A421" s="23" t="s">
        <v>286</v>
      </c>
      <c r="B421" s="11" t="s">
        <v>208</v>
      </c>
      <c r="C421" s="23" t="s">
        <v>136</v>
      </c>
      <c r="D421" s="23" t="s">
        <v>137</v>
      </c>
      <c r="E421" s="15">
        <v>17500</v>
      </c>
      <c r="F421" s="15">
        <v>0</v>
      </c>
      <c r="G421" s="15">
        <v>0</v>
      </c>
      <c r="H421" s="50">
        <f t="shared" si="46"/>
        <v>0</v>
      </c>
      <c r="I421" s="60">
        <f t="shared" si="47"/>
        <v>17500</v>
      </c>
      <c r="J421" s="25">
        <f t="shared" si="48"/>
        <v>0</v>
      </c>
      <c r="K421" s="26" t="str">
        <f t="shared" si="49"/>
        <v>Pendiente de ejecutar</v>
      </c>
      <c r="L421" s="6" t="s">
        <v>328</v>
      </c>
      <c r="M421" s="6" t="s">
        <v>325</v>
      </c>
    </row>
    <row r="422" spans="1:13" x14ac:dyDescent="0.35">
      <c r="A422" s="11" t="s">
        <v>301</v>
      </c>
      <c r="B422" s="11" t="s">
        <v>208</v>
      </c>
      <c r="C422" s="11" t="s">
        <v>136</v>
      </c>
      <c r="D422" s="11" t="s">
        <v>137</v>
      </c>
      <c r="E422" s="15">
        <v>17500</v>
      </c>
      <c r="F422" s="15">
        <v>0</v>
      </c>
      <c r="G422" s="15">
        <v>0</v>
      </c>
      <c r="H422" s="50">
        <f t="shared" si="46"/>
        <v>0</v>
      </c>
      <c r="I422" s="60">
        <f t="shared" si="47"/>
        <v>17500</v>
      </c>
      <c r="J422" s="18">
        <f t="shared" si="48"/>
        <v>0</v>
      </c>
      <c r="K422" s="19" t="str">
        <f t="shared" si="49"/>
        <v>Pendiente de ejecutar</v>
      </c>
      <c r="L422" s="6" t="s">
        <v>328</v>
      </c>
      <c r="M422" s="6" t="s">
        <v>325</v>
      </c>
    </row>
    <row r="423" spans="1:13" x14ac:dyDescent="0.35">
      <c r="A423" s="20" t="s">
        <v>245</v>
      </c>
      <c r="B423" s="11" t="s">
        <v>208</v>
      </c>
      <c r="C423" s="20" t="s">
        <v>165</v>
      </c>
      <c r="D423" s="20" t="s">
        <v>166</v>
      </c>
      <c r="E423" s="13">
        <v>17400</v>
      </c>
      <c r="F423" s="13">
        <v>0</v>
      </c>
      <c r="G423" s="13">
        <v>0</v>
      </c>
      <c r="H423" s="50">
        <f t="shared" si="46"/>
        <v>0</v>
      </c>
      <c r="I423" s="60">
        <f t="shared" si="47"/>
        <v>17400</v>
      </c>
      <c r="J423" s="21">
        <f t="shared" si="48"/>
        <v>0</v>
      </c>
      <c r="K423" s="22" t="str">
        <f t="shared" si="49"/>
        <v>Pendiente de ejecutar</v>
      </c>
      <c r="L423" s="6" t="s">
        <v>328</v>
      </c>
      <c r="M423" s="6" t="s">
        <v>325</v>
      </c>
    </row>
    <row r="424" spans="1:13" x14ac:dyDescent="0.35">
      <c r="A424" s="11" t="s">
        <v>210</v>
      </c>
      <c r="B424" s="11" t="s">
        <v>208</v>
      </c>
      <c r="C424" s="11" t="s">
        <v>96</v>
      </c>
      <c r="D424" s="11" t="s">
        <v>97</v>
      </c>
      <c r="E424" s="15">
        <v>12000</v>
      </c>
      <c r="F424" s="15">
        <v>0</v>
      </c>
      <c r="G424" s="15">
        <v>0</v>
      </c>
      <c r="H424" s="50">
        <f t="shared" si="46"/>
        <v>0</v>
      </c>
      <c r="I424" s="60">
        <f t="shared" si="47"/>
        <v>12000</v>
      </c>
      <c r="J424" s="18">
        <f t="shared" si="48"/>
        <v>0</v>
      </c>
      <c r="K424" s="19" t="str">
        <f t="shared" si="49"/>
        <v>Pendiente de ejecutar</v>
      </c>
      <c r="L424" s="6" t="s">
        <v>328</v>
      </c>
      <c r="M424" s="6" t="s">
        <v>325</v>
      </c>
    </row>
    <row r="425" spans="1:13" x14ac:dyDescent="0.35">
      <c r="A425" s="20" t="s">
        <v>212</v>
      </c>
      <c r="B425" s="11" t="s">
        <v>208</v>
      </c>
      <c r="C425" s="20" t="s">
        <v>138</v>
      </c>
      <c r="D425" s="20" t="s">
        <v>139</v>
      </c>
      <c r="E425" s="13">
        <v>10000</v>
      </c>
      <c r="F425" s="13">
        <v>39878.6</v>
      </c>
      <c r="G425" s="13">
        <v>0</v>
      </c>
      <c r="H425" s="50">
        <f t="shared" si="46"/>
        <v>39878.6</v>
      </c>
      <c r="I425" s="60">
        <f t="shared" si="47"/>
        <v>-29878.6</v>
      </c>
      <c r="J425" s="21">
        <f t="shared" si="48"/>
        <v>3.98786</v>
      </c>
      <c r="K425" s="22" t="str">
        <f t="shared" si="49"/>
        <v>Completado</v>
      </c>
      <c r="L425" s="6" t="s">
        <v>328</v>
      </c>
      <c r="M425" s="6" t="s">
        <v>325</v>
      </c>
    </row>
    <row r="426" spans="1:13" x14ac:dyDescent="0.35">
      <c r="A426" s="11" t="s">
        <v>244</v>
      </c>
      <c r="B426" s="11" t="s">
        <v>208</v>
      </c>
      <c r="C426" s="11" t="s">
        <v>136</v>
      </c>
      <c r="D426" s="11" t="s">
        <v>137</v>
      </c>
      <c r="E426" s="15">
        <v>10000</v>
      </c>
      <c r="F426" s="15">
        <v>0</v>
      </c>
      <c r="G426" s="15">
        <v>0</v>
      </c>
      <c r="H426" s="50">
        <f t="shared" si="46"/>
        <v>0</v>
      </c>
      <c r="I426" s="60">
        <f t="shared" si="47"/>
        <v>10000</v>
      </c>
      <c r="J426" s="18">
        <f t="shared" si="48"/>
        <v>0</v>
      </c>
      <c r="K426" s="19" t="str">
        <f t="shared" si="49"/>
        <v>Pendiente de ejecutar</v>
      </c>
      <c r="L426" s="6" t="s">
        <v>328</v>
      </c>
      <c r="M426" s="6" t="s">
        <v>325</v>
      </c>
    </row>
    <row r="427" spans="1:13" x14ac:dyDescent="0.35">
      <c r="A427" s="23" t="s">
        <v>116</v>
      </c>
      <c r="B427" s="11" t="s">
        <v>324</v>
      </c>
      <c r="C427" s="23" t="s">
        <v>47</v>
      </c>
      <c r="D427" s="23" t="s">
        <v>48</v>
      </c>
      <c r="E427" s="15">
        <v>132300</v>
      </c>
      <c r="F427" s="15">
        <v>136751.45000000001</v>
      </c>
      <c r="G427" s="15">
        <v>0</v>
      </c>
      <c r="H427" s="50">
        <f t="shared" si="46"/>
        <v>136751.45000000001</v>
      </c>
      <c r="I427" s="60">
        <f t="shared" si="47"/>
        <v>-4451.4500000000116</v>
      </c>
      <c r="J427" s="25">
        <f t="shared" si="48"/>
        <v>1.0336466364323509</v>
      </c>
      <c r="K427" s="26" t="str">
        <f t="shared" si="49"/>
        <v>Completado</v>
      </c>
      <c r="L427" s="6" t="s">
        <v>328</v>
      </c>
      <c r="M427" s="6" t="s">
        <v>325</v>
      </c>
    </row>
    <row r="428" spans="1:13" s="2" customFormat="1" x14ac:dyDescent="0.35">
      <c r="A428" s="11" t="s">
        <v>117</v>
      </c>
      <c r="B428" s="11" t="s">
        <v>324</v>
      </c>
      <c r="C428" s="11" t="s">
        <v>47</v>
      </c>
      <c r="D428" s="11" t="s">
        <v>48</v>
      </c>
      <c r="E428" s="15">
        <v>132300</v>
      </c>
      <c r="F428" s="15">
        <v>0</v>
      </c>
      <c r="G428" s="15">
        <v>246624.75</v>
      </c>
      <c r="H428" s="50">
        <f t="shared" si="46"/>
        <v>246624.75</v>
      </c>
      <c r="I428" s="60">
        <f t="shared" si="47"/>
        <v>-114324.75</v>
      </c>
      <c r="J428" s="25">
        <f t="shared" si="48"/>
        <v>1.8641326530612246</v>
      </c>
      <c r="K428" s="26" t="str">
        <f t="shared" si="49"/>
        <v>Completado</v>
      </c>
      <c r="L428" s="6" t="s">
        <v>328</v>
      </c>
      <c r="M428" s="6" t="s">
        <v>325</v>
      </c>
    </row>
    <row r="429" spans="1:13" x14ac:dyDescent="0.35">
      <c r="A429" s="20" t="s">
        <v>117</v>
      </c>
      <c r="B429" s="11" t="s">
        <v>324</v>
      </c>
      <c r="C429" s="20" t="s">
        <v>29</v>
      </c>
      <c r="D429" s="20" t="s">
        <v>30</v>
      </c>
      <c r="E429" s="13">
        <v>0</v>
      </c>
      <c r="F429" s="13">
        <v>0</v>
      </c>
      <c r="G429" s="13">
        <v>163408.31</v>
      </c>
      <c r="H429" s="50">
        <f t="shared" si="46"/>
        <v>163408.31</v>
      </c>
      <c r="I429" s="60">
        <f t="shared" si="47"/>
        <v>-163408.31</v>
      </c>
      <c r="J429" s="25">
        <f t="shared" si="48"/>
        <v>0</v>
      </c>
      <c r="K429" s="26" t="str">
        <f t="shared" si="49"/>
        <v>Sin Plan</v>
      </c>
      <c r="L429" s="6" t="s">
        <v>328</v>
      </c>
      <c r="M429" s="6" t="s">
        <v>327</v>
      </c>
    </row>
    <row r="430" spans="1:13" x14ac:dyDescent="0.35">
      <c r="A430" s="11" t="s">
        <v>117</v>
      </c>
      <c r="B430" s="11" t="s">
        <v>324</v>
      </c>
      <c r="C430" s="11" t="s">
        <v>31</v>
      </c>
      <c r="D430" s="11" t="s">
        <v>32</v>
      </c>
      <c r="E430" s="15">
        <v>363000</v>
      </c>
      <c r="F430" s="15">
        <v>105550</v>
      </c>
      <c r="G430" s="15">
        <v>0</v>
      </c>
      <c r="H430" s="50">
        <f t="shared" si="46"/>
        <v>105550</v>
      </c>
      <c r="I430" s="60">
        <f t="shared" si="47"/>
        <v>257450</v>
      </c>
      <c r="J430" s="25">
        <f t="shared" si="48"/>
        <v>0.29077134986225894</v>
      </c>
      <c r="K430" s="26" t="str">
        <f t="shared" si="49"/>
        <v>En Progreso</v>
      </c>
      <c r="L430" s="6" t="s">
        <v>328</v>
      </c>
      <c r="M430" s="6" t="s">
        <v>325</v>
      </c>
    </row>
    <row r="431" spans="1:13" x14ac:dyDescent="0.35">
      <c r="A431" s="70" t="s">
        <v>117</v>
      </c>
      <c r="B431" s="11" t="s">
        <v>324</v>
      </c>
      <c r="C431" s="27"/>
      <c r="D431" s="75" t="s">
        <v>334</v>
      </c>
      <c r="E431" s="15">
        <v>49120</v>
      </c>
      <c r="F431" s="15"/>
      <c r="G431" s="15"/>
      <c r="H431" s="50">
        <f t="shared" si="46"/>
        <v>0</v>
      </c>
      <c r="I431" s="60">
        <f t="shared" si="47"/>
        <v>49120</v>
      </c>
      <c r="J431" s="25">
        <f t="shared" si="48"/>
        <v>0</v>
      </c>
      <c r="K431" s="26" t="str">
        <f t="shared" si="49"/>
        <v>Pendiente de ejecutar</v>
      </c>
      <c r="L431" s="6" t="s">
        <v>328</v>
      </c>
      <c r="M431" s="6"/>
    </row>
    <row r="432" spans="1:13" x14ac:dyDescent="0.35">
      <c r="A432" s="23" t="s">
        <v>114</v>
      </c>
      <c r="B432" s="11" t="s">
        <v>324</v>
      </c>
      <c r="C432" s="27"/>
      <c r="D432" s="28" t="s">
        <v>115</v>
      </c>
      <c r="E432" s="15"/>
      <c r="F432" s="16">
        <v>205095.97</v>
      </c>
      <c r="G432" s="15"/>
      <c r="H432" s="50">
        <f t="shared" si="46"/>
        <v>205095.97</v>
      </c>
      <c r="I432" s="60">
        <f t="shared" si="47"/>
        <v>-205095.97</v>
      </c>
      <c r="J432" s="25">
        <f t="shared" si="48"/>
        <v>0</v>
      </c>
      <c r="K432" s="26" t="str">
        <f t="shared" si="49"/>
        <v>Sin Plan</v>
      </c>
      <c r="L432" s="6" t="s">
        <v>326</v>
      </c>
      <c r="M432" s="6" t="s">
        <v>323</v>
      </c>
    </row>
    <row r="433" spans="1:13" x14ac:dyDescent="0.35">
      <c r="A433" s="11" t="s">
        <v>98</v>
      </c>
      <c r="B433" s="11" t="s">
        <v>324</v>
      </c>
      <c r="C433" s="27"/>
      <c r="D433" s="28" t="s">
        <v>103</v>
      </c>
      <c r="E433" s="15"/>
      <c r="F433" s="16">
        <v>14789.9</v>
      </c>
      <c r="G433" s="31"/>
      <c r="H433" s="50">
        <f t="shared" si="46"/>
        <v>14789.9</v>
      </c>
      <c r="I433" s="60">
        <f t="shared" si="47"/>
        <v>-14789.9</v>
      </c>
      <c r="J433" s="25">
        <f t="shared" si="48"/>
        <v>0</v>
      </c>
      <c r="K433" s="26" t="str">
        <f t="shared" si="49"/>
        <v>Sin Plan</v>
      </c>
      <c r="L433" s="6" t="s">
        <v>326</v>
      </c>
      <c r="M433" s="6" t="s">
        <v>323</v>
      </c>
    </row>
    <row r="434" spans="1:13" x14ac:dyDescent="0.35">
      <c r="A434" s="38" t="s">
        <v>57</v>
      </c>
      <c r="B434" s="38" t="s">
        <v>324</v>
      </c>
      <c r="C434" s="11" t="s">
        <v>58</v>
      </c>
      <c r="D434" s="38" t="s">
        <v>59</v>
      </c>
      <c r="E434" s="51">
        <v>1100000</v>
      </c>
      <c r="F434" s="51">
        <v>0</v>
      </c>
      <c r="G434" s="51">
        <v>0</v>
      </c>
      <c r="H434" s="50">
        <f t="shared" si="46"/>
        <v>0</v>
      </c>
      <c r="I434" s="60">
        <f t="shared" si="47"/>
        <v>1100000</v>
      </c>
      <c r="J434" s="96">
        <f t="shared" si="48"/>
        <v>0</v>
      </c>
      <c r="K434" s="97" t="str">
        <f t="shared" si="49"/>
        <v>Pendiente de ejecutar</v>
      </c>
      <c r="L434" s="94" t="s">
        <v>326</v>
      </c>
      <c r="M434" s="6" t="s">
        <v>325</v>
      </c>
    </row>
    <row r="435" spans="1:13" x14ac:dyDescent="0.35">
      <c r="A435" s="11" t="s">
        <v>62</v>
      </c>
      <c r="B435" s="11" t="s">
        <v>324</v>
      </c>
      <c r="C435" s="11" t="s">
        <v>63</v>
      </c>
      <c r="D435" s="11" t="s">
        <v>64</v>
      </c>
      <c r="E435" s="15">
        <v>2850000</v>
      </c>
      <c r="F435" s="15">
        <f>1290760+311637.46</f>
        <v>1602397.46</v>
      </c>
      <c r="G435" s="15"/>
      <c r="H435" s="50">
        <f t="shared" si="46"/>
        <v>1602397.46</v>
      </c>
      <c r="I435" s="60">
        <f t="shared" si="47"/>
        <v>1247602.54</v>
      </c>
      <c r="J435" s="25">
        <f t="shared" si="48"/>
        <v>0.56224472280701754</v>
      </c>
      <c r="K435" s="26" t="str">
        <f t="shared" si="49"/>
        <v>En Progreso</v>
      </c>
      <c r="L435" s="6" t="s">
        <v>326</v>
      </c>
      <c r="M435" s="6" t="s">
        <v>325</v>
      </c>
    </row>
    <row r="436" spans="1:13" x14ac:dyDescent="0.35">
      <c r="A436" s="11" t="s">
        <v>118</v>
      </c>
      <c r="B436" s="11" t="s">
        <v>324</v>
      </c>
      <c r="C436" s="11" t="s">
        <v>13</v>
      </c>
      <c r="D436" s="11" t="s">
        <v>14</v>
      </c>
      <c r="E436" s="13">
        <v>685000</v>
      </c>
      <c r="F436" s="13">
        <v>0</v>
      </c>
      <c r="G436" s="13">
        <v>754100</v>
      </c>
      <c r="H436" s="50">
        <f t="shared" si="46"/>
        <v>754100</v>
      </c>
      <c r="I436" s="60">
        <f t="shared" si="47"/>
        <v>-69100</v>
      </c>
      <c r="J436" s="25">
        <f t="shared" si="48"/>
        <v>1.100875912408759</v>
      </c>
      <c r="K436" s="26" t="str">
        <f t="shared" si="49"/>
        <v>Completado</v>
      </c>
      <c r="L436" s="6" t="s">
        <v>328</v>
      </c>
      <c r="M436" s="6" t="s">
        <v>325</v>
      </c>
    </row>
    <row r="437" spans="1:13" x14ac:dyDescent="0.35">
      <c r="A437" s="23" t="s">
        <v>118</v>
      </c>
      <c r="B437" s="11" t="s">
        <v>324</v>
      </c>
      <c r="C437" s="23" t="s">
        <v>47</v>
      </c>
      <c r="D437" s="23" t="s">
        <v>48</v>
      </c>
      <c r="E437" s="15">
        <v>126000</v>
      </c>
      <c r="F437" s="15">
        <v>0</v>
      </c>
      <c r="G437" s="15">
        <v>246624.75</v>
      </c>
      <c r="H437" s="50">
        <f t="shared" si="46"/>
        <v>246624.75</v>
      </c>
      <c r="I437" s="60">
        <f t="shared" si="47"/>
        <v>-120624.75</v>
      </c>
      <c r="J437" s="25">
        <f t="shared" si="48"/>
        <v>1.9573392857142857</v>
      </c>
      <c r="K437" s="26" t="str">
        <f t="shared" si="49"/>
        <v>Completado</v>
      </c>
      <c r="L437" s="6" t="s">
        <v>328</v>
      </c>
      <c r="M437" s="6" t="s">
        <v>325</v>
      </c>
    </row>
    <row r="438" spans="1:13" s="2" customFormat="1" x14ac:dyDescent="0.35">
      <c r="A438" s="38" t="s">
        <v>104</v>
      </c>
      <c r="B438" s="38" t="s">
        <v>324</v>
      </c>
      <c r="C438" s="38" t="s">
        <v>33</v>
      </c>
      <c r="D438" s="38" t="s">
        <v>34</v>
      </c>
      <c r="E438" s="50">
        <v>12564000</v>
      </c>
      <c r="F438" s="50">
        <v>333967.8</v>
      </c>
      <c r="G438" s="50">
        <v>0</v>
      </c>
      <c r="H438" s="50">
        <f t="shared" si="46"/>
        <v>333967.8</v>
      </c>
      <c r="I438" s="60">
        <f t="shared" si="47"/>
        <v>12230032.199999999</v>
      </c>
      <c r="J438" s="25">
        <f t="shared" si="48"/>
        <v>2.6581327602674308E-2</v>
      </c>
      <c r="K438" s="26" t="str">
        <f t="shared" si="49"/>
        <v>En Progreso</v>
      </c>
      <c r="L438" s="6" t="s">
        <v>326</v>
      </c>
      <c r="M438" s="6" t="s">
        <v>325</v>
      </c>
    </row>
    <row r="439" spans="1:13" x14ac:dyDescent="0.35">
      <c r="A439" s="61" t="s">
        <v>70</v>
      </c>
      <c r="B439" s="38" t="s">
        <v>324</v>
      </c>
      <c r="C439" s="61" t="s">
        <v>33</v>
      </c>
      <c r="D439" s="61" t="s">
        <v>34</v>
      </c>
      <c r="E439" s="51">
        <v>11914000</v>
      </c>
      <c r="F439" s="51">
        <v>275967.8</v>
      </c>
      <c r="G439" s="51">
        <v>0</v>
      </c>
      <c r="H439" s="50">
        <f t="shared" si="46"/>
        <v>275967.8</v>
      </c>
      <c r="I439" s="60">
        <f t="shared" si="47"/>
        <v>11638032.199999999</v>
      </c>
      <c r="J439" s="25">
        <f t="shared" si="48"/>
        <v>2.3163320463320463E-2</v>
      </c>
      <c r="K439" s="26" t="str">
        <f t="shared" si="49"/>
        <v>En Progreso</v>
      </c>
      <c r="L439" s="6" t="s">
        <v>326</v>
      </c>
      <c r="M439" s="6" t="s">
        <v>325</v>
      </c>
    </row>
    <row r="440" spans="1:13" x14ac:dyDescent="0.35">
      <c r="A440" s="38" t="s">
        <v>36</v>
      </c>
      <c r="B440" s="38" t="s">
        <v>324</v>
      </c>
      <c r="C440" s="38" t="s">
        <v>27</v>
      </c>
      <c r="D440" s="38" t="s">
        <v>34</v>
      </c>
      <c r="E440" s="51">
        <v>11452000</v>
      </c>
      <c r="F440" s="51">
        <v>0</v>
      </c>
      <c r="G440" s="51">
        <v>0</v>
      </c>
      <c r="H440" s="50">
        <f t="shared" si="46"/>
        <v>0</v>
      </c>
      <c r="I440" s="60">
        <f t="shared" si="47"/>
        <v>11452000</v>
      </c>
      <c r="J440" s="96">
        <f t="shared" ref="J440:J471" si="50">IFERROR(H440/E440,0)</f>
        <v>0</v>
      </c>
      <c r="K440" s="97" t="str">
        <f t="shared" ref="K440:K471" si="51">IF(E440=0,"Sin Plan",IF(J440&gt;=1,"Completado",IF(J440&gt;0.001,"En Progreso","Pendiente de ejecutar")))</f>
        <v>Pendiente de ejecutar</v>
      </c>
      <c r="L440" s="94" t="s">
        <v>326</v>
      </c>
      <c r="M440" s="6" t="s">
        <v>325</v>
      </c>
    </row>
    <row r="441" spans="1:13" x14ac:dyDescent="0.35">
      <c r="A441" s="61" t="s">
        <v>41</v>
      </c>
      <c r="B441" s="38" t="s">
        <v>324</v>
      </c>
      <c r="C441" s="61" t="s">
        <v>27</v>
      </c>
      <c r="D441" s="38" t="s">
        <v>34</v>
      </c>
      <c r="E441" s="51">
        <v>11452000</v>
      </c>
      <c r="F441" s="51">
        <v>0</v>
      </c>
      <c r="G441" s="51">
        <v>0</v>
      </c>
      <c r="H441" s="50">
        <f t="shared" si="46"/>
        <v>0</v>
      </c>
      <c r="I441" s="60">
        <f t="shared" si="47"/>
        <v>11452000</v>
      </c>
      <c r="J441" s="96">
        <f t="shared" si="50"/>
        <v>0</v>
      </c>
      <c r="K441" s="97" t="str">
        <f t="shared" si="51"/>
        <v>Pendiente de ejecutar</v>
      </c>
      <c r="L441" s="94" t="s">
        <v>326</v>
      </c>
      <c r="M441" s="6" t="s">
        <v>325</v>
      </c>
    </row>
    <row r="442" spans="1:13" x14ac:dyDescent="0.35">
      <c r="A442" s="38" t="s">
        <v>46</v>
      </c>
      <c r="B442" s="38" t="s">
        <v>324</v>
      </c>
      <c r="C442" s="38" t="s">
        <v>27</v>
      </c>
      <c r="D442" s="38" t="s">
        <v>34</v>
      </c>
      <c r="E442" s="51">
        <v>11452000</v>
      </c>
      <c r="F442" s="51">
        <v>0</v>
      </c>
      <c r="G442" s="51">
        <v>0</v>
      </c>
      <c r="H442" s="50">
        <f t="shared" si="46"/>
        <v>0</v>
      </c>
      <c r="I442" s="60">
        <f t="shared" si="47"/>
        <v>11452000</v>
      </c>
      <c r="J442" s="96">
        <f t="shared" si="50"/>
        <v>0</v>
      </c>
      <c r="K442" s="97" t="str">
        <f t="shared" si="51"/>
        <v>Pendiente de ejecutar</v>
      </c>
      <c r="L442" s="94" t="s">
        <v>326</v>
      </c>
      <c r="M442" s="6" t="s">
        <v>325</v>
      </c>
    </row>
    <row r="443" spans="1:13" x14ac:dyDescent="0.35">
      <c r="A443" s="63" t="s">
        <v>52</v>
      </c>
      <c r="B443" s="38" t="s">
        <v>324</v>
      </c>
      <c r="C443" s="63" t="s">
        <v>27</v>
      </c>
      <c r="D443" s="38" t="s">
        <v>34</v>
      </c>
      <c r="E443" s="50">
        <v>11452000</v>
      </c>
      <c r="F443" s="50">
        <v>0</v>
      </c>
      <c r="G443" s="50">
        <v>0</v>
      </c>
      <c r="H443" s="50">
        <f t="shared" si="46"/>
        <v>0</v>
      </c>
      <c r="I443" s="60">
        <f t="shared" si="47"/>
        <v>11452000</v>
      </c>
      <c r="J443" s="96">
        <f t="shared" si="50"/>
        <v>0</v>
      </c>
      <c r="K443" s="97" t="str">
        <f t="shared" si="51"/>
        <v>Pendiente de ejecutar</v>
      </c>
      <c r="L443" s="94" t="s">
        <v>326</v>
      </c>
      <c r="M443" s="6" t="s">
        <v>325</v>
      </c>
    </row>
    <row r="444" spans="1:13" x14ac:dyDescent="0.35">
      <c r="A444" s="38" t="s">
        <v>57</v>
      </c>
      <c r="B444" s="38" t="s">
        <v>324</v>
      </c>
      <c r="C444" s="38" t="s">
        <v>33</v>
      </c>
      <c r="D444" s="38" t="s">
        <v>34</v>
      </c>
      <c r="E444" s="50">
        <v>11452000</v>
      </c>
      <c r="F444" s="50">
        <v>0</v>
      </c>
      <c r="G444" s="50">
        <v>0</v>
      </c>
      <c r="H444" s="50">
        <f t="shared" si="46"/>
        <v>0</v>
      </c>
      <c r="I444" s="60">
        <f t="shared" si="47"/>
        <v>11452000</v>
      </c>
      <c r="J444" s="96">
        <f t="shared" si="50"/>
        <v>0</v>
      </c>
      <c r="K444" s="97" t="str">
        <f t="shared" si="51"/>
        <v>Pendiente de ejecutar</v>
      </c>
      <c r="L444" s="94" t="s">
        <v>326</v>
      </c>
      <c r="M444" s="6" t="s">
        <v>325</v>
      </c>
    </row>
    <row r="445" spans="1:13" x14ac:dyDescent="0.35">
      <c r="A445" s="69" t="s">
        <v>11</v>
      </c>
      <c r="B445" s="38" t="s">
        <v>324</v>
      </c>
      <c r="C445" s="61" t="s">
        <v>33</v>
      </c>
      <c r="D445" s="61" t="s">
        <v>34</v>
      </c>
      <c r="E445" s="51">
        <v>11382000</v>
      </c>
      <c r="F445" s="51">
        <v>0</v>
      </c>
      <c r="G445" s="46">
        <v>7558374.7000000002</v>
      </c>
      <c r="H445" s="50">
        <f t="shared" si="46"/>
        <v>7558374.7000000002</v>
      </c>
      <c r="I445" s="60">
        <f t="shared" si="47"/>
        <v>3823625.3</v>
      </c>
      <c r="J445" s="25">
        <f t="shared" si="50"/>
        <v>0.66406384642417859</v>
      </c>
      <c r="K445" s="26" t="str">
        <f t="shared" si="51"/>
        <v>En Progreso</v>
      </c>
      <c r="L445" s="6" t="s">
        <v>326</v>
      </c>
      <c r="M445" s="6" t="s">
        <v>326</v>
      </c>
    </row>
    <row r="446" spans="1:13" x14ac:dyDescent="0.35">
      <c r="A446" s="63" t="s">
        <v>35</v>
      </c>
      <c r="B446" s="38" t="s">
        <v>324</v>
      </c>
      <c r="C446" s="63" t="s">
        <v>27</v>
      </c>
      <c r="D446" s="61" t="s">
        <v>34</v>
      </c>
      <c r="E446" s="50">
        <v>11382000</v>
      </c>
      <c r="F446" s="50">
        <v>0</v>
      </c>
      <c r="G446" s="50">
        <v>0</v>
      </c>
      <c r="H446" s="50">
        <f t="shared" si="46"/>
        <v>0</v>
      </c>
      <c r="I446" s="60">
        <f t="shared" si="47"/>
        <v>11382000</v>
      </c>
      <c r="J446" s="96">
        <f t="shared" si="50"/>
        <v>0</v>
      </c>
      <c r="K446" s="97" t="str">
        <f t="shared" si="51"/>
        <v>Pendiente de ejecutar</v>
      </c>
      <c r="L446" s="94" t="s">
        <v>326</v>
      </c>
      <c r="M446" s="6" t="s">
        <v>325</v>
      </c>
    </row>
    <row r="447" spans="1:13" x14ac:dyDescent="0.35">
      <c r="A447" s="23" t="s">
        <v>35</v>
      </c>
      <c r="B447" s="11" t="s">
        <v>324</v>
      </c>
      <c r="C447" s="23" t="s">
        <v>33</v>
      </c>
      <c r="D447" s="23" t="s">
        <v>340</v>
      </c>
      <c r="E447" s="15">
        <v>462000</v>
      </c>
      <c r="F447" s="15">
        <v>275967.8</v>
      </c>
      <c r="G447" s="15">
        <v>0</v>
      </c>
      <c r="H447" s="50">
        <f t="shared" si="46"/>
        <v>275967.8</v>
      </c>
      <c r="I447" s="60">
        <f t="shared" si="47"/>
        <v>186032.2</v>
      </c>
      <c r="J447" s="25">
        <f t="shared" si="50"/>
        <v>0.59733290043290044</v>
      </c>
      <c r="K447" s="26" t="str">
        <f t="shared" si="51"/>
        <v>En Progreso</v>
      </c>
      <c r="L447" s="6" t="s">
        <v>326</v>
      </c>
      <c r="M447" s="6" t="s">
        <v>325</v>
      </c>
    </row>
    <row r="448" spans="1:13" x14ac:dyDescent="0.35">
      <c r="A448" s="11" t="s">
        <v>41</v>
      </c>
      <c r="B448" s="11" t="s">
        <v>324</v>
      </c>
      <c r="C448" s="11" t="s">
        <v>33</v>
      </c>
      <c r="D448" s="11" t="s">
        <v>340</v>
      </c>
      <c r="E448" s="13">
        <v>462000</v>
      </c>
      <c r="F448" s="13">
        <v>410352.12</v>
      </c>
      <c r="G448" s="13">
        <v>0</v>
      </c>
      <c r="H448" s="50">
        <f t="shared" si="46"/>
        <v>410352.12</v>
      </c>
      <c r="I448" s="60">
        <f t="shared" si="47"/>
        <v>51647.880000000005</v>
      </c>
      <c r="J448" s="25">
        <f t="shared" si="50"/>
        <v>0.88820805194805197</v>
      </c>
      <c r="K448" s="26" t="str">
        <f t="shared" si="51"/>
        <v>En Progreso</v>
      </c>
      <c r="L448" s="6" t="s">
        <v>326</v>
      </c>
      <c r="M448" s="6" t="s">
        <v>325</v>
      </c>
    </row>
    <row r="449" spans="1:13" x14ac:dyDescent="0.35">
      <c r="A449" s="20" t="s">
        <v>46</v>
      </c>
      <c r="B449" s="11" t="s">
        <v>324</v>
      </c>
      <c r="C449" s="20" t="s">
        <v>33</v>
      </c>
      <c r="D449" s="20" t="s">
        <v>34</v>
      </c>
      <c r="E449" s="13">
        <v>462000</v>
      </c>
      <c r="F449" s="13">
        <v>52000</v>
      </c>
      <c r="G449" s="13">
        <v>0</v>
      </c>
      <c r="H449" s="50">
        <f t="shared" si="46"/>
        <v>52000</v>
      </c>
      <c r="I449" s="60">
        <f t="shared" si="47"/>
        <v>410000</v>
      </c>
      <c r="J449" s="25">
        <f t="shared" si="50"/>
        <v>0.11255411255411256</v>
      </c>
      <c r="K449" s="26" t="str">
        <f t="shared" si="51"/>
        <v>En Progreso</v>
      </c>
      <c r="L449" s="6" t="s">
        <v>326</v>
      </c>
      <c r="M449" s="6" t="s">
        <v>325</v>
      </c>
    </row>
    <row r="450" spans="1:13" x14ac:dyDescent="0.35">
      <c r="A450" s="11" t="s">
        <v>74</v>
      </c>
      <c r="B450" s="11" t="s">
        <v>324</v>
      </c>
      <c r="C450" s="11" t="s">
        <v>33</v>
      </c>
      <c r="D450" s="11" t="s">
        <v>34</v>
      </c>
      <c r="E450" s="13">
        <v>462000</v>
      </c>
      <c r="F450" s="13">
        <v>410352.12</v>
      </c>
      <c r="G450" s="13">
        <v>0</v>
      </c>
      <c r="H450" s="50">
        <f t="shared" ref="H450:H512" si="52">F450+G450</f>
        <v>410352.12</v>
      </c>
      <c r="I450" s="60">
        <f t="shared" ref="I450:I512" si="53">E450-H450</f>
        <v>51647.880000000005</v>
      </c>
      <c r="J450" s="25">
        <f t="shared" si="50"/>
        <v>0.88820805194805197</v>
      </c>
      <c r="K450" s="26" t="str">
        <f t="shared" si="51"/>
        <v>En Progreso</v>
      </c>
      <c r="L450" s="6" t="s">
        <v>326</v>
      </c>
      <c r="M450" s="6" t="s">
        <v>325</v>
      </c>
    </row>
    <row r="451" spans="1:13" x14ac:dyDescent="0.35">
      <c r="A451" s="23" t="s">
        <v>82</v>
      </c>
      <c r="B451" s="11" t="s">
        <v>324</v>
      </c>
      <c r="C451" s="23" t="s">
        <v>33</v>
      </c>
      <c r="D451" s="23" t="s">
        <v>34</v>
      </c>
      <c r="E451" s="15">
        <v>462000</v>
      </c>
      <c r="F451" s="15">
        <v>12655.08</v>
      </c>
      <c r="G451" s="15">
        <v>0</v>
      </c>
      <c r="H451" s="50">
        <f t="shared" si="52"/>
        <v>12655.08</v>
      </c>
      <c r="I451" s="60">
        <f t="shared" si="53"/>
        <v>449344.92</v>
      </c>
      <c r="J451" s="25">
        <f t="shared" si="50"/>
        <v>2.7391948051948053E-2</v>
      </c>
      <c r="K451" s="26" t="str">
        <f t="shared" si="51"/>
        <v>En Progreso</v>
      </c>
      <c r="L451" s="6" t="s">
        <v>326</v>
      </c>
      <c r="M451" s="6" t="s">
        <v>325</v>
      </c>
    </row>
    <row r="452" spans="1:13" x14ac:dyDescent="0.35">
      <c r="A452" s="11" t="s">
        <v>87</v>
      </c>
      <c r="B452" s="11" t="s">
        <v>324</v>
      </c>
      <c r="C452" s="11" t="s">
        <v>33</v>
      </c>
      <c r="D452" s="11" t="s">
        <v>34</v>
      </c>
      <c r="E452" s="13">
        <v>462000</v>
      </c>
      <c r="F452" s="16">
        <v>275967.8</v>
      </c>
      <c r="G452" s="13">
        <v>0</v>
      </c>
      <c r="H452" s="50">
        <f t="shared" si="52"/>
        <v>275967.8</v>
      </c>
      <c r="I452" s="60">
        <f t="shared" si="53"/>
        <v>186032.2</v>
      </c>
      <c r="J452" s="25">
        <f t="shared" si="50"/>
        <v>0.59733290043290044</v>
      </c>
      <c r="K452" s="26" t="str">
        <f t="shared" si="51"/>
        <v>En Progreso</v>
      </c>
      <c r="L452" s="6" t="s">
        <v>326</v>
      </c>
      <c r="M452" s="6" t="s">
        <v>325</v>
      </c>
    </row>
    <row r="453" spans="1:13" x14ac:dyDescent="0.35">
      <c r="A453" s="61" t="s">
        <v>89</v>
      </c>
      <c r="B453" s="38" t="s">
        <v>324</v>
      </c>
      <c r="C453" s="23" t="s">
        <v>33</v>
      </c>
      <c r="D453" s="61" t="s">
        <v>34</v>
      </c>
      <c r="E453" s="51">
        <v>462000</v>
      </c>
      <c r="F453" s="51">
        <v>0</v>
      </c>
      <c r="G453" s="51">
        <v>0</v>
      </c>
      <c r="H453" s="50">
        <f t="shared" si="52"/>
        <v>0</v>
      </c>
      <c r="I453" s="60">
        <f t="shared" si="53"/>
        <v>462000</v>
      </c>
      <c r="J453" s="96">
        <f t="shared" si="50"/>
        <v>0</v>
      </c>
      <c r="K453" s="97" t="str">
        <f t="shared" si="51"/>
        <v>Pendiente de ejecutar</v>
      </c>
      <c r="L453" s="94" t="s">
        <v>326</v>
      </c>
      <c r="M453" s="6" t="s">
        <v>325</v>
      </c>
    </row>
    <row r="454" spans="1:13" x14ac:dyDescent="0.35">
      <c r="A454" s="38" t="s">
        <v>94</v>
      </c>
      <c r="B454" s="38" t="s">
        <v>324</v>
      </c>
      <c r="C454" s="11" t="s">
        <v>33</v>
      </c>
      <c r="D454" s="38" t="s">
        <v>34</v>
      </c>
      <c r="E454" s="50">
        <v>462000</v>
      </c>
      <c r="F454" s="50">
        <v>0</v>
      </c>
      <c r="G454" s="50">
        <v>0</v>
      </c>
      <c r="H454" s="50">
        <f t="shared" si="52"/>
        <v>0</v>
      </c>
      <c r="I454" s="60">
        <f t="shared" si="53"/>
        <v>462000</v>
      </c>
      <c r="J454" s="96">
        <f t="shared" si="50"/>
        <v>0</v>
      </c>
      <c r="K454" s="97" t="str">
        <f t="shared" si="51"/>
        <v>Pendiente de ejecutar</v>
      </c>
      <c r="L454" s="94" t="s">
        <v>326</v>
      </c>
      <c r="M454" s="6" t="s">
        <v>325</v>
      </c>
    </row>
    <row r="455" spans="1:13" x14ac:dyDescent="0.35">
      <c r="A455" s="61" t="s">
        <v>109</v>
      </c>
      <c r="B455" s="38" t="s">
        <v>324</v>
      </c>
      <c r="C455" s="23" t="s">
        <v>33</v>
      </c>
      <c r="D455" s="61" t="s">
        <v>34</v>
      </c>
      <c r="E455" s="51">
        <v>462000</v>
      </c>
      <c r="F455" s="51">
        <v>0</v>
      </c>
      <c r="G455" s="51">
        <v>0</v>
      </c>
      <c r="H455" s="50">
        <f t="shared" si="52"/>
        <v>0</v>
      </c>
      <c r="I455" s="60">
        <f t="shared" si="53"/>
        <v>462000</v>
      </c>
      <c r="J455" s="96">
        <f t="shared" si="50"/>
        <v>0</v>
      </c>
      <c r="K455" s="97" t="str">
        <f t="shared" si="51"/>
        <v>Pendiente de ejecutar</v>
      </c>
      <c r="L455" s="94" t="s">
        <v>326</v>
      </c>
      <c r="M455" s="6" t="s">
        <v>325</v>
      </c>
    </row>
    <row r="456" spans="1:13" x14ac:dyDescent="0.35">
      <c r="A456" s="11" t="s">
        <v>110</v>
      </c>
      <c r="B456" s="11" t="s">
        <v>324</v>
      </c>
      <c r="C456" s="11" t="s">
        <v>33</v>
      </c>
      <c r="D456" s="11" t="s">
        <v>34</v>
      </c>
      <c r="E456" s="15">
        <v>462000</v>
      </c>
      <c r="F456" s="15">
        <v>275967.8</v>
      </c>
      <c r="G456" s="15">
        <v>0</v>
      </c>
      <c r="H456" s="50">
        <f t="shared" si="52"/>
        <v>275967.8</v>
      </c>
      <c r="I456" s="60">
        <f t="shared" si="53"/>
        <v>186032.2</v>
      </c>
      <c r="J456" s="25">
        <f t="shared" si="50"/>
        <v>0.59733290043290044</v>
      </c>
      <c r="K456" s="26" t="str">
        <f t="shared" si="51"/>
        <v>En Progreso</v>
      </c>
      <c r="L456" s="6" t="s">
        <v>326</v>
      </c>
      <c r="M456" s="6" t="s">
        <v>325</v>
      </c>
    </row>
    <row r="457" spans="1:13" x14ac:dyDescent="0.35">
      <c r="A457" s="20" t="s">
        <v>111</v>
      </c>
      <c r="B457" s="11" t="s">
        <v>324</v>
      </c>
      <c r="C457" s="20" t="s">
        <v>33</v>
      </c>
      <c r="D457" s="20" t="s">
        <v>34</v>
      </c>
      <c r="E457" s="13">
        <v>462000</v>
      </c>
      <c r="F457" s="13">
        <v>275967.8</v>
      </c>
      <c r="G457" s="13">
        <v>0</v>
      </c>
      <c r="H457" s="50">
        <f t="shared" si="52"/>
        <v>275967.8</v>
      </c>
      <c r="I457" s="60">
        <f t="shared" si="53"/>
        <v>186032.2</v>
      </c>
      <c r="J457" s="25">
        <f t="shared" si="50"/>
        <v>0.59733290043290044</v>
      </c>
      <c r="K457" s="26" t="str">
        <f t="shared" si="51"/>
        <v>En Progreso</v>
      </c>
      <c r="L457" s="6" t="s">
        <v>326</v>
      </c>
      <c r="M457" s="6" t="s">
        <v>325</v>
      </c>
    </row>
    <row r="458" spans="1:13" x14ac:dyDescent="0.35">
      <c r="A458" s="11" t="s">
        <v>112</v>
      </c>
      <c r="B458" s="11" t="s">
        <v>324</v>
      </c>
      <c r="C458" s="11" t="s">
        <v>33</v>
      </c>
      <c r="D458" s="11" t="s">
        <v>34</v>
      </c>
      <c r="E458" s="13">
        <v>462000</v>
      </c>
      <c r="F458" s="13">
        <v>307823.46999999997</v>
      </c>
      <c r="G458" s="13">
        <v>0</v>
      </c>
      <c r="H458" s="50">
        <f t="shared" si="52"/>
        <v>307823.46999999997</v>
      </c>
      <c r="I458" s="60">
        <f t="shared" si="53"/>
        <v>154176.53000000003</v>
      </c>
      <c r="J458" s="25">
        <f t="shared" si="50"/>
        <v>0.66628456709956707</v>
      </c>
      <c r="K458" s="26" t="str">
        <f t="shared" si="51"/>
        <v>En Progreso</v>
      </c>
      <c r="L458" s="6" t="s">
        <v>326</v>
      </c>
      <c r="M458" s="6" t="s">
        <v>325</v>
      </c>
    </row>
    <row r="459" spans="1:13" x14ac:dyDescent="0.35">
      <c r="A459" s="20" t="s">
        <v>128</v>
      </c>
      <c r="B459" s="11" t="s">
        <v>129</v>
      </c>
      <c r="C459" s="20" t="s">
        <v>132</v>
      </c>
      <c r="D459" s="20" t="s">
        <v>133</v>
      </c>
      <c r="E459" s="13">
        <v>0</v>
      </c>
      <c r="F459" s="13">
        <v>0</v>
      </c>
      <c r="G459" s="13">
        <v>67164.41</v>
      </c>
      <c r="H459" s="50">
        <f t="shared" si="52"/>
        <v>67164.41</v>
      </c>
      <c r="I459" s="60">
        <f t="shared" si="53"/>
        <v>-67164.41</v>
      </c>
      <c r="J459" s="21">
        <f t="shared" si="50"/>
        <v>0</v>
      </c>
      <c r="K459" s="22" t="str">
        <f t="shared" si="51"/>
        <v>Sin Plan</v>
      </c>
      <c r="L459" s="6" t="s">
        <v>328</v>
      </c>
      <c r="M459" s="6" t="s">
        <v>323</v>
      </c>
    </row>
    <row r="460" spans="1:13" x14ac:dyDescent="0.35">
      <c r="A460" s="20" t="s">
        <v>128</v>
      </c>
      <c r="B460" s="11" t="s">
        <v>129</v>
      </c>
      <c r="C460" s="20" t="s">
        <v>101</v>
      </c>
      <c r="D460" s="20" t="s">
        <v>102</v>
      </c>
      <c r="E460" s="13">
        <v>0</v>
      </c>
      <c r="F460" s="13">
        <v>4609006.3999999603</v>
      </c>
      <c r="G460" s="13">
        <v>0</v>
      </c>
      <c r="H460" s="50">
        <f t="shared" si="52"/>
        <v>4609006.3999999603</v>
      </c>
      <c r="I460" s="60">
        <f t="shared" si="53"/>
        <v>-4609006.3999999603</v>
      </c>
      <c r="J460" s="21">
        <f t="shared" si="50"/>
        <v>0</v>
      </c>
      <c r="K460" s="22" t="str">
        <f t="shared" si="51"/>
        <v>Sin Plan</v>
      </c>
      <c r="L460" s="6" t="s">
        <v>328</v>
      </c>
      <c r="M460" s="6" t="s">
        <v>323</v>
      </c>
    </row>
    <row r="461" spans="1:13" x14ac:dyDescent="0.35">
      <c r="A461" s="11" t="s">
        <v>128</v>
      </c>
      <c r="B461" s="11" t="s">
        <v>129</v>
      </c>
      <c r="C461" s="11" t="s">
        <v>47</v>
      </c>
      <c r="D461" s="11" t="s">
        <v>48</v>
      </c>
      <c r="E461" s="15">
        <v>0</v>
      </c>
      <c r="F461" s="15">
        <v>0</v>
      </c>
      <c r="G461" s="15">
        <v>2738241.51</v>
      </c>
      <c r="H461" s="50">
        <f t="shared" si="52"/>
        <v>2738241.51</v>
      </c>
      <c r="I461" s="60">
        <f t="shared" si="53"/>
        <v>-2738241.51</v>
      </c>
      <c r="J461" s="18">
        <f t="shared" si="50"/>
        <v>0</v>
      </c>
      <c r="K461" s="19" t="str">
        <f t="shared" si="51"/>
        <v>Sin Plan</v>
      </c>
      <c r="L461" s="6" t="s">
        <v>328</v>
      </c>
      <c r="M461" s="6" t="s">
        <v>323</v>
      </c>
    </row>
    <row r="462" spans="1:13" x14ac:dyDescent="0.35">
      <c r="A462" s="20" t="s">
        <v>128</v>
      </c>
      <c r="B462" s="11" t="s">
        <v>129</v>
      </c>
      <c r="C462" s="20" t="s">
        <v>29</v>
      </c>
      <c r="D462" s="20" t="s">
        <v>30</v>
      </c>
      <c r="E462" s="13">
        <v>0</v>
      </c>
      <c r="F462" s="13">
        <v>151623</v>
      </c>
      <c r="G462" s="13">
        <v>6274720.3499999996</v>
      </c>
      <c r="H462" s="50">
        <f t="shared" si="52"/>
        <v>6426343.3499999996</v>
      </c>
      <c r="I462" s="60">
        <f t="shared" si="53"/>
        <v>-6426343.3499999996</v>
      </c>
      <c r="J462" s="21">
        <f t="shared" si="50"/>
        <v>0</v>
      </c>
      <c r="K462" s="22" t="str">
        <f t="shared" si="51"/>
        <v>Sin Plan</v>
      </c>
      <c r="L462" s="6" t="s">
        <v>328</v>
      </c>
      <c r="M462" s="6" t="s">
        <v>323</v>
      </c>
    </row>
    <row r="463" spans="1:13" x14ac:dyDescent="0.35">
      <c r="A463" s="23" t="s">
        <v>128</v>
      </c>
      <c r="B463" s="11" t="s">
        <v>129</v>
      </c>
      <c r="C463" s="23" t="s">
        <v>138</v>
      </c>
      <c r="D463" s="23" t="s">
        <v>139</v>
      </c>
      <c r="E463" s="15">
        <v>0</v>
      </c>
      <c r="F463" s="15">
        <v>106781.25</v>
      </c>
      <c r="G463" s="15">
        <v>0</v>
      </c>
      <c r="H463" s="50">
        <f t="shared" si="52"/>
        <v>106781.25</v>
      </c>
      <c r="I463" s="60">
        <f t="shared" si="53"/>
        <v>-106781.25</v>
      </c>
      <c r="J463" s="25">
        <f t="shared" si="50"/>
        <v>0</v>
      </c>
      <c r="K463" s="26" t="str">
        <f t="shared" si="51"/>
        <v>Sin Plan</v>
      </c>
      <c r="L463" s="6" t="s">
        <v>328</v>
      </c>
      <c r="M463" s="6" t="s">
        <v>323</v>
      </c>
    </row>
    <row r="464" spans="1:13" x14ac:dyDescent="0.35">
      <c r="A464" s="11" t="s">
        <v>128</v>
      </c>
      <c r="B464" s="11" t="s">
        <v>129</v>
      </c>
      <c r="C464" s="11" t="s">
        <v>140</v>
      </c>
      <c r="D464" s="11" t="s">
        <v>141</v>
      </c>
      <c r="E464" s="13">
        <v>0</v>
      </c>
      <c r="F464" s="13">
        <v>1137327.32</v>
      </c>
      <c r="G464" s="13">
        <v>0</v>
      </c>
      <c r="H464" s="50">
        <f t="shared" si="52"/>
        <v>1137327.32</v>
      </c>
      <c r="I464" s="60">
        <f t="shared" si="53"/>
        <v>-1137327.32</v>
      </c>
      <c r="J464" s="18">
        <f t="shared" si="50"/>
        <v>0</v>
      </c>
      <c r="K464" s="19" t="str">
        <f t="shared" si="51"/>
        <v>Sin Plan</v>
      </c>
      <c r="L464" s="6" t="s">
        <v>328</v>
      </c>
      <c r="M464" s="6" t="s">
        <v>323</v>
      </c>
    </row>
    <row r="465" spans="1:13" x14ac:dyDescent="0.35">
      <c r="A465" s="11" t="s">
        <v>128</v>
      </c>
      <c r="B465" s="11" t="s">
        <v>129</v>
      </c>
      <c r="C465" s="11" t="s">
        <v>142</v>
      </c>
      <c r="D465" s="11" t="s">
        <v>143</v>
      </c>
      <c r="E465" s="15">
        <v>0</v>
      </c>
      <c r="F465" s="15">
        <v>0</v>
      </c>
      <c r="G465" s="15">
        <v>1757443.38</v>
      </c>
      <c r="H465" s="50">
        <f t="shared" si="52"/>
        <v>1757443.38</v>
      </c>
      <c r="I465" s="60">
        <f t="shared" si="53"/>
        <v>-1757443.38</v>
      </c>
      <c r="J465" s="18">
        <f t="shared" si="50"/>
        <v>0</v>
      </c>
      <c r="K465" s="19" t="str">
        <f t="shared" si="51"/>
        <v>Sin Plan</v>
      </c>
      <c r="L465" s="6" t="s">
        <v>328</v>
      </c>
      <c r="M465" s="6" t="s">
        <v>323</v>
      </c>
    </row>
    <row r="466" spans="1:13" x14ac:dyDescent="0.35">
      <c r="A466" s="11" t="s">
        <v>144</v>
      </c>
      <c r="B466" s="11" t="s">
        <v>129</v>
      </c>
      <c r="C466" s="11" t="s">
        <v>50</v>
      </c>
      <c r="D466" s="11" t="s">
        <v>51</v>
      </c>
      <c r="E466" s="13">
        <v>0</v>
      </c>
      <c r="F466" s="13">
        <v>38419.49</v>
      </c>
      <c r="G466" s="13">
        <v>0</v>
      </c>
      <c r="H466" s="50">
        <f t="shared" si="52"/>
        <v>38419.49</v>
      </c>
      <c r="I466" s="60">
        <f t="shared" si="53"/>
        <v>-38419.49</v>
      </c>
      <c r="J466" s="18">
        <f t="shared" si="50"/>
        <v>0</v>
      </c>
      <c r="K466" s="19" t="str">
        <f t="shared" si="51"/>
        <v>Sin Plan</v>
      </c>
      <c r="L466" s="6" t="s">
        <v>328</v>
      </c>
      <c r="M466" s="6" t="s">
        <v>323</v>
      </c>
    </row>
    <row r="467" spans="1:13" x14ac:dyDescent="0.35">
      <c r="A467" s="11" t="s">
        <v>144</v>
      </c>
      <c r="B467" s="11" t="s">
        <v>129</v>
      </c>
      <c r="C467" s="11" t="s">
        <v>136</v>
      </c>
      <c r="D467" s="11" t="s">
        <v>137</v>
      </c>
      <c r="E467" s="13">
        <v>0</v>
      </c>
      <c r="F467" s="13">
        <v>0</v>
      </c>
      <c r="G467" s="13">
        <v>113483.48</v>
      </c>
      <c r="H467" s="50">
        <f t="shared" si="52"/>
        <v>113483.48</v>
      </c>
      <c r="I467" s="60">
        <f t="shared" si="53"/>
        <v>-113483.48</v>
      </c>
      <c r="J467" s="18">
        <f t="shared" si="50"/>
        <v>0</v>
      </c>
      <c r="K467" s="19" t="str">
        <f t="shared" si="51"/>
        <v>Sin Plan</v>
      </c>
      <c r="L467" s="6" t="s">
        <v>328</v>
      </c>
      <c r="M467" s="6" t="s">
        <v>323</v>
      </c>
    </row>
    <row r="468" spans="1:13" x14ac:dyDescent="0.35">
      <c r="A468" s="11" t="s">
        <v>144</v>
      </c>
      <c r="B468" s="11" t="s">
        <v>129</v>
      </c>
      <c r="C468" s="11" t="s">
        <v>145</v>
      </c>
      <c r="D468" s="11" t="s">
        <v>146</v>
      </c>
      <c r="E468" s="15">
        <v>0</v>
      </c>
      <c r="F468" s="15">
        <v>282397</v>
      </c>
      <c r="G468" s="15">
        <v>0</v>
      </c>
      <c r="H468" s="50">
        <f t="shared" si="52"/>
        <v>282397</v>
      </c>
      <c r="I468" s="60">
        <f t="shared" si="53"/>
        <v>-282397</v>
      </c>
      <c r="J468" s="18">
        <f t="shared" si="50"/>
        <v>0</v>
      </c>
      <c r="K468" s="19" t="str">
        <f t="shared" si="51"/>
        <v>Sin Plan</v>
      </c>
      <c r="L468" s="6" t="s">
        <v>326</v>
      </c>
      <c r="M468" s="6" t="s">
        <v>323</v>
      </c>
    </row>
    <row r="469" spans="1:13" x14ac:dyDescent="0.35">
      <c r="A469" s="23" t="s">
        <v>147</v>
      </c>
      <c r="B469" s="23" t="s">
        <v>148</v>
      </c>
      <c r="C469" s="23" t="s">
        <v>138</v>
      </c>
      <c r="D469" s="23" t="s">
        <v>345</v>
      </c>
      <c r="E469" s="15">
        <v>0</v>
      </c>
      <c r="F469" s="15">
        <v>1039396.27</v>
      </c>
      <c r="G469" s="15">
        <v>152893.75</v>
      </c>
      <c r="H469" s="50">
        <f t="shared" si="52"/>
        <v>1192290.02</v>
      </c>
      <c r="I469" s="60">
        <f t="shared" si="53"/>
        <v>-1192290.02</v>
      </c>
      <c r="J469" s="25">
        <f t="shared" si="50"/>
        <v>0</v>
      </c>
      <c r="K469" s="26" t="str">
        <f t="shared" si="51"/>
        <v>Sin Plan</v>
      </c>
      <c r="L469" s="6" t="s">
        <v>328</v>
      </c>
      <c r="M469" s="6" t="s">
        <v>323</v>
      </c>
    </row>
    <row r="470" spans="1:13" x14ac:dyDescent="0.35">
      <c r="A470" s="11" t="s">
        <v>154</v>
      </c>
      <c r="B470" s="11" t="s">
        <v>129</v>
      </c>
      <c r="C470" s="11" t="s">
        <v>13</v>
      </c>
      <c r="D470" s="11" t="s">
        <v>14</v>
      </c>
      <c r="E470" s="15">
        <v>0</v>
      </c>
      <c r="F470" s="15">
        <v>40940</v>
      </c>
      <c r="G470" s="15">
        <v>0</v>
      </c>
      <c r="H470" s="50">
        <f t="shared" si="52"/>
        <v>40940</v>
      </c>
      <c r="I470" s="60">
        <f t="shared" si="53"/>
        <v>-40940</v>
      </c>
      <c r="J470" s="18">
        <f t="shared" si="50"/>
        <v>0</v>
      </c>
      <c r="K470" s="19" t="str">
        <f t="shared" si="51"/>
        <v>Sin Plan</v>
      </c>
      <c r="L470" s="6" t="s">
        <v>328</v>
      </c>
      <c r="M470" s="6" t="s">
        <v>323</v>
      </c>
    </row>
    <row r="471" spans="1:13" x14ac:dyDescent="0.35">
      <c r="A471" s="11" t="s">
        <v>154</v>
      </c>
      <c r="B471" s="11" t="s">
        <v>129</v>
      </c>
      <c r="C471" s="11" t="s">
        <v>39</v>
      </c>
      <c r="D471" s="11" t="s">
        <v>40</v>
      </c>
      <c r="E471" s="15">
        <v>0</v>
      </c>
      <c r="F471" s="15">
        <v>0</v>
      </c>
      <c r="G471" s="15">
        <v>834244.97</v>
      </c>
      <c r="H471" s="50">
        <f t="shared" si="52"/>
        <v>834244.97</v>
      </c>
      <c r="I471" s="60">
        <f t="shared" si="53"/>
        <v>-834244.97</v>
      </c>
      <c r="J471" s="18">
        <f t="shared" si="50"/>
        <v>0</v>
      </c>
      <c r="K471" s="19" t="str">
        <f t="shared" si="51"/>
        <v>Sin Plan</v>
      </c>
      <c r="L471" s="6" t="s">
        <v>326</v>
      </c>
      <c r="M471" s="6" t="s">
        <v>323</v>
      </c>
    </row>
    <row r="472" spans="1:13" x14ac:dyDescent="0.35">
      <c r="A472" s="20" t="s">
        <v>155</v>
      </c>
      <c r="B472" s="20" t="s">
        <v>129</v>
      </c>
      <c r="C472" s="20" t="s">
        <v>13</v>
      </c>
      <c r="D472" s="20" t="s">
        <v>14</v>
      </c>
      <c r="E472" s="13">
        <v>0</v>
      </c>
      <c r="F472" s="13">
        <v>12000</v>
      </c>
      <c r="G472" s="13">
        <v>0</v>
      </c>
      <c r="H472" s="50">
        <f t="shared" si="52"/>
        <v>12000</v>
      </c>
      <c r="I472" s="60">
        <f t="shared" si="53"/>
        <v>-12000</v>
      </c>
      <c r="J472" s="21">
        <f t="shared" ref="J472:J503" si="54">IFERROR(H472/E472,0)</f>
        <v>0</v>
      </c>
      <c r="K472" s="22" t="str">
        <f t="shared" ref="K472:K503" si="55">IF(E472=0,"Sin Plan",IF(J472&gt;=1,"Completado",IF(J472&gt;0.001,"En Progreso","Pendiente de ejecutar")))</f>
        <v>Sin Plan</v>
      </c>
      <c r="L472" s="6" t="s">
        <v>328</v>
      </c>
      <c r="M472" s="6" t="s">
        <v>323</v>
      </c>
    </row>
    <row r="473" spans="1:13" x14ac:dyDescent="0.35">
      <c r="A473" s="23" t="s">
        <v>156</v>
      </c>
      <c r="B473" s="23" t="s">
        <v>129</v>
      </c>
      <c r="C473" s="23" t="s">
        <v>29</v>
      </c>
      <c r="D473" s="23" t="s">
        <v>30</v>
      </c>
      <c r="E473" s="15">
        <v>0</v>
      </c>
      <c r="F473" s="15">
        <v>644397.75</v>
      </c>
      <c r="G473" s="15">
        <v>0</v>
      </c>
      <c r="H473" s="50">
        <f t="shared" si="52"/>
        <v>644397.75</v>
      </c>
      <c r="I473" s="60">
        <f t="shared" si="53"/>
        <v>-644397.75</v>
      </c>
      <c r="J473" s="25">
        <f t="shared" si="54"/>
        <v>0</v>
      </c>
      <c r="K473" s="26" t="str">
        <f t="shared" si="55"/>
        <v>Sin Plan</v>
      </c>
      <c r="L473" s="6" t="s">
        <v>328</v>
      </c>
      <c r="M473" s="6" t="s">
        <v>323</v>
      </c>
    </row>
    <row r="474" spans="1:13" x14ac:dyDescent="0.35">
      <c r="A474" s="23" t="s">
        <v>156</v>
      </c>
      <c r="B474" s="23" t="s">
        <v>129</v>
      </c>
      <c r="C474" s="23" t="s">
        <v>142</v>
      </c>
      <c r="D474" s="23" t="s">
        <v>143</v>
      </c>
      <c r="E474" s="15">
        <v>0</v>
      </c>
      <c r="F474" s="15">
        <v>29257.63</v>
      </c>
      <c r="G474" s="15"/>
      <c r="H474" s="50">
        <f t="shared" si="52"/>
        <v>29257.63</v>
      </c>
      <c r="I474" s="60">
        <f t="shared" si="53"/>
        <v>-29257.63</v>
      </c>
      <c r="J474" s="25">
        <f t="shared" si="54"/>
        <v>0</v>
      </c>
      <c r="K474" s="26" t="str">
        <f t="shared" si="55"/>
        <v>Sin Plan</v>
      </c>
      <c r="L474" s="6" t="s">
        <v>328</v>
      </c>
      <c r="M474" s="6" t="s">
        <v>323</v>
      </c>
    </row>
    <row r="475" spans="1:13" x14ac:dyDescent="0.35">
      <c r="A475" s="20" t="s">
        <v>116</v>
      </c>
      <c r="B475" s="11" t="s">
        <v>324</v>
      </c>
      <c r="C475" s="20" t="s">
        <v>33</v>
      </c>
      <c r="D475" s="20" t="s">
        <v>34</v>
      </c>
      <c r="E475" s="13">
        <v>462000</v>
      </c>
      <c r="F475" s="13">
        <v>323967.8</v>
      </c>
      <c r="G475" s="13">
        <v>0</v>
      </c>
      <c r="H475" s="50">
        <f t="shared" si="52"/>
        <v>323967.8</v>
      </c>
      <c r="I475" s="60">
        <f t="shared" si="53"/>
        <v>138032.20000000001</v>
      </c>
      <c r="J475" s="25">
        <f t="shared" si="54"/>
        <v>0.70122900432900426</v>
      </c>
      <c r="K475" s="26" t="str">
        <f t="shared" si="55"/>
        <v>En Progreso</v>
      </c>
      <c r="L475" s="6" t="s">
        <v>326</v>
      </c>
      <c r="M475" s="6" t="s">
        <v>325</v>
      </c>
    </row>
    <row r="476" spans="1:13" x14ac:dyDescent="0.35">
      <c r="A476" s="11" t="s">
        <v>119</v>
      </c>
      <c r="B476" s="11" t="s">
        <v>324</v>
      </c>
      <c r="C476" s="11" t="s">
        <v>33</v>
      </c>
      <c r="D476" s="11" t="s">
        <v>34</v>
      </c>
      <c r="E476" s="15">
        <v>462000</v>
      </c>
      <c r="F476" s="15">
        <v>9650</v>
      </c>
      <c r="G476" s="15">
        <v>0</v>
      </c>
      <c r="H476" s="50">
        <f t="shared" si="52"/>
        <v>9650</v>
      </c>
      <c r="I476" s="60">
        <f t="shared" si="53"/>
        <v>452350</v>
      </c>
      <c r="J476" s="25">
        <f t="shared" si="54"/>
        <v>2.0887445887445889E-2</v>
      </c>
      <c r="K476" s="26" t="str">
        <f t="shared" si="55"/>
        <v>En Progreso</v>
      </c>
      <c r="L476" s="6" t="s">
        <v>326</v>
      </c>
      <c r="M476" s="6" t="s">
        <v>325</v>
      </c>
    </row>
    <row r="477" spans="1:13" x14ac:dyDescent="0.35">
      <c r="A477" s="20" t="s">
        <v>160</v>
      </c>
      <c r="B477" s="11" t="s">
        <v>208</v>
      </c>
      <c r="C477" s="20" t="s">
        <v>78</v>
      </c>
      <c r="D477" s="20" t="s">
        <v>79</v>
      </c>
      <c r="E477" s="13">
        <v>0</v>
      </c>
      <c r="F477" s="13">
        <v>0</v>
      </c>
      <c r="G477" s="13">
        <v>274306.49</v>
      </c>
      <c r="H477" s="50">
        <f t="shared" si="52"/>
        <v>274306.49</v>
      </c>
      <c r="I477" s="60">
        <f t="shared" si="53"/>
        <v>-274306.49</v>
      </c>
      <c r="J477" s="21">
        <f t="shared" si="54"/>
        <v>0</v>
      </c>
      <c r="K477" s="22" t="str">
        <f t="shared" si="55"/>
        <v>Sin Plan</v>
      </c>
      <c r="L477" s="6" t="s">
        <v>328</v>
      </c>
      <c r="M477" s="6" t="s">
        <v>323</v>
      </c>
    </row>
    <row r="478" spans="1:13" x14ac:dyDescent="0.35">
      <c r="A478" s="23" t="s">
        <v>160</v>
      </c>
      <c r="B478" s="11" t="s">
        <v>208</v>
      </c>
      <c r="C478" s="23" t="s">
        <v>138</v>
      </c>
      <c r="D478" s="23" t="s">
        <v>139</v>
      </c>
      <c r="E478" s="15">
        <v>0</v>
      </c>
      <c r="F478" s="15">
        <v>129605.45</v>
      </c>
      <c r="G478" s="15">
        <v>79800</v>
      </c>
      <c r="H478" s="50">
        <f t="shared" si="52"/>
        <v>209405.45</v>
      </c>
      <c r="I478" s="60">
        <f t="shared" si="53"/>
        <v>-209405.45</v>
      </c>
      <c r="J478" s="25">
        <f t="shared" si="54"/>
        <v>0</v>
      </c>
      <c r="K478" s="26" t="str">
        <f t="shared" si="55"/>
        <v>Sin Plan</v>
      </c>
      <c r="L478" s="6" t="s">
        <v>328</v>
      </c>
      <c r="M478" s="6" t="s">
        <v>323</v>
      </c>
    </row>
    <row r="479" spans="1:13" x14ac:dyDescent="0.35">
      <c r="A479" s="32" t="s">
        <v>169</v>
      </c>
      <c r="B479" s="11" t="s">
        <v>208</v>
      </c>
      <c r="C479" s="32" t="s">
        <v>171</v>
      </c>
      <c r="D479" s="32" t="s">
        <v>172</v>
      </c>
      <c r="E479" s="15">
        <v>0</v>
      </c>
      <c r="F479" s="15">
        <v>253300</v>
      </c>
      <c r="G479" s="33"/>
      <c r="H479" s="50">
        <f t="shared" si="52"/>
        <v>253300</v>
      </c>
      <c r="I479" s="60">
        <f t="shared" si="53"/>
        <v>-253300</v>
      </c>
      <c r="J479" s="34">
        <f t="shared" si="54"/>
        <v>0</v>
      </c>
      <c r="K479" s="35" t="str">
        <f t="shared" si="55"/>
        <v>Sin Plan</v>
      </c>
      <c r="L479" s="6" t="s">
        <v>328</v>
      </c>
      <c r="M479" s="6" t="s">
        <v>323</v>
      </c>
    </row>
    <row r="480" spans="1:13" x14ac:dyDescent="0.35">
      <c r="A480" s="11" t="s">
        <v>169</v>
      </c>
      <c r="B480" s="11" t="s">
        <v>208</v>
      </c>
      <c r="C480" s="11" t="s">
        <v>66</v>
      </c>
      <c r="D480" s="11" t="s">
        <v>67</v>
      </c>
      <c r="E480" s="13">
        <v>0</v>
      </c>
      <c r="F480" s="13">
        <v>0</v>
      </c>
      <c r="G480" s="45">
        <v>360677.92</v>
      </c>
      <c r="H480" s="50">
        <f t="shared" si="52"/>
        <v>360677.92</v>
      </c>
      <c r="I480" s="60">
        <f t="shared" si="53"/>
        <v>-360677.92</v>
      </c>
      <c r="J480" s="18">
        <f t="shared" si="54"/>
        <v>0</v>
      </c>
      <c r="K480" s="19" t="str">
        <f t="shared" si="55"/>
        <v>Sin Plan</v>
      </c>
      <c r="L480" s="6" t="s">
        <v>328</v>
      </c>
      <c r="M480" s="6" t="s">
        <v>323</v>
      </c>
    </row>
    <row r="481" spans="1:13" x14ac:dyDescent="0.35">
      <c r="A481" s="23" t="s">
        <v>169</v>
      </c>
      <c r="B481" s="11" t="s">
        <v>208</v>
      </c>
      <c r="C481" s="23" t="s">
        <v>173</v>
      </c>
      <c r="D481" s="23" t="s">
        <v>174</v>
      </c>
      <c r="E481" s="15">
        <v>0</v>
      </c>
      <c r="F481" s="15">
        <v>57568</v>
      </c>
      <c r="G481" s="15">
        <v>0</v>
      </c>
      <c r="H481" s="50">
        <f t="shared" si="52"/>
        <v>57568</v>
      </c>
      <c r="I481" s="60">
        <f t="shared" si="53"/>
        <v>-57568</v>
      </c>
      <c r="J481" s="25">
        <f t="shared" si="54"/>
        <v>0</v>
      </c>
      <c r="K481" s="26" t="str">
        <f t="shared" si="55"/>
        <v>Sin Plan</v>
      </c>
      <c r="L481" s="6" t="s">
        <v>328</v>
      </c>
      <c r="M481" s="6" t="s">
        <v>323</v>
      </c>
    </row>
    <row r="482" spans="1:13" s="81" customFormat="1" x14ac:dyDescent="0.35">
      <c r="A482" s="76" t="s">
        <v>179</v>
      </c>
      <c r="B482" s="11" t="s">
        <v>208</v>
      </c>
      <c r="C482" s="11" t="s">
        <v>53</v>
      </c>
      <c r="D482" s="76" t="s">
        <v>54</v>
      </c>
      <c r="E482" s="46">
        <v>208000</v>
      </c>
      <c r="F482" s="46">
        <v>205298.15999999997</v>
      </c>
      <c r="G482" s="46">
        <v>0</v>
      </c>
      <c r="H482" s="50">
        <f t="shared" si="52"/>
        <v>205298.15999999997</v>
      </c>
      <c r="I482" s="60">
        <f t="shared" si="53"/>
        <v>2701.8400000000256</v>
      </c>
      <c r="J482" s="78">
        <f t="shared" si="54"/>
        <v>0.98701038461538448</v>
      </c>
      <c r="K482" s="79" t="str">
        <f t="shared" si="55"/>
        <v>En Progreso</v>
      </c>
      <c r="L482" s="80" t="s">
        <v>326</v>
      </c>
      <c r="M482" s="80" t="s">
        <v>325</v>
      </c>
    </row>
    <row r="483" spans="1:13" s="81" customFormat="1" x14ac:dyDescent="0.35">
      <c r="A483" s="82" t="s">
        <v>179</v>
      </c>
      <c r="B483" s="11" t="s">
        <v>208</v>
      </c>
      <c r="C483" s="20" t="s">
        <v>177</v>
      </c>
      <c r="D483" s="82" t="s">
        <v>178</v>
      </c>
      <c r="E483" s="45">
        <v>245000</v>
      </c>
      <c r="F483" s="45">
        <v>218568.22</v>
      </c>
      <c r="G483" s="45">
        <v>0</v>
      </c>
      <c r="H483" s="50">
        <f t="shared" si="52"/>
        <v>218568.22</v>
      </c>
      <c r="I483" s="60">
        <f t="shared" si="53"/>
        <v>26431.78</v>
      </c>
      <c r="J483" s="84">
        <f t="shared" si="54"/>
        <v>0.89211518367346943</v>
      </c>
      <c r="K483" s="85" t="str">
        <f t="shared" si="55"/>
        <v>En Progreso</v>
      </c>
      <c r="L483" s="80" t="s">
        <v>326</v>
      </c>
      <c r="M483" s="80" t="s">
        <v>325</v>
      </c>
    </row>
    <row r="484" spans="1:13" x14ac:dyDescent="0.35">
      <c r="A484" s="32" t="s">
        <v>186</v>
      </c>
      <c r="B484" s="11" t="s">
        <v>208</v>
      </c>
      <c r="C484" s="32" t="s">
        <v>165</v>
      </c>
      <c r="D484" s="32" t="s">
        <v>166</v>
      </c>
      <c r="E484" s="13">
        <v>0</v>
      </c>
      <c r="F484" s="46">
        <v>74700</v>
      </c>
      <c r="G484" s="50"/>
      <c r="H484" s="50">
        <f t="shared" si="52"/>
        <v>74700</v>
      </c>
      <c r="I484" s="60">
        <f t="shared" si="53"/>
        <v>-74700</v>
      </c>
      <c r="J484" s="34">
        <f t="shared" si="54"/>
        <v>0</v>
      </c>
      <c r="K484" s="35" t="str">
        <f t="shared" si="55"/>
        <v>Sin Plan</v>
      </c>
      <c r="L484" s="6" t="s">
        <v>328</v>
      </c>
      <c r="M484" s="6" t="s">
        <v>323</v>
      </c>
    </row>
    <row r="485" spans="1:13" x14ac:dyDescent="0.35">
      <c r="A485" s="11" t="s">
        <v>192</v>
      </c>
      <c r="B485" s="11" t="s">
        <v>208</v>
      </c>
      <c r="C485" s="11" t="s">
        <v>193</v>
      </c>
      <c r="D485" s="11" t="s">
        <v>194</v>
      </c>
      <c r="E485" s="15">
        <v>0</v>
      </c>
      <c r="F485" s="15">
        <v>0</v>
      </c>
      <c r="G485" s="15">
        <v>274733.71999999997</v>
      </c>
      <c r="H485" s="50">
        <f t="shared" si="52"/>
        <v>274733.71999999997</v>
      </c>
      <c r="I485" s="60">
        <f t="shared" si="53"/>
        <v>-274733.71999999997</v>
      </c>
      <c r="J485" s="18">
        <f t="shared" si="54"/>
        <v>0</v>
      </c>
      <c r="K485" s="19" t="str">
        <f t="shared" si="55"/>
        <v>Sin Plan</v>
      </c>
      <c r="L485" s="6" t="s">
        <v>328</v>
      </c>
      <c r="M485" s="6" t="s">
        <v>323</v>
      </c>
    </row>
    <row r="486" spans="1:13" x14ac:dyDescent="0.35">
      <c r="A486" s="20" t="s">
        <v>192</v>
      </c>
      <c r="B486" s="11" t="s">
        <v>208</v>
      </c>
      <c r="C486" s="20" t="s">
        <v>195</v>
      </c>
      <c r="D486" s="20" t="s">
        <v>196</v>
      </c>
      <c r="E486" s="13">
        <v>0</v>
      </c>
      <c r="F486" s="13">
        <v>26400</v>
      </c>
      <c r="G486" s="13">
        <v>0</v>
      </c>
      <c r="H486" s="50">
        <f t="shared" si="52"/>
        <v>26400</v>
      </c>
      <c r="I486" s="60">
        <f t="shared" si="53"/>
        <v>-26400</v>
      </c>
      <c r="J486" s="21">
        <f t="shared" si="54"/>
        <v>0</v>
      </c>
      <c r="K486" s="22" t="str">
        <f t="shared" si="55"/>
        <v>Sin Plan</v>
      </c>
      <c r="L486" s="6" t="s">
        <v>328</v>
      </c>
      <c r="M486" s="6" t="s">
        <v>323</v>
      </c>
    </row>
    <row r="487" spans="1:13" x14ac:dyDescent="0.35">
      <c r="A487" s="36" t="s">
        <v>199</v>
      </c>
      <c r="B487" s="11" t="s">
        <v>208</v>
      </c>
      <c r="C487" s="11" t="s">
        <v>13</v>
      </c>
      <c r="D487" s="11" t="s">
        <v>14</v>
      </c>
      <c r="E487" s="15">
        <v>0</v>
      </c>
      <c r="F487" s="15">
        <v>0</v>
      </c>
      <c r="G487" s="15">
        <v>124000</v>
      </c>
      <c r="H487" s="50">
        <f t="shared" si="52"/>
        <v>124000</v>
      </c>
      <c r="I487" s="60">
        <f t="shared" si="53"/>
        <v>-124000</v>
      </c>
      <c r="J487" s="18">
        <f t="shared" si="54"/>
        <v>0</v>
      </c>
      <c r="K487" s="19" t="str">
        <f t="shared" si="55"/>
        <v>Sin Plan</v>
      </c>
      <c r="L487" s="6" t="s">
        <v>328</v>
      </c>
      <c r="M487" s="6" t="s">
        <v>323</v>
      </c>
    </row>
    <row r="488" spans="1:13" x14ac:dyDescent="0.35">
      <c r="A488" s="36" t="s">
        <v>199</v>
      </c>
      <c r="B488" s="11" t="s">
        <v>208</v>
      </c>
      <c r="C488" s="11" t="s">
        <v>44</v>
      </c>
      <c r="D488" s="11" t="s">
        <v>45</v>
      </c>
      <c r="E488" s="13">
        <v>0</v>
      </c>
      <c r="F488" s="16">
        <v>133571.41</v>
      </c>
      <c r="G488" s="13">
        <v>0</v>
      </c>
      <c r="H488" s="50">
        <f t="shared" si="52"/>
        <v>133571.41</v>
      </c>
      <c r="I488" s="60">
        <f t="shared" si="53"/>
        <v>-133571.41</v>
      </c>
      <c r="J488" s="18">
        <f t="shared" si="54"/>
        <v>0</v>
      </c>
      <c r="K488" s="19" t="str">
        <f t="shared" si="55"/>
        <v>Sin Plan</v>
      </c>
      <c r="L488" s="6" t="s">
        <v>328</v>
      </c>
      <c r="M488" s="6" t="s">
        <v>323</v>
      </c>
    </row>
    <row r="489" spans="1:13" x14ac:dyDescent="0.35">
      <c r="A489" s="32" t="s">
        <v>199</v>
      </c>
      <c r="B489" s="11" t="s">
        <v>208</v>
      </c>
      <c r="C489" s="32" t="s">
        <v>39</v>
      </c>
      <c r="D489" s="32" t="s">
        <v>40</v>
      </c>
      <c r="E489" s="13">
        <v>0</v>
      </c>
      <c r="F489" s="13">
        <v>0</v>
      </c>
      <c r="G489" s="13">
        <v>3310396.8</v>
      </c>
      <c r="H489" s="50">
        <f t="shared" si="52"/>
        <v>3310396.8</v>
      </c>
      <c r="I489" s="60">
        <f t="shared" si="53"/>
        <v>-3310396.8</v>
      </c>
      <c r="J489" s="34">
        <f t="shared" si="54"/>
        <v>0</v>
      </c>
      <c r="K489" s="35" t="str">
        <f t="shared" si="55"/>
        <v>Sin Plan</v>
      </c>
      <c r="L489" s="6" t="s">
        <v>326</v>
      </c>
      <c r="M489" s="6" t="s">
        <v>323</v>
      </c>
    </row>
    <row r="490" spans="1:13" s="2" customFormat="1" x14ac:dyDescent="0.35">
      <c r="A490" s="20" t="s">
        <v>202</v>
      </c>
      <c r="B490" s="11" t="s">
        <v>208</v>
      </c>
      <c r="C490" s="20" t="s">
        <v>203</v>
      </c>
      <c r="D490" s="20" t="s">
        <v>43</v>
      </c>
      <c r="E490" s="13">
        <v>0</v>
      </c>
      <c r="F490" s="13">
        <v>137581.29999999999</v>
      </c>
      <c r="G490" s="13"/>
      <c r="H490" s="50">
        <f t="shared" si="52"/>
        <v>137581.29999999999</v>
      </c>
      <c r="I490" s="60">
        <f t="shared" si="53"/>
        <v>-137581.29999999999</v>
      </c>
      <c r="J490" s="21">
        <f t="shared" si="54"/>
        <v>0</v>
      </c>
      <c r="K490" s="22" t="str">
        <f t="shared" si="55"/>
        <v>Sin Plan</v>
      </c>
      <c r="L490" s="6" t="s">
        <v>328</v>
      </c>
      <c r="M490" s="6" t="s">
        <v>323</v>
      </c>
    </row>
    <row r="491" spans="1:13" x14ac:dyDescent="0.35">
      <c r="A491" s="20" t="s">
        <v>202</v>
      </c>
      <c r="B491" s="11" t="s">
        <v>208</v>
      </c>
      <c r="C491" s="20" t="s">
        <v>193</v>
      </c>
      <c r="D491" s="20" t="s">
        <v>194</v>
      </c>
      <c r="E491" s="13">
        <v>0</v>
      </c>
      <c r="F491" s="13">
        <v>82827.64</v>
      </c>
      <c r="G491" s="13">
        <v>0</v>
      </c>
      <c r="H491" s="50">
        <f t="shared" si="52"/>
        <v>82827.64</v>
      </c>
      <c r="I491" s="60">
        <f t="shared" si="53"/>
        <v>-82827.64</v>
      </c>
      <c r="J491" s="21">
        <f t="shared" si="54"/>
        <v>0</v>
      </c>
      <c r="K491" s="22" t="str">
        <f t="shared" si="55"/>
        <v>Sin Plan</v>
      </c>
      <c r="L491" s="6" t="s">
        <v>328</v>
      </c>
      <c r="M491" s="6" t="s">
        <v>323</v>
      </c>
    </row>
    <row r="492" spans="1:13" x14ac:dyDescent="0.35">
      <c r="A492" s="11" t="s">
        <v>202</v>
      </c>
      <c r="B492" s="11" t="s">
        <v>208</v>
      </c>
      <c r="C492" s="11" t="s">
        <v>101</v>
      </c>
      <c r="D492" s="11" t="s">
        <v>102</v>
      </c>
      <c r="E492" s="15">
        <v>0</v>
      </c>
      <c r="F492" s="15">
        <v>292429.48</v>
      </c>
      <c r="G492" s="15">
        <v>0</v>
      </c>
      <c r="H492" s="50">
        <f t="shared" si="52"/>
        <v>292429.48</v>
      </c>
      <c r="I492" s="60">
        <f t="shared" si="53"/>
        <v>-292429.48</v>
      </c>
      <c r="J492" s="18">
        <f t="shared" si="54"/>
        <v>0</v>
      </c>
      <c r="K492" s="19" t="str">
        <f t="shared" si="55"/>
        <v>Sin Plan</v>
      </c>
      <c r="L492" s="6" t="s">
        <v>328</v>
      </c>
      <c r="M492" s="6" t="s">
        <v>323</v>
      </c>
    </row>
    <row r="493" spans="1:13" x14ac:dyDescent="0.35">
      <c r="A493" s="11" t="s">
        <v>202</v>
      </c>
      <c r="B493" s="11" t="s">
        <v>208</v>
      </c>
      <c r="C493" s="11" t="s">
        <v>200</v>
      </c>
      <c r="D493" s="11" t="s">
        <v>201</v>
      </c>
      <c r="E493" s="15">
        <v>0</v>
      </c>
      <c r="F493" s="15">
        <v>237390.12</v>
      </c>
      <c r="G493" s="15">
        <v>0</v>
      </c>
      <c r="H493" s="50">
        <f t="shared" si="52"/>
        <v>237390.12</v>
      </c>
      <c r="I493" s="60">
        <f t="shared" si="53"/>
        <v>-237390.12</v>
      </c>
      <c r="J493" s="18">
        <f t="shared" si="54"/>
        <v>0</v>
      </c>
      <c r="K493" s="19" t="str">
        <f t="shared" si="55"/>
        <v>Sin Plan</v>
      </c>
      <c r="L493" s="6" t="s">
        <v>326</v>
      </c>
      <c r="M493" s="6" t="s">
        <v>323</v>
      </c>
    </row>
    <row r="494" spans="1:13" x14ac:dyDescent="0.35">
      <c r="A494" s="61" t="s">
        <v>205</v>
      </c>
      <c r="B494" s="11" t="s">
        <v>208</v>
      </c>
      <c r="C494" s="23" t="s">
        <v>193</v>
      </c>
      <c r="D494" s="61" t="s">
        <v>194</v>
      </c>
      <c r="E494" s="51">
        <v>0</v>
      </c>
      <c r="F494" s="51">
        <v>252957.03</v>
      </c>
      <c r="G494" s="51"/>
      <c r="H494" s="50">
        <f t="shared" si="52"/>
        <v>252957.03</v>
      </c>
      <c r="I494" s="60">
        <f t="shared" si="53"/>
        <v>-252957.03</v>
      </c>
      <c r="J494" s="25">
        <f t="shared" si="54"/>
        <v>0</v>
      </c>
      <c r="K494" s="26" t="str">
        <f t="shared" si="55"/>
        <v>Sin Plan</v>
      </c>
      <c r="L494" s="6" t="s">
        <v>328</v>
      </c>
      <c r="M494" s="6" t="s">
        <v>323</v>
      </c>
    </row>
    <row r="495" spans="1:13" x14ac:dyDescent="0.35">
      <c r="A495" s="38" t="s">
        <v>205</v>
      </c>
      <c r="B495" s="11" t="s">
        <v>208</v>
      </c>
      <c r="C495" s="11" t="s">
        <v>96</v>
      </c>
      <c r="D495" s="38" t="s">
        <v>204</v>
      </c>
      <c r="E495" s="50">
        <v>0</v>
      </c>
      <c r="F495" s="50">
        <v>47800</v>
      </c>
      <c r="G495" s="50">
        <v>0</v>
      </c>
      <c r="H495" s="50">
        <f t="shared" si="52"/>
        <v>47800</v>
      </c>
      <c r="I495" s="60">
        <f t="shared" si="53"/>
        <v>-47800</v>
      </c>
      <c r="J495" s="18">
        <f t="shared" si="54"/>
        <v>0</v>
      </c>
      <c r="K495" s="19" t="str">
        <f t="shared" si="55"/>
        <v>Sin Plan</v>
      </c>
      <c r="L495" s="6" t="s">
        <v>328</v>
      </c>
      <c r="M495" s="6" t="s">
        <v>323</v>
      </c>
    </row>
    <row r="496" spans="1:13" x14ac:dyDescent="0.35">
      <c r="A496" s="38" t="s">
        <v>205</v>
      </c>
      <c r="B496" s="11" t="s">
        <v>208</v>
      </c>
      <c r="C496" s="32" t="s">
        <v>206</v>
      </c>
      <c r="D496" s="38" t="s">
        <v>207</v>
      </c>
      <c r="E496" s="51">
        <v>0</v>
      </c>
      <c r="F496" s="51">
        <v>0</v>
      </c>
      <c r="G496" s="51"/>
      <c r="H496" s="50">
        <f t="shared" si="52"/>
        <v>0</v>
      </c>
      <c r="I496" s="60">
        <f t="shared" si="53"/>
        <v>0</v>
      </c>
      <c r="J496" s="34">
        <f t="shared" si="54"/>
        <v>0</v>
      </c>
      <c r="K496" s="35" t="str">
        <f t="shared" si="55"/>
        <v>Sin Plan</v>
      </c>
      <c r="L496" s="6" t="s">
        <v>326</v>
      </c>
      <c r="M496" s="6" t="s">
        <v>323</v>
      </c>
    </row>
    <row r="497" spans="1:13" x14ac:dyDescent="0.35">
      <c r="A497" s="38" t="s">
        <v>205</v>
      </c>
      <c r="B497" s="11" t="s">
        <v>208</v>
      </c>
      <c r="C497" s="11" t="s">
        <v>71</v>
      </c>
      <c r="D497" s="38" t="s">
        <v>72</v>
      </c>
      <c r="E497" s="51">
        <v>0</v>
      </c>
      <c r="F497" s="51">
        <v>0</v>
      </c>
      <c r="G497" s="51">
        <v>122539.2</v>
      </c>
      <c r="H497" s="50">
        <f t="shared" si="52"/>
        <v>122539.2</v>
      </c>
      <c r="I497" s="60">
        <f t="shared" si="53"/>
        <v>-122539.2</v>
      </c>
      <c r="J497" s="18">
        <f t="shared" si="54"/>
        <v>0</v>
      </c>
      <c r="K497" s="19" t="str">
        <f t="shared" si="55"/>
        <v>Sin Plan</v>
      </c>
      <c r="L497" s="6" t="s">
        <v>328</v>
      </c>
      <c r="M497" s="6" t="s">
        <v>323</v>
      </c>
    </row>
    <row r="498" spans="1:13" x14ac:dyDescent="0.35">
      <c r="A498" s="20" t="s">
        <v>213</v>
      </c>
      <c r="B498" s="11" t="s">
        <v>208</v>
      </c>
      <c r="C498" s="20" t="s">
        <v>13</v>
      </c>
      <c r="D498" s="20" t="s">
        <v>14</v>
      </c>
      <c r="E498" s="13">
        <v>0</v>
      </c>
      <c r="F498" s="13">
        <v>82500</v>
      </c>
      <c r="G498" s="13">
        <v>118000</v>
      </c>
      <c r="H498" s="50">
        <f t="shared" si="52"/>
        <v>200500</v>
      </c>
      <c r="I498" s="60">
        <f t="shared" si="53"/>
        <v>-200500</v>
      </c>
      <c r="J498" s="21">
        <f t="shared" si="54"/>
        <v>0</v>
      </c>
      <c r="K498" s="22" t="str">
        <f t="shared" si="55"/>
        <v>Sin Plan</v>
      </c>
      <c r="L498" s="6" t="s">
        <v>328</v>
      </c>
      <c r="M498" s="6" t="s">
        <v>323</v>
      </c>
    </row>
    <row r="499" spans="1:13" x14ac:dyDescent="0.35">
      <c r="A499" s="23" t="s">
        <v>213</v>
      </c>
      <c r="B499" s="11" t="s">
        <v>208</v>
      </c>
      <c r="C499" s="23" t="s">
        <v>29</v>
      </c>
      <c r="D499" s="23" t="s">
        <v>30</v>
      </c>
      <c r="E499" s="15">
        <v>0</v>
      </c>
      <c r="F499" s="15">
        <v>160264.1</v>
      </c>
      <c r="G499" s="15">
        <v>0</v>
      </c>
      <c r="H499" s="50">
        <f t="shared" si="52"/>
        <v>160264.1</v>
      </c>
      <c r="I499" s="60">
        <f t="shared" si="53"/>
        <v>-160264.1</v>
      </c>
      <c r="J499" s="25">
        <f t="shared" si="54"/>
        <v>0</v>
      </c>
      <c r="K499" s="26" t="str">
        <f t="shared" si="55"/>
        <v>Sin Plan</v>
      </c>
      <c r="L499" s="6" t="s">
        <v>328</v>
      </c>
      <c r="M499" s="6" t="s">
        <v>323</v>
      </c>
    </row>
    <row r="500" spans="1:13" x14ac:dyDescent="0.35">
      <c r="A500" s="32" t="s">
        <v>213</v>
      </c>
      <c r="B500" s="11" t="s">
        <v>208</v>
      </c>
      <c r="C500" s="32" t="s">
        <v>218</v>
      </c>
      <c r="D500" s="32" t="s">
        <v>219</v>
      </c>
      <c r="E500" s="13">
        <v>0</v>
      </c>
      <c r="F500" s="13">
        <v>0</v>
      </c>
      <c r="G500" s="13">
        <v>663600</v>
      </c>
      <c r="H500" s="50">
        <f t="shared" si="52"/>
        <v>663600</v>
      </c>
      <c r="I500" s="60">
        <f t="shared" si="53"/>
        <v>-663600</v>
      </c>
      <c r="J500" s="34">
        <f t="shared" si="54"/>
        <v>0</v>
      </c>
      <c r="K500" s="35" t="str">
        <f t="shared" si="55"/>
        <v>Sin Plan</v>
      </c>
      <c r="L500" s="6" t="s">
        <v>326</v>
      </c>
      <c r="M500" s="6" t="s">
        <v>323</v>
      </c>
    </row>
    <row r="501" spans="1:13" x14ac:dyDescent="0.35">
      <c r="A501" s="11" t="s">
        <v>213</v>
      </c>
      <c r="B501" s="11" t="s">
        <v>208</v>
      </c>
      <c r="C501" s="11" t="s">
        <v>220</v>
      </c>
      <c r="D501" s="11" t="s">
        <v>221</v>
      </c>
      <c r="E501" s="13">
        <v>0</v>
      </c>
      <c r="F501" s="13">
        <v>225082.5</v>
      </c>
      <c r="G501" s="13">
        <v>0</v>
      </c>
      <c r="H501" s="50">
        <f t="shared" si="52"/>
        <v>225082.5</v>
      </c>
      <c r="I501" s="60">
        <f t="shared" si="53"/>
        <v>-225082.5</v>
      </c>
      <c r="J501" s="18">
        <f t="shared" si="54"/>
        <v>0</v>
      </c>
      <c r="K501" s="19" t="str">
        <f t="shared" si="55"/>
        <v>Sin Plan</v>
      </c>
      <c r="L501" s="6" t="s">
        <v>326</v>
      </c>
      <c r="M501" s="6" t="s">
        <v>323</v>
      </c>
    </row>
    <row r="502" spans="1:13" x14ac:dyDescent="0.35">
      <c r="A502" s="11" t="s">
        <v>222</v>
      </c>
      <c r="B502" s="11" t="s">
        <v>208</v>
      </c>
      <c r="C502" s="11" t="s">
        <v>37</v>
      </c>
      <c r="D502" s="11" t="s">
        <v>38</v>
      </c>
      <c r="E502" s="15">
        <v>0</v>
      </c>
      <c r="F502" s="15">
        <f>72500+3162744.59</f>
        <v>3235244.59</v>
      </c>
      <c r="G502" s="15">
        <v>0</v>
      </c>
      <c r="H502" s="50">
        <f t="shared" si="52"/>
        <v>3235244.59</v>
      </c>
      <c r="I502" s="60">
        <f t="shared" si="53"/>
        <v>-3235244.59</v>
      </c>
      <c r="J502" s="18">
        <f t="shared" si="54"/>
        <v>0</v>
      </c>
      <c r="K502" s="19" t="str">
        <f t="shared" si="55"/>
        <v>Sin Plan</v>
      </c>
      <c r="L502" s="6" t="s">
        <v>328</v>
      </c>
      <c r="M502" s="6" t="s">
        <v>323</v>
      </c>
    </row>
    <row r="503" spans="1:13" x14ac:dyDescent="0.35">
      <c r="A503" s="11" t="s">
        <v>222</v>
      </c>
      <c r="B503" s="11" t="s">
        <v>208</v>
      </c>
      <c r="C503" s="11" t="s">
        <v>83</v>
      </c>
      <c r="D503" s="11" t="s">
        <v>84</v>
      </c>
      <c r="E503" s="13">
        <v>0</v>
      </c>
      <c r="F503" s="13">
        <v>152140</v>
      </c>
      <c r="G503" s="13">
        <v>0</v>
      </c>
      <c r="H503" s="50">
        <f t="shared" si="52"/>
        <v>152140</v>
      </c>
      <c r="I503" s="60">
        <f t="shared" si="53"/>
        <v>-152140</v>
      </c>
      <c r="J503" s="18">
        <f t="shared" si="54"/>
        <v>0</v>
      </c>
      <c r="K503" s="19" t="str">
        <f t="shared" si="55"/>
        <v>Sin Plan</v>
      </c>
      <c r="L503" s="6" t="s">
        <v>326</v>
      </c>
      <c r="M503" s="6" t="s">
        <v>323</v>
      </c>
    </row>
    <row r="504" spans="1:13" x14ac:dyDescent="0.35">
      <c r="A504" s="32" t="s">
        <v>222</v>
      </c>
      <c r="B504" s="11" t="s">
        <v>208</v>
      </c>
      <c r="C504" s="32" t="s">
        <v>223</v>
      </c>
      <c r="D504" s="32" t="s">
        <v>224</v>
      </c>
      <c r="E504" s="15">
        <v>0</v>
      </c>
      <c r="F504" s="15">
        <v>0</v>
      </c>
      <c r="G504" s="15">
        <v>520823.23</v>
      </c>
      <c r="H504" s="50">
        <f t="shared" si="52"/>
        <v>520823.23</v>
      </c>
      <c r="I504" s="60">
        <f t="shared" si="53"/>
        <v>-520823.23</v>
      </c>
      <c r="J504" s="34">
        <f t="shared" ref="J504:J538" si="56">IFERROR(H504/E504,0)</f>
        <v>0</v>
      </c>
      <c r="K504" s="35" t="str">
        <f t="shared" ref="K504:K535" si="57">IF(E504=0,"Sin Plan",IF(J504&gt;=1,"Completado",IF(J504&gt;0.001,"En Progreso","Pendiente de ejecutar")))</f>
        <v>Sin Plan</v>
      </c>
      <c r="L504" s="6" t="s">
        <v>326</v>
      </c>
      <c r="M504" s="6" t="s">
        <v>323</v>
      </c>
    </row>
    <row r="505" spans="1:13" x14ac:dyDescent="0.35">
      <c r="A505" s="11" t="s">
        <v>225</v>
      </c>
      <c r="B505" s="11" t="s">
        <v>208</v>
      </c>
      <c r="C505" s="11" t="s">
        <v>226</v>
      </c>
      <c r="D505" s="11" t="s">
        <v>227</v>
      </c>
      <c r="E505" s="15">
        <v>0</v>
      </c>
      <c r="F505" s="16">
        <v>2666816.84</v>
      </c>
      <c r="G505" s="15">
        <v>0</v>
      </c>
      <c r="H505" s="50">
        <f t="shared" si="52"/>
        <v>2666816.84</v>
      </c>
      <c r="I505" s="60">
        <f t="shared" si="53"/>
        <v>-2666816.84</v>
      </c>
      <c r="J505" s="18">
        <f t="shared" si="56"/>
        <v>0</v>
      </c>
      <c r="K505" s="19" t="str">
        <f t="shared" si="57"/>
        <v>Sin Plan</v>
      </c>
      <c r="L505" s="6" t="s">
        <v>328</v>
      </c>
      <c r="M505" s="6" t="s">
        <v>323</v>
      </c>
    </row>
    <row r="506" spans="1:13" x14ac:dyDescent="0.35">
      <c r="A506" s="23" t="s">
        <v>225</v>
      </c>
      <c r="B506" s="11" t="s">
        <v>208</v>
      </c>
      <c r="C506" s="23" t="s">
        <v>200</v>
      </c>
      <c r="D506" s="23" t="s">
        <v>201</v>
      </c>
      <c r="E506" s="15">
        <v>0</v>
      </c>
      <c r="F506" s="15">
        <v>0</v>
      </c>
      <c r="G506" s="15">
        <v>859957.7</v>
      </c>
      <c r="H506" s="50">
        <f t="shared" si="52"/>
        <v>859957.7</v>
      </c>
      <c r="I506" s="60">
        <f t="shared" si="53"/>
        <v>-859957.7</v>
      </c>
      <c r="J506" s="25">
        <f t="shared" si="56"/>
        <v>0</v>
      </c>
      <c r="K506" s="26" t="str">
        <f t="shared" si="57"/>
        <v>Sin Plan</v>
      </c>
      <c r="L506" s="6" t="s">
        <v>326</v>
      </c>
      <c r="M506" s="6" t="s">
        <v>323</v>
      </c>
    </row>
    <row r="507" spans="1:13" x14ac:dyDescent="0.35">
      <c r="A507" s="32" t="s">
        <v>225</v>
      </c>
      <c r="B507" s="11" t="s">
        <v>208</v>
      </c>
      <c r="C507" s="32" t="s">
        <v>47</v>
      </c>
      <c r="D507" s="32" t="s">
        <v>48</v>
      </c>
      <c r="E507" s="15">
        <v>0</v>
      </c>
      <c r="F507" s="15">
        <v>0</v>
      </c>
      <c r="G507" s="15">
        <v>246624.75</v>
      </c>
      <c r="H507" s="50">
        <f t="shared" si="52"/>
        <v>246624.75</v>
      </c>
      <c r="I507" s="60">
        <f t="shared" si="53"/>
        <v>-246624.75</v>
      </c>
      <c r="J507" s="34">
        <f t="shared" si="56"/>
        <v>0</v>
      </c>
      <c r="K507" s="35" t="str">
        <f t="shared" si="57"/>
        <v>Sin Plan</v>
      </c>
      <c r="L507" s="6" t="s">
        <v>328</v>
      </c>
      <c r="M507" s="6" t="s">
        <v>323</v>
      </c>
    </row>
    <row r="508" spans="1:13" x14ac:dyDescent="0.35">
      <c r="A508" s="11" t="s">
        <v>225</v>
      </c>
      <c r="B508" s="11" t="s">
        <v>208</v>
      </c>
      <c r="C508" s="11" t="s">
        <v>63</v>
      </c>
      <c r="D508" s="11" t="s">
        <v>64</v>
      </c>
      <c r="E508" s="13">
        <v>0</v>
      </c>
      <c r="F508" s="16">
        <v>1024246.69</v>
      </c>
      <c r="G508" s="13">
        <v>0</v>
      </c>
      <c r="H508" s="50">
        <f t="shared" si="52"/>
        <v>1024246.69</v>
      </c>
      <c r="I508" s="60">
        <f t="shared" si="53"/>
        <v>-1024246.69</v>
      </c>
      <c r="J508" s="18">
        <f t="shared" si="56"/>
        <v>0</v>
      </c>
      <c r="K508" s="19" t="str">
        <f t="shared" si="57"/>
        <v>Sin Plan</v>
      </c>
      <c r="L508" s="6" t="s">
        <v>326</v>
      </c>
      <c r="M508" s="6" t="s">
        <v>323</v>
      </c>
    </row>
    <row r="509" spans="1:13" x14ac:dyDescent="0.35">
      <c r="A509" s="20" t="s">
        <v>228</v>
      </c>
      <c r="B509" s="11" t="s">
        <v>208</v>
      </c>
      <c r="C509" s="20" t="s">
        <v>223</v>
      </c>
      <c r="D509" s="20" t="s">
        <v>224</v>
      </c>
      <c r="E509" s="13">
        <v>0</v>
      </c>
      <c r="F509" s="13">
        <v>0</v>
      </c>
      <c r="G509" s="13">
        <v>520823.23</v>
      </c>
      <c r="H509" s="50">
        <f t="shared" si="52"/>
        <v>520823.23</v>
      </c>
      <c r="I509" s="60">
        <f t="shared" si="53"/>
        <v>-520823.23</v>
      </c>
      <c r="J509" s="21">
        <f t="shared" si="56"/>
        <v>0</v>
      </c>
      <c r="K509" s="22" t="str">
        <f t="shared" si="57"/>
        <v>Sin Plan</v>
      </c>
      <c r="L509" s="6" t="s">
        <v>326</v>
      </c>
      <c r="M509" s="6" t="s">
        <v>323</v>
      </c>
    </row>
    <row r="510" spans="1:13" x14ac:dyDescent="0.35">
      <c r="A510" s="23" t="s">
        <v>228</v>
      </c>
      <c r="B510" s="11" t="s">
        <v>208</v>
      </c>
      <c r="C510" s="23" t="s">
        <v>78</v>
      </c>
      <c r="D510" s="23" t="s">
        <v>79</v>
      </c>
      <c r="E510" s="15">
        <v>0</v>
      </c>
      <c r="F510" s="15">
        <v>211814.72</v>
      </c>
      <c r="G510" s="15">
        <v>0</v>
      </c>
      <c r="H510" s="50">
        <f t="shared" si="52"/>
        <v>211814.72</v>
      </c>
      <c r="I510" s="60">
        <f t="shared" si="53"/>
        <v>-211814.72</v>
      </c>
      <c r="J510" s="25">
        <f t="shared" si="56"/>
        <v>0</v>
      </c>
      <c r="K510" s="26" t="str">
        <f t="shared" si="57"/>
        <v>Sin Plan</v>
      </c>
      <c r="L510" s="6" t="s">
        <v>328</v>
      </c>
      <c r="M510" s="6" t="s">
        <v>323</v>
      </c>
    </row>
    <row r="511" spans="1:13" x14ac:dyDescent="0.35">
      <c r="A511" s="32" t="s">
        <v>228</v>
      </c>
      <c r="B511" s="11" t="s">
        <v>208</v>
      </c>
      <c r="C511" s="32" t="s">
        <v>29</v>
      </c>
      <c r="D511" s="32" t="s">
        <v>30</v>
      </c>
      <c r="E511" s="13">
        <v>0</v>
      </c>
      <c r="F511" s="13">
        <v>0</v>
      </c>
      <c r="G511" s="13"/>
      <c r="H511" s="50">
        <f t="shared" si="52"/>
        <v>0</v>
      </c>
      <c r="I511" s="60">
        <f t="shared" si="53"/>
        <v>0</v>
      </c>
      <c r="J511" s="34">
        <f t="shared" si="56"/>
        <v>0</v>
      </c>
      <c r="K511" s="35" t="str">
        <f t="shared" si="57"/>
        <v>Sin Plan</v>
      </c>
      <c r="L511" s="6" t="s">
        <v>328</v>
      </c>
      <c r="M511" s="6" t="s">
        <v>327</v>
      </c>
    </row>
    <row r="512" spans="1:13" x14ac:dyDescent="0.35">
      <c r="A512" s="11" t="s">
        <v>229</v>
      </c>
      <c r="B512" s="11" t="s">
        <v>208</v>
      </c>
      <c r="C512" s="11" t="s">
        <v>223</v>
      </c>
      <c r="D512" s="11" t="s">
        <v>224</v>
      </c>
      <c r="E512" s="13">
        <v>0</v>
      </c>
      <c r="F512" s="13">
        <v>0</v>
      </c>
      <c r="G512" s="13">
        <v>520823.23</v>
      </c>
      <c r="H512" s="50">
        <f t="shared" si="52"/>
        <v>520823.23</v>
      </c>
      <c r="I512" s="60">
        <f t="shared" si="53"/>
        <v>-520823.23</v>
      </c>
      <c r="J512" s="18">
        <f t="shared" si="56"/>
        <v>0</v>
      </c>
      <c r="K512" s="19" t="str">
        <f t="shared" si="57"/>
        <v>Sin Plan</v>
      </c>
      <c r="L512" s="6" t="s">
        <v>326</v>
      </c>
      <c r="M512" s="6" t="s">
        <v>323</v>
      </c>
    </row>
    <row r="513" spans="1:23" x14ac:dyDescent="0.35">
      <c r="A513" s="32" t="s">
        <v>229</v>
      </c>
      <c r="B513" s="11" t="s">
        <v>208</v>
      </c>
      <c r="C513" s="32" t="s">
        <v>29</v>
      </c>
      <c r="D513" s="32" t="s">
        <v>30</v>
      </c>
      <c r="E513" s="15">
        <v>0</v>
      </c>
      <c r="F513" s="15">
        <v>534229.98</v>
      </c>
      <c r="G513" s="33"/>
      <c r="H513" s="50">
        <f t="shared" ref="H513:H576" si="58">F513+G513</f>
        <v>534229.98</v>
      </c>
      <c r="I513" s="60">
        <f t="shared" ref="I513:I576" si="59">E513-H513</f>
        <v>-534229.98</v>
      </c>
      <c r="J513" s="34">
        <f t="shared" si="56"/>
        <v>0</v>
      </c>
      <c r="K513" s="35" t="str">
        <f t="shared" si="57"/>
        <v>Sin Plan</v>
      </c>
      <c r="L513" s="6" t="s">
        <v>326</v>
      </c>
      <c r="M513" s="6" t="s">
        <v>327</v>
      </c>
    </row>
    <row r="514" spans="1:23" x14ac:dyDescent="0.35">
      <c r="A514" s="11" t="s">
        <v>230</v>
      </c>
      <c r="B514" s="11" t="s">
        <v>208</v>
      </c>
      <c r="C514" s="11" t="s">
        <v>44</v>
      </c>
      <c r="D514" s="11" t="s">
        <v>45</v>
      </c>
      <c r="E514" s="13">
        <v>0</v>
      </c>
      <c r="F514" s="13">
        <v>41362.92</v>
      </c>
      <c r="G514" s="13">
        <v>0</v>
      </c>
      <c r="H514" s="50">
        <f t="shared" si="58"/>
        <v>41362.92</v>
      </c>
      <c r="I514" s="60">
        <f t="shared" si="59"/>
        <v>-41362.92</v>
      </c>
      <c r="J514" s="18">
        <f t="shared" si="56"/>
        <v>0</v>
      </c>
      <c r="K514" s="19" t="str">
        <f t="shared" si="57"/>
        <v>Sin Plan</v>
      </c>
      <c r="L514" s="6" t="s">
        <v>328</v>
      </c>
      <c r="M514" s="6" t="s">
        <v>323</v>
      </c>
    </row>
    <row r="515" spans="1:23" x14ac:dyDescent="0.35">
      <c r="A515" s="32" t="s">
        <v>231</v>
      </c>
      <c r="B515" s="11" t="s">
        <v>208</v>
      </c>
      <c r="C515" s="32" t="s">
        <v>223</v>
      </c>
      <c r="D515" s="32" t="s">
        <v>224</v>
      </c>
      <c r="E515" s="15">
        <v>0</v>
      </c>
      <c r="F515" s="15">
        <v>0</v>
      </c>
      <c r="G515" s="15">
        <v>520823.23</v>
      </c>
      <c r="H515" s="50">
        <f t="shared" si="58"/>
        <v>520823.23</v>
      </c>
      <c r="I515" s="60">
        <f t="shared" si="59"/>
        <v>-520823.23</v>
      </c>
      <c r="J515" s="34">
        <f t="shared" si="56"/>
        <v>0</v>
      </c>
      <c r="K515" s="35" t="str">
        <f t="shared" si="57"/>
        <v>Sin Plan</v>
      </c>
      <c r="L515" s="6" t="s">
        <v>326</v>
      </c>
      <c r="M515" s="6" t="s">
        <v>323</v>
      </c>
    </row>
    <row r="516" spans="1:23" s="2" customFormat="1" x14ac:dyDescent="0.35">
      <c r="A516" s="20" t="s">
        <v>231</v>
      </c>
      <c r="B516" s="11" t="s">
        <v>208</v>
      </c>
      <c r="C516" s="20" t="s">
        <v>13</v>
      </c>
      <c r="D516" s="20" t="s">
        <v>14</v>
      </c>
      <c r="E516" s="13">
        <v>0</v>
      </c>
      <c r="F516" s="13">
        <v>0</v>
      </c>
      <c r="G516" s="13">
        <v>588000</v>
      </c>
      <c r="H516" s="50">
        <f t="shared" si="58"/>
        <v>588000</v>
      </c>
      <c r="I516" s="60">
        <f t="shared" si="59"/>
        <v>-588000</v>
      </c>
      <c r="J516" s="21">
        <f t="shared" si="56"/>
        <v>0</v>
      </c>
      <c r="K516" s="22" t="str">
        <f t="shared" si="57"/>
        <v>Sin Plan</v>
      </c>
      <c r="L516" s="6" t="s">
        <v>328</v>
      </c>
      <c r="M516" s="6" t="s">
        <v>323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x14ac:dyDescent="0.35">
      <c r="A517" s="23" t="s">
        <v>231</v>
      </c>
      <c r="B517" s="11" t="s">
        <v>208</v>
      </c>
      <c r="C517" s="23" t="s">
        <v>44</v>
      </c>
      <c r="D517" s="23" t="s">
        <v>45</v>
      </c>
      <c r="E517" s="15">
        <v>0</v>
      </c>
      <c r="F517" s="15">
        <v>127155.16</v>
      </c>
      <c r="G517" s="15">
        <v>0</v>
      </c>
      <c r="H517" s="50">
        <f t="shared" si="58"/>
        <v>127155.16</v>
      </c>
      <c r="I517" s="60">
        <f t="shared" si="59"/>
        <v>-127155.16</v>
      </c>
      <c r="J517" s="25">
        <f t="shared" si="56"/>
        <v>0</v>
      </c>
      <c r="K517" s="26" t="str">
        <f t="shared" si="57"/>
        <v>Sin Plan</v>
      </c>
      <c r="L517" s="6" t="s">
        <v>328</v>
      </c>
      <c r="M517" s="6" t="s">
        <v>323</v>
      </c>
    </row>
    <row r="518" spans="1:23" x14ac:dyDescent="0.35">
      <c r="A518" s="20" t="s">
        <v>231</v>
      </c>
      <c r="B518" s="11" t="s">
        <v>208</v>
      </c>
      <c r="C518" s="20" t="s">
        <v>182</v>
      </c>
      <c r="D518" s="20" t="s">
        <v>183</v>
      </c>
      <c r="E518" s="13">
        <v>0</v>
      </c>
      <c r="F518" s="13">
        <v>151151.98000000001</v>
      </c>
      <c r="G518" s="13">
        <v>0</v>
      </c>
      <c r="H518" s="50">
        <f t="shared" si="58"/>
        <v>151151.98000000001</v>
      </c>
      <c r="I518" s="60">
        <f t="shared" si="59"/>
        <v>-151151.98000000001</v>
      </c>
      <c r="J518" s="21">
        <f t="shared" si="56"/>
        <v>0</v>
      </c>
      <c r="K518" s="22" t="str">
        <f t="shared" si="57"/>
        <v>Sin Plan</v>
      </c>
      <c r="L518" s="6" t="s">
        <v>328</v>
      </c>
      <c r="M518" s="6" t="s">
        <v>323</v>
      </c>
    </row>
    <row r="519" spans="1:23" x14ac:dyDescent="0.35">
      <c r="A519" s="23" t="s">
        <v>231</v>
      </c>
      <c r="B519" s="11" t="s">
        <v>208</v>
      </c>
      <c r="C519" s="23" t="s">
        <v>220</v>
      </c>
      <c r="D519" s="23" t="s">
        <v>221</v>
      </c>
      <c r="E519" s="15">
        <v>0</v>
      </c>
      <c r="F519" s="15">
        <v>223997.3</v>
      </c>
      <c r="G519" s="15">
        <v>0</v>
      </c>
      <c r="H519" s="50">
        <f t="shared" si="58"/>
        <v>223997.3</v>
      </c>
      <c r="I519" s="60">
        <f t="shared" si="59"/>
        <v>-223997.3</v>
      </c>
      <c r="J519" s="25">
        <f t="shared" si="56"/>
        <v>0</v>
      </c>
      <c r="K519" s="26" t="str">
        <f t="shared" si="57"/>
        <v>Sin Plan</v>
      </c>
      <c r="L519" s="6" t="s">
        <v>326</v>
      </c>
      <c r="M519" s="6" t="s">
        <v>323</v>
      </c>
    </row>
    <row r="520" spans="1:23" x14ac:dyDescent="0.35">
      <c r="A520" s="11" t="s">
        <v>232</v>
      </c>
      <c r="B520" s="11" t="s">
        <v>208</v>
      </c>
      <c r="C520" s="11" t="s">
        <v>203</v>
      </c>
      <c r="D520" s="11" t="s">
        <v>43</v>
      </c>
      <c r="E520" s="13">
        <v>0</v>
      </c>
      <c r="F520" s="45">
        <v>171706.75</v>
      </c>
      <c r="G520" s="50">
        <v>0</v>
      </c>
      <c r="H520" s="50">
        <f t="shared" si="58"/>
        <v>171706.75</v>
      </c>
      <c r="I520" s="60">
        <f t="shared" si="59"/>
        <v>-171706.75</v>
      </c>
      <c r="J520" s="18">
        <f t="shared" si="56"/>
        <v>0</v>
      </c>
      <c r="K520" s="19" t="str">
        <f t="shared" si="57"/>
        <v>Sin Plan</v>
      </c>
      <c r="L520" s="6" t="s">
        <v>328</v>
      </c>
      <c r="M520" s="6" t="s">
        <v>323</v>
      </c>
    </row>
    <row r="521" spans="1:23" x14ac:dyDescent="0.35">
      <c r="A521" s="11" t="s">
        <v>232</v>
      </c>
      <c r="B521" s="11" t="s">
        <v>208</v>
      </c>
      <c r="C521" s="11" t="s">
        <v>171</v>
      </c>
      <c r="D521" s="11" t="s">
        <v>172</v>
      </c>
      <c r="E521" s="15">
        <v>0</v>
      </c>
      <c r="F521" s="46">
        <v>506600</v>
      </c>
      <c r="G521" s="51"/>
      <c r="H521" s="50">
        <f t="shared" si="58"/>
        <v>506600</v>
      </c>
      <c r="I521" s="60">
        <f t="shared" si="59"/>
        <v>-506600</v>
      </c>
      <c r="J521" s="18">
        <f t="shared" si="56"/>
        <v>0</v>
      </c>
      <c r="K521" s="19" t="str">
        <f t="shared" si="57"/>
        <v>Sin Plan</v>
      </c>
      <c r="L521" s="6" t="s">
        <v>328</v>
      </c>
      <c r="M521" s="6" t="s">
        <v>323</v>
      </c>
    </row>
    <row r="522" spans="1:23" x14ac:dyDescent="0.35">
      <c r="A522" s="20" t="s">
        <v>232</v>
      </c>
      <c r="B522" s="11" t="s">
        <v>208</v>
      </c>
      <c r="C522" s="20" t="s">
        <v>13</v>
      </c>
      <c r="D522" s="20" t="s">
        <v>14</v>
      </c>
      <c r="E522" s="13">
        <v>0</v>
      </c>
      <c r="F522" s="13">
        <v>0</v>
      </c>
      <c r="G522" s="45">
        <v>2148000</v>
      </c>
      <c r="H522" s="50">
        <f t="shared" si="58"/>
        <v>2148000</v>
      </c>
      <c r="I522" s="60">
        <f t="shared" si="59"/>
        <v>-2148000</v>
      </c>
      <c r="J522" s="21">
        <f t="shared" si="56"/>
        <v>0</v>
      </c>
      <c r="K522" s="22" t="str">
        <f t="shared" si="57"/>
        <v>Sin Plan</v>
      </c>
      <c r="L522" s="6" t="s">
        <v>328</v>
      </c>
      <c r="M522" s="6" t="s">
        <v>323</v>
      </c>
    </row>
    <row r="523" spans="1:23" x14ac:dyDescent="0.35">
      <c r="A523" s="11" t="s">
        <v>232</v>
      </c>
      <c r="B523" s="11" t="s">
        <v>208</v>
      </c>
      <c r="C523" s="11" t="s">
        <v>237</v>
      </c>
      <c r="D523" s="11" t="s">
        <v>238</v>
      </c>
      <c r="E523" s="13">
        <v>0</v>
      </c>
      <c r="F523" s="45">
        <v>158508</v>
      </c>
      <c r="G523" s="50">
        <v>0</v>
      </c>
      <c r="H523" s="50">
        <f t="shared" si="58"/>
        <v>158508</v>
      </c>
      <c r="I523" s="60">
        <f t="shared" si="59"/>
        <v>-158508</v>
      </c>
      <c r="J523" s="18">
        <f t="shared" si="56"/>
        <v>0</v>
      </c>
      <c r="K523" s="19" t="str">
        <f t="shared" si="57"/>
        <v>Sin Plan</v>
      </c>
      <c r="L523" s="6" t="s">
        <v>328</v>
      </c>
      <c r="M523" s="6" t="s">
        <v>323</v>
      </c>
    </row>
    <row r="524" spans="1:23" x14ac:dyDescent="0.35">
      <c r="A524" s="20" t="s">
        <v>232</v>
      </c>
      <c r="B524" s="11" t="s">
        <v>208</v>
      </c>
      <c r="C524" s="20" t="s">
        <v>39</v>
      </c>
      <c r="D524" s="20" t="s">
        <v>40</v>
      </c>
      <c r="E524" s="13">
        <v>0</v>
      </c>
      <c r="F524" s="13">
        <v>132462.32</v>
      </c>
      <c r="G524" s="50">
        <v>0</v>
      </c>
      <c r="H524" s="50">
        <f t="shared" si="58"/>
        <v>132462.32</v>
      </c>
      <c r="I524" s="60">
        <f t="shared" si="59"/>
        <v>-132462.32</v>
      </c>
      <c r="J524" s="21">
        <f t="shared" si="56"/>
        <v>0</v>
      </c>
      <c r="K524" s="22" t="str">
        <f t="shared" si="57"/>
        <v>Sin Plan</v>
      </c>
      <c r="L524" s="6" t="s">
        <v>328</v>
      </c>
      <c r="M524" s="6" t="s">
        <v>323</v>
      </c>
    </row>
    <row r="525" spans="1:23" x14ac:dyDescent="0.35">
      <c r="A525" s="23" t="s">
        <v>232</v>
      </c>
      <c r="B525" s="11" t="s">
        <v>208</v>
      </c>
      <c r="C525" s="23" t="s">
        <v>189</v>
      </c>
      <c r="D525" s="23" t="s">
        <v>190</v>
      </c>
      <c r="E525" s="15">
        <v>0</v>
      </c>
      <c r="F525" s="46">
        <v>131745.45000000001</v>
      </c>
      <c r="G525" s="51">
        <v>0</v>
      </c>
      <c r="H525" s="50">
        <f t="shared" si="58"/>
        <v>131745.45000000001</v>
      </c>
      <c r="I525" s="60">
        <f t="shared" si="59"/>
        <v>-131745.45000000001</v>
      </c>
      <c r="J525" s="25">
        <f t="shared" si="56"/>
        <v>0</v>
      </c>
      <c r="K525" s="26" t="str">
        <f t="shared" si="57"/>
        <v>Sin Plan</v>
      </c>
      <c r="L525" s="6" t="s">
        <v>328</v>
      </c>
      <c r="M525" s="6" t="s">
        <v>323</v>
      </c>
    </row>
    <row r="526" spans="1:23" x14ac:dyDescent="0.35">
      <c r="A526" s="11" t="s">
        <v>232</v>
      </c>
      <c r="B526" s="11" t="s">
        <v>208</v>
      </c>
      <c r="C526" s="11" t="s">
        <v>47</v>
      </c>
      <c r="D526" s="11" t="s">
        <v>48</v>
      </c>
      <c r="E526" s="13">
        <v>0</v>
      </c>
      <c r="F526" s="45">
        <v>534848.42000000004</v>
      </c>
      <c r="G526" s="45">
        <v>246624.75</v>
      </c>
      <c r="H526" s="50">
        <f t="shared" si="58"/>
        <v>781473.17</v>
      </c>
      <c r="I526" s="60">
        <f t="shared" si="59"/>
        <v>-781473.17</v>
      </c>
      <c r="J526" s="18">
        <f t="shared" si="56"/>
        <v>0</v>
      </c>
      <c r="K526" s="19" t="str">
        <f t="shared" si="57"/>
        <v>Sin Plan</v>
      </c>
      <c r="L526" s="6" t="s">
        <v>328</v>
      </c>
      <c r="M526" s="6" t="s">
        <v>323</v>
      </c>
    </row>
    <row r="527" spans="1:23" x14ac:dyDescent="0.35">
      <c r="A527" s="23" t="s">
        <v>232</v>
      </c>
      <c r="B527" s="11" t="s">
        <v>208</v>
      </c>
      <c r="C527" s="23" t="s">
        <v>29</v>
      </c>
      <c r="D527" s="23" t="s">
        <v>30</v>
      </c>
      <c r="E527" s="15">
        <v>0</v>
      </c>
      <c r="F527" s="15">
        <v>0</v>
      </c>
      <c r="G527" s="51"/>
      <c r="H527" s="50">
        <f t="shared" si="58"/>
        <v>0</v>
      </c>
      <c r="I527" s="60">
        <f t="shared" si="59"/>
        <v>0</v>
      </c>
      <c r="J527" s="25">
        <f t="shared" si="56"/>
        <v>0</v>
      </c>
      <c r="K527" s="26" t="str">
        <f t="shared" si="57"/>
        <v>Sin Plan</v>
      </c>
      <c r="L527" s="6" t="s">
        <v>328</v>
      </c>
      <c r="M527" s="6" t="s">
        <v>323</v>
      </c>
    </row>
    <row r="528" spans="1:23" x14ac:dyDescent="0.35">
      <c r="A528" s="11" t="s">
        <v>240</v>
      </c>
      <c r="B528" s="11" t="s">
        <v>208</v>
      </c>
      <c r="C528" s="11" t="s">
        <v>37</v>
      </c>
      <c r="D528" s="11" t="s">
        <v>38</v>
      </c>
      <c r="E528" s="15">
        <v>0</v>
      </c>
      <c r="F528" s="15">
        <v>311400</v>
      </c>
      <c r="G528" s="15">
        <v>0</v>
      </c>
      <c r="H528" s="50">
        <f t="shared" si="58"/>
        <v>311400</v>
      </c>
      <c r="I528" s="60">
        <f t="shared" si="59"/>
        <v>-311400</v>
      </c>
      <c r="J528" s="18">
        <f t="shared" si="56"/>
        <v>0</v>
      </c>
      <c r="K528" s="19" t="str">
        <f t="shared" si="57"/>
        <v>Sin Plan</v>
      </c>
      <c r="L528" s="6" t="s">
        <v>328</v>
      </c>
      <c r="M528" s="6" t="s">
        <v>323</v>
      </c>
    </row>
    <row r="529" spans="1:13" x14ac:dyDescent="0.35">
      <c r="A529" s="32" t="s">
        <v>243</v>
      </c>
      <c r="B529" s="11" t="s">
        <v>208</v>
      </c>
      <c r="C529" s="32" t="s">
        <v>47</v>
      </c>
      <c r="D529" s="32" t="s">
        <v>48</v>
      </c>
      <c r="E529" s="13">
        <v>0</v>
      </c>
      <c r="F529" s="13">
        <v>0</v>
      </c>
      <c r="G529" s="13">
        <v>246624.75</v>
      </c>
      <c r="H529" s="50">
        <f t="shared" si="58"/>
        <v>246624.75</v>
      </c>
      <c r="I529" s="60">
        <f t="shared" si="59"/>
        <v>-246624.75</v>
      </c>
      <c r="J529" s="34">
        <f t="shared" si="56"/>
        <v>0</v>
      </c>
      <c r="K529" s="35" t="str">
        <f t="shared" si="57"/>
        <v>Sin Plan</v>
      </c>
      <c r="L529" s="6" t="s">
        <v>328</v>
      </c>
      <c r="M529" s="6" t="s">
        <v>323</v>
      </c>
    </row>
    <row r="530" spans="1:13" x14ac:dyDescent="0.35">
      <c r="A530" s="20" t="s">
        <v>244</v>
      </c>
      <c r="B530" s="11" t="s">
        <v>208</v>
      </c>
      <c r="C530" s="20" t="s">
        <v>78</v>
      </c>
      <c r="D530" s="20" t="s">
        <v>79</v>
      </c>
      <c r="E530" s="13">
        <v>0</v>
      </c>
      <c r="F530" s="13">
        <v>0</v>
      </c>
      <c r="G530" s="13">
        <v>170059.44</v>
      </c>
      <c r="H530" s="50">
        <f t="shared" si="58"/>
        <v>170059.44</v>
      </c>
      <c r="I530" s="60">
        <f t="shared" si="59"/>
        <v>-170059.44</v>
      </c>
      <c r="J530" s="21">
        <f t="shared" si="56"/>
        <v>0</v>
      </c>
      <c r="K530" s="22" t="str">
        <f t="shared" si="57"/>
        <v>Sin Plan</v>
      </c>
      <c r="L530" s="6" t="s">
        <v>328</v>
      </c>
      <c r="M530" s="6" t="s">
        <v>323</v>
      </c>
    </row>
    <row r="531" spans="1:13" x14ac:dyDescent="0.35">
      <c r="A531" s="20" t="s">
        <v>244</v>
      </c>
      <c r="B531" s="11" t="s">
        <v>208</v>
      </c>
      <c r="C531" s="20" t="s">
        <v>90</v>
      </c>
      <c r="D531" s="20" t="s">
        <v>91</v>
      </c>
      <c r="E531" s="13">
        <v>0</v>
      </c>
      <c r="F531" s="13">
        <v>86100</v>
      </c>
      <c r="G531" s="13">
        <v>0</v>
      </c>
      <c r="H531" s="50">
        <f t="shared" si="58"/>
        <v>86100</v>
      </c>
      <c r="I531" s="60">
        <f t="shared" si="59"/>
        <v>-86100</v>
      </c>
      <c r="J531" s="21">
        <f t="shared" si="56"/>
        <v>0</v>
      </c>
      <c r="K531" s="22" t="str">
        <f t="shared" si="57"/>
        <v>Sin Plan</v>
      </c>
      <c r="L531" s="6" t="s">
        <v>328</v>
      </c>
      <c r="M531" s="6" t="s">
        <v>323</v>
      </c>
    </row>
    <row r="532" spans="1:13" x14ac:dyDescent="0.35">
      <c r="A532" s="23" t="s">
        <v>244</v>
      </c>
      <c r="B532" s="11" t="s">
        <v>208</v>
      </c>
      <c r="C532" s="23" t="s">
        <v>27</v>
      </c>
      <c r="D532" s="23" t="s">
        <v>28</v>
      </c>
      <c r="E532" s="15">
        <v>0</v>
      </c>
      <c r="F532" s="15">
        <v>0</v>
      </c>
      <c r="G532" s="15">
        <v>117608.07</v>
      </c>
      <c r="H532" s="50">
        <f t="shared" si="58"/>
        <v>117608.07</v>
      </c>
      <c r="I532" s="60">
        <f t="shared" si="59"/>
        <v>-117608.07</v>
      </c>
      <c r="J532" s="25">
        <f t="shared" si="56"/>
        <v>0</v>
      </c>
      <c r="K532" s="26" t="str">
        <f t="shared" si="57"/>
        <v>Sin Plan</v>
      </c>
      <c r="L532" s="6" t="s">
        <v>328</v>
      </c>
      <c r="M532" s="6" t="s">
        <v>323</v>
      </c>
    </row>
    <row r="533" spans="1:13" x14ac:dyDescent="0.35">
      <c r="A533" s="11" t="s">
        <v>244</v>
      </c>
      <c r="B533" s="11" t="s">
        <v>208</v>
      </c>
      <c r="C533" s="11" t="s">
        <v>63</v>
      </c>
      <c r="D533" s="11" t="s">
        <v>64</v>
      </c>
      <c r="E533" s="13">
        <v>0</v>
      </c>
      <c r="F533" s="13">
        <v>112945.64</v>
      </c>
      <c r="G533" s="13">
        <v>0</v>
      </c>
      <c r="H533" s="50">
        <f t="shared" si="58"/>
        <v>112945.64</v>
      </c>
      <c r="I533" s="60">
        <f t="shared" si="59"/>
        <v>-112945.64</v>
      </c>
      <c r="J533" s="18">
        <f t="shared" si="56"/>
        <v>0</v>
      </c>
      <c r="K533" s="19" t="str">
        <f t="shared" si="57"/>
        <v>Sin Plan</v>
      </c>
      <c r="L533" s="6" t="s">
        <v>326</v>
      </c>
      <c r="M533" s="6" t="s">
        <v>323</v>
      </c>
    </row>
    <row r="534" spans="1:13" x14ac:dyDescent="0.35">
      <c r="A534" s="23" t="s">
        <v>245</v>
      </c>
      <c r="B534" s="11" t="s">
        <v>208</v>
      </c>
      <c r="C534" s="23" t="s">
        <v>66</v>
      </c>
      <c r="D534" s="23" t="s">
        <v>67</v>
      </c>
      <c r="E534" s="15">
        <v>0</v>
      </c>
      <c r="F534" s="15">
        <v>0</v>
      </c>
      <c r="G534" s="15">
        <v>108227.37</v>
      </c>
      <c r="H534" s="50">
        <f t="shared" si="58"/>
        <v>108227.37</v>
      </c>
      <c r="I534" s="60">
        <f t="shared" si="59"/>
        <v>-108227.37</v>
      </c>
      <c r="J534" s="25">
        <f t="shared" si="56"/>
        <v>0</v>
      </c>
      <c r="K534" s="26" t="str">
        <f t="shared" si="57"/>
        <v>Sin Plan</v>
      </c>
      <c r="L534" s="6" t="s">
        <v>328</v>
      </c>
      <c r="M534" s="6" t="s">
        <v>323</v>
      </c>
    </row>
    <row r="535" spans="1:13" x14ac:dyDescent="0.35">
      <c r="A535" s="23" t="s">
        <v>245</v>
      </c>
      <c r="B535" s="11" t="s">
        <v>208</v>
      </c>
      <c r="C535" s="23" t="s">
        <v>234</v>
      </c>
      <c r="D535" s="23" t="s">
        <v>235</v>
      </c>
      <c r="E535" s="15">
        <v>0</v>
      </c>
      <c r="F535" s="15">
        <v>40400</v>
      </c>
      <c r="G535" s="15">
        <v>0</v>
      </c>
      <c r="H535" s="50">
        <f t="shared" si="58"/>
        <v>40400</v>
      </c>
      <c r="I535" s="60">
        <f t="shared" si="59"/>
        <v>-40400</v>
      </c>
      <c r="J535" s="25">
        <f t="shared" si="56"/>
        <v>0</v>
      </c>
      <c r="K535" s="26" t="str">
        <f t="shared" si="57"/>
        <v>Sin Plan</v>
      </c>
      <c r="L535" s="6" t="s">
        <v>328</v>
      </c>
      <c r="M535" s="6" t="s">
        <v>323</v>
      </c>
    </row>
    <row r="536" spans="1:13" x14ac:dyDescent="0.35">
      <c r="A536" s="11" t="s">
        <v>245</v>
      </c>
      <c r="B536" s="11" t="s">
        <v>208</v>
      </c>
      <c r="C536" s="11" t="s">
        <v>13</v>
      </c>
      <c r="D536" s="11" t="s">
        <v>14</v>
      </c>
      <c r="E536" s="13">
        <v>0</v>
      </c>
      <c r="F536" s="13">
        <v>95500</v>
      </c>
      <c r="G536" s="13">
        <v>0</v>
      </c>
      <c r="H536" s="50">
        <f t="shared" si="58"/>
        <v>95500</v>
      </c>
      <c r="I536" s="60">
        <f t="shared" si="59"/>
        <v>-95500</v>
      </c>
      <c r="J536" s="18">
        <f t="shared" si="56"/>
        <v>0</v>
      </c>
      <c r="K536" s="19" t="str">
        <f t="shared" ref="K536:K538" si="60">IF(E536=0,"Sin Plan",IF(J536&gt;=1,"Completado",IF(J536&gt;0.001,"En Progreso","Pendiente de ejecutar")))</f>
        <v>Sin Plan</v>
      </c>
      <c r="L536" s="6" t="s">
        <v>328</v>
      </c>
      <c r="M536" s="6" t="s">
        <v>323</v>
      </c>
    </row>
    <row r="537" spans="1:13" x14ac:dyDescent="0.35">
      <c r="A537" s="32" t="s">
        <v>245</v>
      </c>
      <c r="B537" s="11" t="s">
        <v>208</v>
      </c>
      <c r="C537" s="32" t="s">
        <v>47</v>
      </c>
      <c r="D537" s="32" t="s">
        <v>48</v>
      </c>
      <c r="E537" s="13">
        <v>0</v>
      </c>
      <c r="F537" s="13">
        <v>0</v>
      </c>
      <c r="G537" s="13">
        <v>246624.75</v>
      </c>
      <c r="H537" s="50">
        <f t="shared" si="58"/>
        <v>246624.75</v>
      </c>
      <c r="I537" s="60">
        <f t="shared" si="59"/>
        <v>-246624.75</v>
      </c>
      <c r="J537" s="34">
        <f t="shared" si="56"/>
        <v>0</v>
      </c>
      <c r="K537" s="35" t="str">
        <f t="shared" si="60"/>
        <v>Sin Plan</v>
      </c>
      <c r="L537" s="6" t="s">
        <v>328</v>
      </c>
      <c r="M537" s="6" t="s">
        <v>323</v>
      </c>
    </row>
    <row r="538" spans="1:13" x14ac:dyDescent="0.35">
      <c r="A538" s="61" t="s">
        <v>246</v>
      </c>
      <c r="B538" s="11" t="s">
        <v>208</v>
      </c>
      <c r="C538" s="36" t="s">
        <v>214</v>
      </c>
      <c r="D538" s="61" t="s">
        <v>215</v>
      </c>
      <c r="E538" s="51">
        <v>311000</v>
      </c>
      <c r="F538" s="46">
        <v>205239.74</v>
      </c>
      <c r="G538" s="51">
        <v>0</v>
      </c>
      <c r="H538" s="50">
        <f t="shared" si="58"/>
        <v>205239.74</v>
      </c>
      <c r="I538" s="60">
        <f t="shared" si="59"/>
        <v>105760.26000000001</v>
      </c>
      <c r="J538" s="18">
        <f t="shared" si="56"/>
        <v>0.65993485530546625</v>
      </c>
      <c r="K538" s="19" t="str">
        <f t="shared" si="60"/>
        <v>En Progreso</v>
      </c>
      <c r="L538" s="6" t="s">
        <v>328</v>
      </c>
      <c r="M538" s="6" t="s">
        <v>325</v>
      </c>
    </row>
    <row r="539" spans="1:13" x14ac:dyDescent="0.35">
      <c r="A539" s="61" t="s">
        <v>246</v>
      </c>
      <c r="B539" s="11" t="s">
        <v>208</v>
      </c>
      <c r="C539" s="37"/>
      <c r="D539" s="64" t="s">
        <v>249</v>
      </c>
      <c r="E539" s="51"/>
      <c r="F539" s="46"/>
      <c r="G539" s="51"/>
      <c r="H539" s="50">
        <f t="shared" si="58"/>
        <v>0</v>
      </c>
      <c r="I539" s="60">
        <f t="shared" si="59"/>
        <v>0</v>
      </c>
      <c r="J539" s="27"/>
      <c r="K539" s="29"/>
      <c r="L539" s="6" t="s">
        <v>328</v>
      </c>
      <c r="M539" s="6" t="s">
        <v>323</v>
      </c>
    </row>
    <row r="540" spans="1:13" x14ac:dyDescent="0.35">
      <c r="A540" s="61" t="s">
        <v>246</v>
      </c>
      <c r="B540" s="11" t="s">
        <v>208</v>
      </c>
      <c r="C540" s="37"/>
      <c r="D540" s="64" t="s">
        <v>252</v>
      </c>
      <c r="E540" s="51"/>
      <c r="F540" s="51"/>
      <c r="G540" s="51"/>
      <c r="H540" s="50">
        <f t="shared" si="58"/>
        <v>0</v>
      </c>
      <c r="I540" s="60">
        <f t="shared" si="59"/>
        <v>0</v>
      </c>
      <c r="J540" s="12"/>
      <c r="K540" s="14"/>
      <c r="L540" s="6" t="s">
        <v>326</v>
      </c>
      <c r="M540" s="6" t="s">
        <v>323</v>
      </c>
    </row>
    <row r="541" spans="1:13" x14ac:dyDescent="0.35">
      <c r="A541" s="61" t="s">
        <v>246</v>
      </c>
      <c r="B541" s="11" t="s">
        <v>208</v>
      </c>
      <c r="C541" s="36" t="s">
        <v>136</v>
      </c>
      <c r="D541" s="61" t="s">
        <v>137</v>
      </c>
      <c r="E541" s="51">
        <v>105500</v>
      </c>
      <c r="F541" s="46">
        <v>96860.76</v>
      </c>
      <c r="G541" s="51">
        <v>0</v>
      </c>
      <c r="H541" s="50">
        <f t="shared" si="58"/>
        <v>96860.76</v>
      </c>
      <c r="I541" s="60">
        <f t="shared" si="59"/>
        <v>8639.2400000000052</v>
      </c>
      <c r="J541" s="21">
        <f>IFERROR(H541/E541,0)</f>
        <v>0.91811146919431275</v>
      </c>
      <c r="K541" s="22" t="str">
        <f>IF(E541=0,"Sin Plan",IF(J541&gt;=1,"Completado",IF(J541&gt;0.001,"En Progreso","Pendiente de ejecutar")))</f>
        <v>En Progreso</v>
      </c>
      <c r="L541" s="6" t="s">
        <v>328</v>
      </c>
      <c r="M541" s="6" t="s">
        <v>325</v>
      </c>
    </row>
    <row r="542" spans="1:13" x14ac:dyDescent="0.35">
      <c r="A542" s="61" t="s">
        <v>246</v>
      </c>
      <c r="B542" s="11" t="s">
        <v>208</v>
      </c>
      <c r="C542" s="37"/>
      <c r="D542" s="64" t="s">
        <v>250</v>
      </c>
      <c r="E542" s="51"/>
      <c r="F542" s="46">
        <v>50000</v>
      </c>
      <c r="G542" s="51"/>
      <c r="H542" s="50">
        <f t="shared" si="58"/>
        <v>50000</v>
      </c>
      <c r="I542" s="60">
        <f t="shared" si="59"/>
        <v>-50000</v>
      </c>
      <c r="J542" s="27"/>
      <c r="K542" s="29"/>
      <c r="L542" s="6" t="s">
        <v>326</v>
      </c>
      <c r="M542" s="6" t="s">
        <v>323</v>
      </c>
    </row>
    <row r="543" spans="1:13" x14ac:dyDescent="0.35">
      <c r="A543" s="61" t="s">
        <v>246</v>
      </c>
      <c r="B543" s="11" t="s">
        <v>208</v>
      </c>
      <c r="C543" s="36" t="s">
        <v>66</v>
      </c>
      <c r="D543" s="61" t="s">
        <v>67</v>
      </c>
      <c r="E543" s="51">
        <v>1250000</v>
      </c>
      <c r="F543" s="51"/>
      <c r="G543" s="51">
        <v>964147.5</v>
      </c>
      <c r="H543" s="50">
        <f t="shared" si="58"/>
        <v>964147.5</v>
      </c>
      <c r="I543" s="60">
        <f t="shared" si="59"/>
        <v>285852.5</v>
      </c>
      <c r="J543" s="18">
        <f t="shared" ref="J543:J574" si="61">IFERROR(H543/E543,0)</f>
        <v>0.77131799999999995</v>
      </c>
      <c r="K543" s="19" t="str">
        <f t="shared" ref="K543:K574" si="62">IF(E543=0,"Sin Plan",IF(J543&gt;=1,"Completado",IF(J543&gt;0.001,"En Progreso","Pendiente de ejecutar")))</f>
        <v>En Progreso</v>
      </c>
      <c r="L543" s="6" t="s">
        <v>328</v>
      </c>
      <c r="M543" s="6" t="s">
        <v>325</v>
      </c>
    </row>
    <row r="544" spans="1:13" x14ac:dyDescent="0.35">
      <c r="A544" s="36" t="s">
        <v>253</v>
      </c>
      <c r="B544" s="11" t="s">
        <v>208</v>
      </c>
      <c r="C544" s="38" t="s">
        <v>254</v>
      </c>
      <c r="D544" s="38" t="s">
        <v>255</v>
      </c>
      <c r="E544" s="31">
        <v>0</v>
      </c>
      <c r="F544" s="16">
        <v>243700</v>
      </c>
      <c r="G544" s="31">
        <v>0</v>
      </c>
      <c r="H544" s="50">
        <f t="shared" si="58"/>
        <v>243700</v>
      </c>
      <c r="I544" s="60">
        <f t="shared" si="59"/>
        <v>-243700</v>
      </c>
      <c r="J544" s="18">
        <f t="shared" si="61"/>
        <v>0</v>
      </c>
      <c r="K544" s="19" t="str">
        <f t="shared" si="62"/>
        <v>Sin Plan</v>
      </c>
      <c r="L544" s="6" t="s">
        <v>326</v>
      </c>
      <c r="M544" s="6" t="s">
        <v>323</v>
      </c>
    </row>
    <row r="545" spans="1:13" s="2" customFormat="1" x14ac:dyDescent="0.35">
      <c r="A545" s="36" t="s">
        <v>253</v>
      </c>
      <c r="B545" s="11" t="s">
        <v>208</v>
      </c>
      <c r="C545" s="38" t="s">
        <v>96</v>
      </c>
      <c r="D545" s="38" t="s">
        <v>97</v>
      </c>
      <c r="E545" s="31">
        <v>0</v>
      </c>
      <c r="F545" s="31">
        <v>0</v>
      </c>
      <c r="G545" s="31">
        <v>120344</v>
      </c>
      <c r="H545" s="50">
        <f t="shared" si="58"/>
        <v>120344</v>
      </c>
      <c r="I545" s="60">
        <f t="shared" si="59"/>
        <v>-120344</v>
      </c>
      <c r="J545" s="34">
        <f t="shared" si="61"/>
        <v>0</v>
      </c>
      <c r="K545" s="39" t="str">
        <f t="shared" si="62"/>
        <v>Sin Plan</v>
      </c>
      <c r="L545" s="6" t="s">
        <v>328</v>
      </c>
      <c r="M545" s="6" t="s">
        <v>323</v>
      </c>
    </row>
    <row r="546" spans="1:13" x14ac:dyDescent="0.35">
      <c r="A546" s="36" t="s">
        <v>253</v>
      </c>
      <c r="B546" s="11" t="s">
        <v>208</v>
      </c>
      <c r="C546" s="38" t="s">
        <v>101</v>
      </c>
      <c r="D546" s="38" t="s">
        <v>102</v>
      </c>
      <c r="E546" s="31">
        <v>0</v>
      </c>
      <c r="F546" s="16">
        <v>283694</v>
      </c>
      <c r="G546" s="31">
        <v>0</v>
      </c>
      <c r="H546" s="50">
        <f t="shared" si="58"/>
        <v>283694</v>
      </c>
      <c r="I546" s="60">
        <f t="shared" si="59"/>
        <v>-283694</v>
      </c>
      <c r="J546" s="18">
        <f t="shared" si="61"/>
        <v>0</v>
      </c>
      <c r="K546" s="19" t="str">
        <f t="shared" si="62"/>
        <v>Sin Plan</v>
      </c>
      <c r="L546" s="6" t="s">
        <v>328</v>
      </c>
      <c r="M546" s="6" t="s">
        <v>323</v>
      </c>
    </row>
    <row r="547" spans="1:13" x14ac:dyDescent="0.35">
      <c r="A547" s="36" t="s">
        <v>253</v>
      </c>
      <c r="B547" s="11" t="s">
        <v>208</v>
      </c>
      <c r="C547" s="38"/>
      <c r="D547" s="38" t="s">
        <v>257</v>
      </c>
      <c r="E547" s="31">
        <v>0</v>
      </c>
      <c r="F547" s="16">
        <v>27160</v>
      </c>
      <c r="G547" s="31"/>
      <c r="H547" s="50">
        <f t="shared" si="58"/>
        <v>27160</v>
      </c>
      <c r="I547" s="60">
        <f t="shared" si="59"/>
        <v>-27160</v>
      </c>
      <c r="J547" s="18">
        <f t="shared" si="61"/>
        <v>0</v>
      </c>
      <c r="K547" s="19" t="str">
        <f t="shared" si="62"/>
        <v>Sin Plan</v>
      </c>
      <c r="L547" s="6" t="s">
        <v>328</v>
      </c>
      <c r="M547" s="6" t="s">
        <v>323</v>
      </c>
    </row>
    <row r="548" spans="1:13" x14ac:dyDescent="0.35">
      <c r="A548" s="32" t="s">
        <v>258</v>
      </c>
      <c r="B548" s="11" t="s">
        <v>208</v>
      </c>
      <c r="C548" s="32" t="s">
        <v>13</v>
      </c>
      <c r="D548" s="32" t="s">
        <v>14</v>
      </c>
      <c r="E548" s="15">
        <v>0</v>
      </c>
      <c r="F548" s="15">
        <v>0</v>
      </c>
      <c r="G548" s="15">
        <v>46150</v>
      </c>
      <c r="H548" s="50">
        <f t="shared" si="58"/>
        <v>46150</v>
      </c>
      <c r="I548" s="60">
        <f t="shared" si="59"/>
        <v>-46150</v>
      </c>
      <c r="J548" s="34">
        <f t="shared" si="61"/>
        <v>0</v>
      </c>
      <c r="K548" s="35" t="str">
        <f t="shared" si="62"/>
        <v>Sin Plan</v>
      </c>
      <c r="L548" s="6" t="s">
        <v>328</v>
      </c>
      <c r="M548" s="6" t="s">
        <v>323</v>
      </c>
    </row>
    <row r="549" spans="1:13" x14ac:dyDescent="0.35">
      <c r="A549" s="20" t="s">
        <v>258</v>
      </c>
      <c r="B549" s="11" t="s">
        <v>208</v>
      </c>
      <c r="C549" s="20" t="s">
        <v>96</v>
      </c>
      <c r="D549" s="20" t="s">
        <v>97</v>
      </c>
      <c r="E549" s="13">
        <v>0</v>
      </c>
      <c r="F549" s="13">
        <v>82670.600000000006</v>
      </c>
      <c r="G549" s="13">
        <v>0</v>
      </c>
      <c r="H549" s="50">
        <f t="shared" si="58"/>
        <v>82670.600000000006</v>
      </c>
      <c r="I549" s="60">
        <f t="shared" si="59"/>
        <v>-82670.600000000006</v>
      </c>
      <c r="J549" s="21">
        <f t="shared" si="61"/>
        <v>0</v>
      </c>
      <c r="K549" s="22" t="str">
        <f t="shared" si="62"/>
        <v>Sin Plan</v>
      </c>
      <c r="L549" s="6" t="s">
        <v>328</v>
      </c>
      <c r="M549" s="6" t="s">
        <v>323</v>
      </c>
    </row>
    <row r="550" spans="1:13" x14ac:dyDescent="0.35">
      <c r="A550" s="23" t="s">
        <v>258</v>
      </c>
      <c r="B550" s="11" t="s">
        <v>208</v>
      </c>
      <c r="C550" s="23" t="s">
        <v>259</v>
      </c>
      <c r="D550" s="23" t="s">
        <v>260</v>
      </c>
      <c r="E550" s="15">
        <v>0</v>
      </c>
      <c r="F550" s="15">
        <v>226771</v>
      </c>
      <c r="G550" s="15">
        <v>0</v>
      </c>
      <c r="H550" s="50">
        <f t="shared" si="58"/>
        <v>226771</v>
      </c>
      <c r="I550" s="60">
        <f t="shared" si="59"/>
        <v>-226771</v>
      </c>
      <c r="J550" s="25">
        <f t="shared" si="61"/>
        <v>0</v>
      </c>
      <c r="K550" s="26" t="str">
        <f t="shared" si="62"/>
        <v>Sin Plan</v>
      </c>
      <c r="L550" s="6" t="s">
        <v>326</v>
      </c>
      <c r="M550" s="6" t="s">
        <v>323</v>
      </c>
    </row>
    <row r="551" spans="1:13" x14ac:dyDescent="0.35">
      <c r="A551" s="11" t="s">
        <v>258</v>
      </c>
      <c r="B551" s="11" t="s">
        <v>208</v>
      </c>
      <c r="C551" s="11" t="s">
        <v>27</v>
      </c>
      <c r="D551" s="11" t="s">
        <v>28</v>
      </c>
      <c r="E551" s="13">
        <v>0</v>
      </c>
      <c r="F551" s="13">
        <v>0</v>
      </c>
      <c r="G551" s="13">
        <v>1730318.11</v>
      </c>
      <c r="H551" s="50">
        <f t="shared" si="58"/>
        <v>1730318.11</v>
      </c>
      <c r="I551" s="60">
        <f t="shared" si="59"/>
        <v>-1730318.11</v>
      </c>
      <c r="J551" s="18">
        <f t="shared" si="61"/>
        <v>0</v>
      </c>
      <c r="K551" s="19" t="str">
        <f t="shared" si="62"/>
        <v>Sin Plan</v>
      </c>
      <c r="L551" s="6" t="s">
        <v>328</v>
      </c>
      <c r="M551" s="6" t="s">
        <v>323</v>
      </c>
    </row>
    <row r="552" spans="1:13" x14ac:dyDescent="0.35">
      <c r="A552" s="23" t="s">
        <v>258</v>
      </c>
      <c r="B552" s="11" t="s">
        <v>208</v>
      </c>
      <c r="C552" s="23" t="s">
        <v>220</v>
      </c>
      <c r="D552" s="23" t="s">
        <v>221</v>
      </c>
      <c r="E552" s="15">
        <v>0</v>
      </c>
      <c r="F552" s="15">
        <v>308702.5</v>
      </c>
      <c r="G552" s="15">
        <v>0</v>
      </c>
      <c r="H552" s="50">
        <f t="shared" si="58"/>
        <v>308702.5</v>
      </c>
      <c r="I552" s="60">
        <f t="shared" si="59"/>
        <v>-308702.5</v>
      </c>
      <c r="J552" s="25">
        <f t="shared" si="61"/>
        <v>0</v>
      </c>
      <c r="K552" s="26" t="str">
        <f t="shared" si="62"/>
        <v>Sin Plan</v>
      </c>
      <c r="L552" s="6" t="s">
        <v>326</v>
      </c>
      <c r="M552" s="6" t="s">
        <v>323</v>
      </c>
    </row>
    <row r="553" spans="1:13" x14ac:dyDescent="0.35">
      <c r="A553" s="23" t="s">
        <v>261</v>
      </c>
      <c r="B553" s="11" t="s">
        <v>208</v>
      </c>
      <c r="C553" s="23" t="s">
        <v>200</v>
      </c>
      <c r="D553" s="23" t="s">
        <v>201</v>
      </c>
      <c r="E553" s="15">
        <v>0</v>
      </c>
      <c r="F553" s="15">
        <v>698460</v>
      </c>
      <c r="G553" s="15">
        <v>162497.70000000001</v>
      </c>
      <c r="H553" s="50">
        <f t="shared" si="58"/>
        <v>860957.7</v>
      </c>
      <c r="I553" s="60">
        <f t="shared" si="59"/>
        <v>-860957.7</v>
      </c>
      <c r="J553" s="25">
        <f t="shared" si="61"/>
        <v>0</v>
      </c>
      <c r="K553" s="26" t="str">
        <f t="shared" si="62"/>
        <v>Sin Plan</v>
      </c>
      <c r="L553" s="6" t="s">
        <v>326</v>
      </c>
      <c r="M553" s="6" t="s">
        <v>323</v>
      </c>
    </row>
    <row r="554" spans="1:13" x14ac:dyDescent="0.35">
      <c r="A554" s="20" t="s">
        <v>261</v>
      </c>
      <c r="B554" s="11" t="s">
        <v>208</v>
      </c>
      <c r="C554" s="20" t="s">
        <v>47</v>
      </c>
      <c r="D554" s="20" t="s">
        <v>48</v>
      </c>
      <c r="E554" s="13">
        <v>0</v>
      </c>
      <c r="F554" s="13">
        <v>0</v>
      </c>
      <c r="G554" s="13">
        <v>246624.75</v>
      </c>
      <c r="H554" s="50">
        <f t="shared" si="58"/>
        <v>246624.75</v>
      </c>
      <c r="I554" s="60">
        <f t="shared" si="59"/>
        <v>-246624.75</v>
      </c>
      <c r="J554" s="21">
        <f t="shared" si="61"/>
        <v>0</v>
      </c>
      <c r="K554" s="22" t="str">
        <f t="shared" si="62"/>
        <v>Sin Plan</v>
      </c>
      <c r="L554" s="6" t="s">
        <v>328</v>
      </c>
      <c r="M554" s="6" t="s">
        <v>323</v>
      </c>
    </row>
    <row r="555" spans="1:13" x14ac:dyDescent="0.35">
      <c r="A555" s="11" t="s">
        <v>261</v>
      </c>
      <c r="B555" s="11" t="s">
        <v>208</v>
      </c>
      <c r="C555" s="11" t="s">
        <v>55</v>
      </c>
      <c r="D555" s="11" t="s">
        <v>56</v>
      </c>
      <c r="E555" s="13">
        <v>0</v>
      </c>
      <c r="F555" s="13">
        <v>61393.96</v>
      </c>
      <c r="G555" s="13">
        <v>0</v>
      </c>
      <c r="H555" s="50">
        <f t="shared" si="58"/>
        <v>61393.96</v>
      </c>
      <c r="I555" s="60">
        <f t="shared" si="59"/>
        <v>-61393.96</v>
      </c>
      <c r="J555" s="18">
        <f t="shared" si="61"/>
        <v>0</v>
      </c>
      <c r="K555" s="19" t="str">
        <f t="shared" si="62"/>
        <v>Sin Plan</v>
      </c>
      <c r="L555" s="6" t="s">
        <v>328</v>
      </c>
      <c r="M555" s="6" t="s">
        <v>323</v>
      </c>
    </row>
    <row r="556" spans="1:13" x14ac:dyDescent="0.35">
      <c r="A556" s="11" t="s">
        <v>261</v>
      </c>
      <c r="B556" s="11" t="s">
        <v>208</v>
      </c>
      <c r="C556" s="11" t="s">
        <v>140</v>
      </c>
      <c r="D556" s="11" t="s">
        <v>334</v>
      </c>
      <c r="E556" s="15">
        <v>1326922</v>
      </c>
      <c r="F556" s="15"/>
      <c r="G556" s="15"/>
      <c r="H556" s="50">
        <f t="shared" si="58"/>
        <v>0</v>
      </c>
      <c r="I556" s="60">
        <f t="shared" si="59"/>
        <v>1326922</v>
      </c>
      <c r="J556" s="18">
        <f t="shared" si="61"/>
        <v>0</v>
      </c>
      <c r="K556" s="19" t="str">
        <f t="shared" si="62"/>
        <v>Pendiente de ejecutar</v>
      </c>
      <c r="L556" s="6" t="s">
        <v>328</v>
      </c>
      <c r="M556" s="6" t="s">
        <v>323</v>
      </c>
    </row>
    <row r="557" spans="1:13" x14ac:dyDescent="0.35">
      <c r="A557" s="20" t="s">
        <v>262</v>
      </c>
      <c r="B557" s="11" t="s">
        <v>208</v>
      </c>
      <c r="C557" s="11" t="s">
        <v>25</v>
      </c>
      <c r="D557" s="11" t="s">
        <v>26</v>
      </c>
      <c r="E557" s="13">
        <v>0</v>
      </c>
      <c r="F557" s="13">
        <v>0</v>
      </c>
      <c r="G557" s="13">
        <v>573413.1</v>
      </c>
      <c r="H557" s="50">
        <f t="shared" si="58"/>
        <v>573413.1</v>
      </c>
      <c r="I557" s="60">
        <f t="shared" si="59"/>
        <v>-573413.1</v>
      </c>
      <c r="J557" s="18">
        <f t="shared" si="61"/>
        <v>0</v>
      </c>
      <c r="K557" s="19" t="str">
        <f t="shared" si="62"/>
        <v>Sin Plan</v>
      </c>
      <c r="L557" s="6" t="s">
        <v>328</v>
      </c>
      <c r="M557" s="6" t="s">
        <v>323</v>
      </c>
    </row>
    <row r="558" spans="1:13" x14ac:dyDescent="0.35">
      <c r="A558" s="20" t="s">
        <v>262</v>
      </c>
      <c r="B558" s="11" t="s">
        <v>208</v>
      </c>
      <c r="C558" s="20" t="s">
        <v>263</v>
      </c>
      <c r="D558" s="20" t="s">
        <v>264</v>
      </c>
      <c r="E558" s="13">
        <v>0</v>
      </c>
      <c r="F558" s="13">
        <v>0</v>
      </c>
      <c r="G558" s="13">
        <v>1982288.74</v>
      </c>
      <c r="H558" s="50">
        <f t="shared" si="58"/>
        <v>1982288.74</v>
      </c>
      <c r="I558" s="60">
        <f t="shared" si="59"/>
        <v>-1982288.74</v>
      </c>
      <c r="J558" s="21">
        <f t="shared" si="61"/>
        <v>0</v>
      </c>
      <c r="K558" s="22" t="str">
        <f t="shared" si="62"/>
        <v>Sin Plan</v>
      </c>
      <c r="L558" s="6" t="s">
        <v>328</v>
      </c>
      <c r="M558" s="6" t="s">
        <v>323</v>
      </c>
    </row>
    <row r="559" spans="1:13" x14ac:dyDescent="0.35">
      <c r="A559" s="23" t="s">
        <v>265</v>
      </c>
      <c r="B559" s="11" t="s">
        <v>208</v>
      </c>
      <c r="C559" s="23" t="s">
        <v>37</v>
      </c>
      <c r="D559" s="11" t="s">
        <v>38</v>
      </c>
      <c r="E559" s="15">
        <v>0</v>
      </c>
      <c r="F559" s="15">
        <v>350196</v>
      </c>
      <c r="G559" s="15">
        <v>0</v>
      </c>
      <c r="H559" s="50">
        <f t="shared" si="58"/>
        <v>350196</v>
      </c>
      <c r="I559" s="60">
        <f t="shared" si="59"/>
        <v>-350196</v>
      </c>
      <c r="J559" s="25">
        <f t="shared" si="61"/>
        <v>0</v>
      </c>
      <c r="K559" s="26" t="str">
        <f t="shared" si="62"/>
        <v>Sin Plan</v>
      </c>
      <c r="L559" s="6" t="s">
        <v>328</v>
      </c>
      <c r="M559" s="6" t="s">
        <v>323</v>
      </c>
    </row>
    <row r="560" spans="1:13" x14ac:dyDescent="0.35">
      <c r="A560" s="23" t="s">
        <v>265</v>
      </c>
      <c r="B560" s="11" t="s">
        <v>208</v>
      </c>
      <c r="C560" s="23" t="s">
        <v>200</v>
      </c>
      <c r="D560" s="23" t="s">
        <v>201</v>
      </c>
      <c r="E560" s="15">
        <v>0</v>
      </c>
      <c r="F560" s="15">
        <v>693460</v>
      </c>
      <c r="G560" s="15">
        <f>(70000*2)+22497</f>
        <v>162497</v>
      </c>
      <c r="H560" s="50">
        <f t="shared" si="58"/>
        <v>855957</v>
      </c>
      <c r="I560" s="60">
        <f t="shared" si="59"/>
        <v>-855957</v>
      </c>
      <c r="J560" s="25">
        <f t="shared" si="61"/>
        <v>0</v>
      </c>
      <c r="K560" s="26" t="str">
        <f t="shared" si="62"/>
        <v>Sin Plan</v>
      </c>
      <c r="L560" s="6" t="s">
        <v>326</v>
      </c>
      <c r="M560" s="6" t="s">
        <v>323</v>
      </c>
    </row>
    <row r="561" spans="1:13" x14ac:dyDescent="0.35">
      <c r="A561" s="11" t="s">
        <v>267</v>
      </c>
      <c r="B561" s="11" t="s">
        <v>208</v>
      </c>
      <c r="C561" s="11" t="s">
        <v>47</v>
      </c>
      <c r="D561" s="11" t="s">
        <v>48</v>
      </c>
      <c r="E561" s="13">
        <v>0</v>
      </c>
      <c r="F561" s="13">
        <v>0</v>
      </c>
      <c r="G561" s="13">
        <v>246624.75</v>
      </c>
      <c r="H561" s="50">
        <f t="shared" si="58"/>
        <v>246624.75</v>
      </c>
      <c r="I561" s="60">
        <f t="shared" si="59"/>
        <v>-246624.75</v>
      </c>
      <c r="J561" s="18">
        <f t="shared" si="61"/>
        <v>0</v>
      </c>
      <c r="K561" s="19" t="str">
        <f t="shared" si="62"/>
        <v>Sin Plan</v>
      </c>
      <c r="L561" s="6" t="s">
        <v>328</v>
      </c>
      <c r="M561" s="6" t="s">
        <v>323</v>
      </c>
    </row>
    <row r="562" spans="1:13" x14ac:dyDescent="0.35">
      <c r="A562" s="23" t="s">
        <v>270</v>
      </c>
      <c r="B562" s="23" t="s">
        <v>271</v>
      </c>
      <c r="C562" s="23" t="s">
        <v>203</v>
      </c>
      <c r="D562" s="23" t="s">
        <v>43</v>
      </c>
      <c r="E562" s="15">
        <v>0</v>
      </c>
      <c r="F562" s="15">
        <v>0</v>
      </c>
      <c r="G562" s="15">
        <v>1361516.7700000003</v>
      </c>
      <c r="H562" s="50">
        <f t="shared" si="58"/>
        <v>1361516.7700000003</v>
      </c>
      <c r="I562" s="60">
        <f t="shared" si="59"/>
        <v>-1361516.7700000003</v>
      </c>
      <c r="J562" s="25">
        <f t="shared" si="61"/>
        <v>0</v>
      </c>
      <c r="K562" s="26" t="str">
        <f t="shared" si="62"/>
        <v>Sin Plan</v>
      </c>
      <c r="L562" s="6" t="s">
        <v>328</v>
      </c>
      <c r="M562" s="6" t="s">
        <v>323</v>
      </c>
    </row>
    <row r="563" spans="1:13" x14ac:dyDescent="0.35">
      <c r="A563" s="20" t="s">
        <v>270</v>
      </c>
      <c r="B563" s="20" t="s">
        <v>271</v>
      </c>
      <c r="C563" s="20" t="s">
        <v>83</v>
      </c>
      <c r="D563" s="20" t="s">
        <v>84</v>
      </c>
      <c r="E563" s="13">
        <v>0</v>
      </c>
      <c r="F563" s="99">
        <v>108060</v>
      </c>
      <c r="G563" s="16">
        <v>44000</v>
      </c>
      <c r="H563" s="50">
        <f t="shared" si="58"/>
        <v>152060</v>
      </c>
      <c r="I563" s="60">
        <f t="shared" si="59"/>
        <v>-152060</v>
      </c>
      <c r="J563" s="21">
        <f t="shared" si="61"/>
        <v>0</v>
      </c>
      <c r="K563" s="22" t="str">
        <f t="shared" si="62"/>
        <v>Sin Plan</v>
      </c>
      <c r="L563" s="6" t="s">
        <v>326</v>
      </c>
      <c r="M563" s="6" t="s">
        <v>323</v>
      </c>
    </row>
    <row r="564" spans="1:13" x14ac:dyDescent="0.35">
      <c r="A564" s="23" t="s">
        <v>270</v>
      </c>
      <c r="B564" s="23" t="s">
        <v>271</v>
      </c>
      <c r="C564" s="23" t="s">
        <v>13</v>
      </c>
      <c r="D564" s="23" t="s">
        <v>14</v>
      </c>
      <c r="E564" s="15">
        <v>0</v>
      </c>
      <c r="F564" s="98">
        <v>93260</v>
      </c>
      <c r="G564" s="15">
        <v>0</v>
      </c>
      <c r="H564" s="50">
        <f t="shared" si="58"/>
        <v>93260</v>
      </c>
      <c r="I564" s="60">
        <f t="shared" si="59"/>
        <v>-93260</v>
      </c>
      <c r="J564" s="25">
        <f t="shared" si="61"/>
        <v>0</v>
      </c>
      <c r="K564" s="26" t="str">
        <f t="shared" si="62"/>
        <v>Sin Plan</v>
      </c>
      <c r="L564" s="6" t="s">
        <v>328</v>
      </c>
      <c r="M564" s="6" t="s">
        <v>323</v>
      </c>
    </row>
    <row r="565" spans="1:13" x14ac:dyDescent="0.35">
      <c r="A565" s="11" t="s">
        <v>270</v>
      </c>
      <c r="B565" s="11" t="s">
        <v>271</v>
      </c>
      <c r="C565" s="11" t="s">
        <v>96</v>
      </c>
      <c r="D565" s="11" t="s">
        <v>97</v>
      </c>
      <c r="E565" s="15">
        <v>0</v>
      </c>
      <c r="F565" s="15">
        <v>0</v>
      </c>
      <c r="G565" s="15"/>
      <c r="H565" s="50">
        <f t="shared" si="58"/>
        <v>0</v>
      </c>
      <c r="I565" s="60">
        <f t="shared" si="59"/>
        <v>0</v>
      </c>
      <c r="J565" s="18">
        <f t="shared" si="61"/>
        <v>0</v>
      </c>
      <c r="K565" s="19" t="str">
        <f t="shared" si="62"/>
        <v>Sin Plan</v>
      </c>
      <c r="L565" s="6" t="s">
        <v>328</v>
      </c>
      <c r="M565" s="6" t="s">
        <v>323</v>
      </c>
    </row>
    <row r="566" spans="1:13" x14ac:dyDescent="0.35">
      <c r="A566" s="11" t="s">
        <v>270</v>
      </c>
      <c r="B566" s="11" t="s">
        <v>271</v>
      </c>
      <c r="C566" s="11" t="s">
        <v>180</v>
      </c>
      <c r="D566" s="11" t="s">
        <v>181</v>
      </c>
      <c r="E566" s="13">
        <v>0</v>
      </c>
      <c r="F566" s="13">
        <v>230400</v>
      </c>
      <c r="G566" s="16">
        <v>345600</v>
      </c>
      <c r="H566" s="50">
        <f t="shared" si="58"/>
        <v>576000</v>
      </c>
      <c r="I566" s="60">
        <f t="shared" si="59"/>
        <v>-576000</v>
      </c>
      <c r="J566" s="18">
        <f t="shared" si="61"/>
        <v>0</v>
      </c>
      <c r="K566" s="19" t="str">
        <f t="shared" si="62"/>
        <v>Sin Plan</v>
      </c>
      <c r="L566" s="6" t="s">
        <v>328</v>
      </c>
      <c r="M566" s="6" t="s">
        <v>323</v>
      </c>
    </row>
    <row r="567" spans="1:13" x14ac:dyDescent="0.35">
      <c r="A567" s="11" t="s">
        <v>270</v>
      </c>
      <c r="B567" s="11" t="s">
        <v>271</v>
      </c>
      <c r="C567" s="11" t="s">
        <v>19</v>
      </c>
      <c r="D567" s="11" t="s">
        <v>20</v>
      </c>
      <c r="E567" s="15">
        <v>0</v>
      </c>
      <c r="F567" s="98">
        <v>2681599.89</v>
      </c>
      <c r="G567" s="16">
        <v>2735718.35</v>
      </c>
      <c r="H567" s="50">
        <f t="shared" si="58"/>
        <v>5417318.2400000002</v>
      </c>
      <c r="I567" s="60">
        <f t="shared" si="59"/>
        <v>-5417318.2400000002</v>
      </c>
      <c r="J567" s="18">
        <f t="shared" si="61"/>
        <v>0</v>
      </c>
      <c r="K567" s="19" t="str">
        <f t="shared" si="62"/>
        <v>Sin Plan</v>
      </c>
      <c r="L567" s="6" t="s">
        <v>326</v>
      </c>
      <c r="M567" s="6" t="s">
        <v>323</v>
      </c>
    </row>
    <row r="568" spans="1:13" x14ac:dyDescent="0.35">
      <c r="A568" s="20" t="s">
        <v>270</v>
      </c>
      <c r="B568" s="20" t="s">
        <v>271</v>
      </c>
      <c r="C568" s="20" t="s">
        <v>126</v>
      </c>
      <c r="D568" s="20" t="s">
        <v>127</v>
      </c>
      <c r="E568" s="13">
        <v>0</v>
      </c>
      <c r="F568" s="98">
        <v>189600</v>
      </c>
      <c r="G568" s="13">
        <v>0</v>
      </c>
      <c r="H568" s="50">
        <f t="shared" si="58"/>
        <v>189600</v>
      </c>
      <c r="I568" s="60">
        <f t="shared" si="59"/>
        <v>-189600</v>
      </c>
      <c r="J568" s="21">
        <f t="shared" si="61"/>
        <v>0</v>
      </c>
      <c r="K568" s="22" t="str">
        <f t="shared" si="62"/>
        <v>Sin Plan</v>
      </c>
      <c r="L568" s="6" t="s">
        <v>326</v>
      </c>
      <c r="M568" s="6" t="s">
        <v>323</v>
      </c>
    </row>
    <row r="569" spans="1:13" x14ac:dyDescent="0.35">
      <c r="A569" s="11" t="s">
        <v>270</v>
      </c>
      <c r="B569" s="11" t="s">
        <v>271</v>
      </c>
      <c r="C569" s="11" t="s">
        <v>47</v>
      </c>
      <c r="D569" s="11" t="s">
        <v>48</v>
      </c>
      <c r="E569" s="13">
        <v>0</v>
      </c>
      <c r="F569" s="13">
        <v>0</v>
      </c>
      <c r="G569" s="16">
        <v>9180612.4600000009</v>
      </c>
      <c r="H569" s="50">
        <f t="shared" si="58"/>
        <v>9180612.4600000009</v>
      </c>
      <c r="I569" s="60">
        <f t="shared" si="59"/>
        <v>-9180612.4600000009</v>
      </c>
      <c r="J569" s="18">
        <f t="shared" si="61"/>
        <v>0</v>
      </c>
      <c r="K569" s="19" t="str">
        <f t="shared" si="62"/>
        <v>Sin Plan</v>
      </c>
      <c r="L569" s="6" t="s">
        <v>328</v>
      </c>
      <c r="M569" s="6" t="s">
        <v>323</v>
      </c>
    </row>
    <row r="570" spans="1:13" x14ac:dyDescent="0.35">
      <c r="A570" s="11" t="s">
        <v>270</v>
      </c>
      <c r="B570" s="11" t="s">
        <v>271</v>
      </c>
      <c r="C570" s="11" t="s">
        <v>29</v>
      </c>
      <c r="D570" s="11" t="s">
        <v>30</v>
      </c>
      <c r="E570" s="13">
        <v>0</v>
      </c>
      <c r="F570" s="98">
        <v>1137172.5</v>
      </c>
      <c r="G570" s="13">
        <v>0</v>
      </c>
      <c r="H570" s="50">
        <f t="shared" si="58"/>
        <v>1137172.5</v>
      </c>
      <c r="I570" s="60">
        <f t="shared" si="59"/>
        <v>-1137172.5</v>
      </c>
      <c r="J570" s="18">
        <f t="shared" si="61"/>
        <v>0</v>
      </c>
      <c r="K570" s="19" t="str">
        <f t="shared" si="62"/>
        <v>Sin Plan</v>
      </c>
      <c r="L570" s="6" t="s">
        <v>328</v>
      </c>
      <c r="M570" s="6" t="s">
        <v>323</v>
      </c>
    </row>
    <row r="571" spans="1:13" x14ac:dyDescent="0.35">
      <c r="A571" s="11" t="s">
        <v>270</v>
      </c>
      <c r="B571" s="11" t="s">
        <v>271</v>
      </c>
      <c r="C571" s="11" t="s">
        <v>220</v>
      </c>
      <c r="D571" s="11" t="s">
        <v>221</v>
      </c>
      <c r="E571" s="15">
        <v>0</v>
      </c>
      <c r="F571" s="98">
        <v>230400</v>
      </c>
      <c r="G571" s="16">
        <v>265688.86</v>
      </c>
      <c r="H571" s="50">
        <f t="shared" si="58"/>
        <v>496088.86</v>
      </c>
      <c r="I571" s="60">
        <f t="shared" si="59"/>
        <v>-496088.86</v>
      </c>
      <c r="J571" s="18">
        <f t="shared" si="61"/>
        <v>0</v>
      </c>
      <c r="K571" s="19" t="str">
        <f t="shared" si="62"/>
        <v>Sin Plan</v>
      </c>
      <c r="L571" s="6" t="s">
        <v>326</v>
      </c>
      <c r="M571" s="6" t="s">
        <v>323</v>
      </c>
    </row>
    <row r="572" spans="1:13" x14ac:dyDescent="0.35">
      <c r="A572" s="11" t="s">
        <v>270</v>
      </c>
      <c r="B572" s="11" t="s">
        <v>271</v>
      </c>
      <c r="C572" s="11" t="s">
        <v>136</v>
      </c>
      <c r="D572" s="11" t="s">
        <v>137</v>
      </c>
      <c r="E572" s="13">
        <v>0</v>
      </c>
      <c r="F572" s="98">
        <v>80250.25</v>
      </c>
      <c r="G572" s="13">
        <v>0</v>
      </c>
      <c r="H572" s="50">
        <f t="shared" si="58"/>
        <v>80250.25</v>
      </c>
      <c r="I572" s="60">
        <f t="shared" si="59"/>
        <v>-80250.25</v>
      </c>
      <c r="J572" s="18">
        <f t="shared" si="61"/>
        <v>0</v>
      </c>
      <c r="K572" s="19" t="str">
        <f t="shared" si="62"/>
        <v>Sin Plan</v>
      </c>
      <c r="L572" s="6" t="s">
        <v>328</v>
      </c>
      <c r="M572" s="6" t="s">
        <v>323</v>
      </c>
    </row>
    <row r="573" spans="1:13" x14ac:dyDescent="0.35">
      <c r="A573" s="23" t="s">
        <v>272</v>
      </c>
      <c r="B573" s="23" t="s">
        <v>129</v>
      </c>
      <c r="C573" s="23" t="s">
        <v>273</v>
      </c>
      <c r="D573" s="23" t="s">
        <v>274</v>
      </c>
      <c r="E573" s="15">
        <v>0</v>
      </c>
      <c r="F573" s="15">
        <v>275506.17</v>
      </c>
      <c r="G573" s="15">
        <v>0</v>
      </c>
      <c r="H573" s="50">
        <f t="shared" si="58"/>
        <v>275506.17</v>
      </c>
      <c r="I573" s="60">
        <f t="shared" si="59"/>
        <v>-275506.17</v>
      </c>
      <c r="J573" s="25">
        <f t="shared" si="61"/>
        <v>0</v>
      </c>
      <c r="K573" s="26" t="str">
        <f t="shared" si="62"/>
        <v>Sin Plan</v>
      </c>
      <c r="L573" s="6" t="s">
        <v>328</v>
      </c>
      <c r="M573" s="6" t="s">
        <v>323</v>
      </c>
    </row>
    <row r="574" spans="1:13" x14ac:dyDescent="0.35">
      <c r="A574" s="11" t="s">
        <v>272</v>
      </c>
      <c r="B574" s="11" t="s">
        <v>129</v>
      </c>
      <c r="C574" s="11" t="s">
        <v>226</v>
      </c>
      <c r="D574" s="11" t="s">
        <v>227</v>
      </c>
      <c r="E574" s="13">
        <v>0</v>
      </c>
      <c r="F574" s="13">
        <v>241986</v>
      </c>
      <c r="G574" s="13">
        <v>0</v>
      </c>
      <c r="H574" s="50">
        <f t="shared" si="58"/>
        <v>241986</v>
      </c>
      <c r="I574" s="60">
        <f t="shared" si="59"/>
        <v>-241986</v>
      </c>
      <c r="J574" s="18">
        <f t="shared" si="61"/>
        <v>0</v>
      </c>
      <c r="K574" s="19" t="str">
        <f t="shared" si="62"/>
        <v>Sin Plan</v>
      </c>
      <c r="L574" s="6" t="s">
        <v>328</v>
      </c>
      <c r="M574" s="6" t="s">
        <v>323</v>
      </c>
    </row>
    <row r="575" spans="1:13" x14ac:dyDescent="0.35">
      <c r="A575" s="23" t="s">
        <v>277</v>
      </c>
      <c r="B575" s="23" t="s">
        <v>278</v>
      </c>
      <c r="C575" s="23" t="s">
        <v>279</v>
      </c>
      <c r="D575" s="23" t="s">
        <v>280</v>
      </c>
      <c r="E575" s="13">
        <v>375000</v>
      </c>
      <c r="F575" s="15">
        <v>0</v>
      </c>
      <c r="G575" s="15">
        <v>452647.19</v>
      </c>
      <c r="H575" s="50">
        <f t="shared" si="58"/>
        <v>452647.19</v>
      </c>
      <c r="I575" s="60">
        <f t="shared" si="59"/>
        <v>-77647.19</v>
      </c>
      <c r="J575" s="25">
        <f>IFERROR(H575/#REF!,0)</f>
        <v>0</v>
      </c>
      <c r="K575" s="26" t="e">
        <f>IF(#REF!=0,"Sin Plan",IF(J575&gt;=1,"Completado",IF(J575&gt;0.001,"En Progreso","Pendiente de ejecutar")))</f>
        <v>#REF!</v>
      </c>
      <c r="L575" s="6" t="s">
        <v>328</v>
      </c>
      <c r="M575" s="6" t="s">
        <v>323</v>
      </c>
    </row>
    <row r="576" spans="1:13" x14ac:dyDescent="0.35">
      <c r="A576" s="11" t="s">
        <v>281</v>
      </c>
      <c r="B576" s="11" t="s">
        <v>278</v>
      </c>
      <c r="C576" s="11" t="s">
        <v>279</v>
      </c>
      <c r="D576" s="11" t="s">
        <v>280</v>
      </c>
      <c r="E576" s="15">
        <v>750000</v>
      </c>
      <c r="F576" s="13">
        <v>0</v>
      </c>
      <c r="G576" s="13">
        <v>905294.38</v>
      </c>
      <c r="H576" s="50">
        <f t="shared" si="58"/>
        <v>905294.38</v>
      </c>
      <c r="I576" s="60">
        <f t="shared" si="59"/>
        <v>-155294.38</v>
      </c>
      <c r="J576" s="18">
        <f>IFERROR(H576/#REF!,0)</f>
        <v>0</v>
      </c>
      <c r="K576" s="19" t="e">
        <f>IF(#REF!=0,"Sin Plan",IF(J576&gt;=1,"Completado",IF(J576&gt;0.001,"En Progreso","Pendiente de ejecutar")))</f>
        <v>#REF!</v>
      </c>
      <c r="L576" s="6" t="s">
        <v>328</v>
      </c>
      <c r="M576" s="6" t="s">
        <v>323</v>
      </c>
    </row>
    <row r="577" spans="1:13" x14ac:dyDescent="0.35">
      <c r="A577" s="11" t="s">
        <v>284</v>
      </c>
      <c r="B577" s="11" t="s">
        <v>278</v>
      </c>
      <c r="C577" s="11" t="s">
        <v>279</v>
      </c>
      <c r="D577" s="11" t="s">
        <v>280</v>
      </c>
      <c r="E577" s="15">
        <v>375000</v>
      </c>
      <c r="F577" s="13">
        <v>0</v>
      </c>
      <c r="G577" s="13">
        <v>452647.19</v>
      </c>
      <c r="H577" s="50">
        <f t="shared" ref="H577:H638" si="63">F577+G577</f>
        <v>452647.19</v>
      </c>
      <c r="I577" s="60">
        <f>E943-H577</f>
        <v>-452647.19</v>
      </c>
      <c r="J577" s="18">
        <f>IFERROR(H577/E943,0)</f>
        <v>0</v>
      </c>
      <c r="K577" s="19" t="str">
        <f>IF(E943=0,"Sin Plan",IF(J577&gt;=1,"Completado",IF(J577&gt;0.001,"En Progreso","Pendiente de ejecutar")))</f>
        <v>Sin Plan</v>
      </c>
      <c r="L577" s="6" t="s">
        <v>328</v>
      </c>
      <c r="M577" s="6" t="s">
        <v>323</v>
      </c>
    </row>
    <row r="578" spans="1:13" x14ac:dyDescent="0.35">
      <c r="A578" s="11" t="s">
        <v>286</v>
      </c>
      <c r="B578" s="11" t="s">
        <v>208</v>
      </c>
      <c r="C578" s="11" t="s">
        <v>203</v>
      </c>
      <c r="D578" s="11" t="s">
        <v>43</v>
      </c>
      <c r="E578" s="13">
        <v>0</v>
      </c>
      <c r="F578" s="13">
        <v>0</v>
      </c>
      <c r="G578" s="13">
        <v>137581.29999999999</v>
      </c>
      <c r="H578" s="50">
        <f t="shared" si="63"/>
        <v>137581.29999999999</v>
      </c>
      <c r="I578" s="60">
        <f t="shared" ref="I578:I609" si="64">E578-H578</f>
        <v>-137581.29999999999</v>
      </c>
      <c r="J578" s="18">
        <f t="shared" ref="J578:J609" si="65">IFERROR(H578/E578,0)</f>
        <v>0</v>
      </c>
      <c r="K578" s="19" t="str">
        <f t="shared" ref="K578:K609" si="66">IF(E578=0,"Sin Plan",IF(J578&gt;=1,"Completado",IF(J578&gt;0.001,"En Progreso","Pendiente de ejecutar")))</f>
        <v>Sin Plan</v>
      </c>
      <c r="L578" s="6" t="s">
        <v>328</v>
      </c>
      <c r="M578" s="6" t="s">
        <v>323</v>
      </c>
    </row>
    <row r="579" spans="1:13" x14ac:dyDescent="0.35">
      <c r="A579" s="11" t="s">
        <v>287</v>
      </c>
      <c r="B579" s="11" t="s">
        <v>208</v>
      </c>
      <c r="C579" s="11" t="s">
        <v>50</v>
      </c>
      <c r="D579" s="11" t="s">
        <v>51</v>
      </c>
      <c r="E579" s="15">
        <v>0</v>
      </c>
      <c r="F579" s="15">
        <v>8000</v>
      </c>
      <c r="G579" s="15">
        <v>0</v>
      </c>
      <c r="H579" s="50">
        <f t="shared" si="63"/>
        <v>8000</v>
      </c>
      <c r="I579" s="60">
        <f t="shared" si="64"/>
        <v>-8000</v>
      </c>
      <c r="J579" s="18">
        <f t="shared" si="65"/>
        <v>0</v>
      </c>
      <c r="K579" s="19" t="str">
        <f t="shared" si="66"/>
        <v>Sin Plan</v>
      </c>
      <c r="L579" s="6" t="s">
        <v>328</v>
      </c>
      <c r="M579" s="6" t="s">
        <v>323</v>
      </c>
    </row>
    <row r="580" spans="1:13" x14ac:dyDescent="0.35">
      <c r="A580" s="32" t="s">
        <v>287</v>
      </c>
      <c r="B580" s="11" t="s">
        <v>208</v>
      </c>
      <c r="C580" s="32" t="s">
        <v>288</v>
      </c>
      <c r="D580" s="32" t="s">
        <v>289</v>
      </c>
      <c r="E580" s="15">
        <v>0</v>
      </c>
      <c r="F580" s="15">
        <v>0</v>
      </c>
      <c r="G580" s="15">
        <v>403000</v>
      </c>
      <c r="H580" s="50">
        <f t="shared" si="63"/>
        <v>403000</v>
      </c>
      <c r="I580" s="60">
        <f t="shared" si="64"/>
        <v>-403000</v>
      </c>
      <c r="J580" s="34">
        <f t="shared" si="65"/>
        <v>0</v>
      </c>
      <c r="K580" s="35" t="str">
        <f t="shared" si="66"/>
        <v>Sin Plan</v>
      </c>
      <c r="L580" s="6" t="s">
        <v>326</v>
      </c>
      <c r="M580" s="6" t="s">
        <v>323</v>
      </c>
    </row>
    <row r="581" spans="1:13" x14ac:dyDescent="0.35">
      <c r="A581" s="32" t="s">
        <v>290</v>
      </c>
      <c r="B581" s="11" t="s">
        <v>208</v>
      </c>
      <c r="C581" s="32" t="s">
        <v>19</v>
      </c>
      <c r="D581" s="32" t="s">
        <v>20</v>
      </c>
      <c r="E581" s="13">
        <v>0</v>
      </c>
      <c r="F581" s="13">
        <f>33300+60474.46+7233.09</f>
        <v>101007.54999999999</v>
      </c>
      <c r="G581" s="13">
        <v>0</v>
      </c>
      <c r="H581" s="50">
        <f t="shared" si="63"/>
        <v>101007.54999999999</v>
      </c>
      <c r="I581" s="60">
        <f t="shared" si="64"/>
        <v>-101007.54999999999</v>
      </c>
      <c r="J581" s="34">
        <f t="shared" si="65"/>
        <v>0</v>
      </c>
      <c r="K581" s="35" t="str">
        <f t="shared" si="66"/>
        <v>Sin Plan</v>
      </c>
      <c r="L581" s="6" t="s">
        <v>326</v>
      </c>
      <c r="M581" s="6" t="s">
        <v>323</v>
      </c>
    </row>
    <row r="582" spans="1:13" x14ac:dyDescent="0.35">
      <c r="A582" s="11" t="s">
        <v>292</v>
      </c>
      <c r="B582" s="11" t="s">
        <v>208</v>
      </c>
      <c r="C582" s="11" t="s">
        <v>182</v>
      </c>
      <c r="D582" s="11" t="s">
        <v>183</v>
      </c>
      <c r="E582" s="15">
        <v>0</v>
      </c>
      <c r="F582" s="46">
        <v>80480.929999999993</v>
      </c>
      <c r="G582" s="15">
        <v>0</v>
      </c>
      <c r="H582" s="50">
        <f t="shared" si="63"/>
        <v>80480.929999999993</v>
      </c>
      <c r="I582" s="60">
        <f t="shared" si="64"/>
        <v>-80480.929999999993</v>
      </c>
      <c r="J582" s="18">
        <f t="shared" si="65"/>
        <v>0</v>
      </c>
      <c r="K582" s="19" t="str">
        <f t="shared" si="66"/>
        <v>Sin Plan</v>
      </c>
      <c r="L582" s="6" t="s">
        <v>328</v>
      </c>
      <c r="M582" s="6" t="s">
        <v>323</v>
      </c>
    </row>
    <row r="583" spans="1:13" x14ac:dyDescent="0.35">
      <c r="A583" s="32" t="s">
        <v>292</v>
      </c>
      <c r="B583" s="11" t="s">
        <v>208</v>
      </c>
      <c r="C583" s="32" t="s">
        <v>27</v>
      </c>
      <c r="D583" s="32" t="s">
        <v>28</v>
      </c>
      <c r="E583" s="15">
        <v>0</v>
      </c>
      <c r="F583" s="15">
        <v>0</v>
      </c>
      <c r="G583" s="15"/>
      <c r="H583" s="50">
        <f t="shared" si="63"/>
        <v>0</v>
      </c>
      <c r="I583" s="60">
        <f t="shared" si="64"/>
        <v>0</v>
      </c>
      <c r="J583" s="34">
        <f t="shared" si="65"/>
        <v>0</v>
      </c>
      <c r="K583" s="35" t="str">
        <f t="shared" si="66"/>
        <v>Sin Plan</v>
      </c>
      <c r="L583" s="6" t="s">
        <v>328</v>
      </c>
      <c r="M583" s="6" t="s">
        <v>323</v>
      </c>
    </row>
    <row r="584" spans="1:13" x14ac:dyDescent="0.35">
      <c r="A584" s="20" t="s">
        <v>292</v>
      </c>
      <c r="B584" s="11" t="s">
        <v>208</v>
      </c>
      <c r="C584" s="20" t="s">
        <v>293</v>
      </c>
      <c r="D584" s="20" t="s">
        <v>294</v>
      </c>
      <c r="E584" s="13">
        <v>0</v>
      </c>
      <c r="F584" s="45">
        <v>90022.79</v>
      </c>
      <c r="G584" s="13">
        <v>0</v>
      </c>
      <c r="H584" s="50">
        <f t="shared" si="63"/>
        <v>90022.79</v>
      </c>
      <c r="I584" s="60">
        <f t="shared" si="64"/>
        <v>-90022.79</v>
      </c>
      <c r="J584" s="21">
        <f t="shared" si="65"/>
        <v>0</v>
      </c>
      <c r="K584" s="22" t="str">
        <f t="shared" si="66"/>
        <v>Sin Plan</v>
      </c>
      <c r="L584" s="6" t="s">
        <v>328</v>
      </c>
      <c r="M584" s="6" t="s">
        <v>323</v>
      </c>
    </row>
    <row r="585" spans="1:13" x14ac:dyDescent="0.35">
      <c r="A585" s="11" t="s">
        <v>295</v>
      </c>
      <c r="B585" s="11" t="s">
        <v>208</v>
      </c>
      <c r="C585" s="11" t="s">
        <v>83</v>
      </c>
      <c r="D585" s="11" t="s">
        <v>84</v>
      </c>
      <c r="E585" s="13">
        <v>0</v>
      </c>
      <c r="F585" s="13">
        <v>504996.44</v>
      </c>
      <c r="G585" s="15"/>
      <c r="H585" s="50">
        <f t="shared" si="63"/>
        <v>504996.44</v>
      </c>
      <c r="I585" s="60">
        <f t="shared" si="64"/>
        <v>-504996.44</v>
      </c>
      <c r="J585" s="18">
        <f t="shared" si="65"/>
        <v>0</v>
      </c>
      <c r="K585" s="19" t="str">
        <f t="shared" si="66"/>
        <v>Sin Plan</v>
      </c>
      <c r="L585" s="6" t="s">
        <v>326</v>
      </c>
      <c r="M585" s="6" t="s">
        <v>323</v>
      </c>
    </row>
    <row r="586" spans="1:13" x14ac:dyDescent="0.35">
      <c r="A586" s="23" t="s">
        <v>295</v>
      </c>
      <c r="B586" s="11" t="s">
        <v>208</v>
      </c>
      <c r="C586" s="23" t="s">
        <v>19</v>
      </c>
      <c r="D586" s="23" t="s">
        <v>20</v>
      </c>
      <c r="E586" s="15">
        <v>0</v>
      </c>
      <c r="F586" s="15">
        <v>101007.55</v>
      </c>
      <c r="G586" s="15">
        <v>0</v>
      </c>
      <c r="H586" s="50">
        <f t="shared" si="63"/>
        <v>101007.55</v>
      </c>
      <c r="I586" s="60">
        <f t="shared" si="64"/>
        <v>-101007.55</v>
      </c>
      <c r="J586" s="25">
        <f t="shared" si="65"/>
        <v>0</v>
      </c>
      <c r="K586" s="26" t="str">
        <f t="shared" si="66"/>
        <v>Sin Plan</v>
      </c>
      <c r="L586" s="6" t="s">
        <v>326</v>
      </c>
      <c r="M586" s="6" t="s">
        <v>323</v>
      </c>
    </row>
    <row r="587" spans="1:13" x14ac:dyDescent="0.35">
      <c r="A587" s="32" t="s">
        <v>295</v>
      </c>
      <c r="B587" s="11" t="s">
        <v>208</v>
      </c>
      <c r="C587" s="32" t="s">
        <v>39</v>
      </c>
      <c r="D587" s="32" t="s">
        <v>40</v>
      </c>
      <c r="E587" s="13">
        <v>0</v>
      </c>
      <c r="F587" s="13"/>
      <c r="G587" s="13">
        <v>280000</v>
      </c>
      <c r="H587" s="50">
        <f t="shared" si="63"/>
        <v>280000</v>
      </c>
      <c r="I587" s="60">
        <f t="shared" si="64"/>
        <v>-280000</v>
      </c>
      <c r="J587" s="34">
        <f t="shared" si="65"/>
        <v>0</v>
      </c>
      <c r="K587" s="35" t="str">
        <f t="shared" si="66"/>
        <v>Sin Plan</v>
      </c>
      <c r="L587" s="6" t="s">
        <v>326</v>
      </c>
      <c r="M587" s="6" t="s">
        <v>325</v>
      </c>
    </row>
    <row r="588" spans="1:13" x14ac:dyDescent="0.35">
      <c r="A588" s="11" t="s">
        <v>295</v>
      </c>
      <c r="B588" s="11" t="s">
        <v>208</v>
      </c>
      <c r="C588" s="11" t="s">
        <v>47</v>
      </c>
      <c r="D588" s="11" t="s">
        <v>48</v>
      </c>
      <c r="E588" s="15">
        <v>0</v>
      </c>
      <c r="F588" s="15"/>
      <c r="G588" s="15">
        <v>246624.75</v>
      </c>
      <c r="H588" s="50">
        <f t="shared" si="63"/>
        <v>246624.75</v>
      </c>
      <c r="I588" s="60">
        <f t="shared" si="64"/>
        <v>-246624.75</v>
      </c>
      <c r="J588" s="18">
        <f t="shared" si="65"/>
        <v>0</v>
      </c>
      <c r="K588" s="19" t="str">
        <f t="shared" si="66"/>
        <v>Sin Plan</v>
      </c>
      <c r="L588" s="6" t="s">
        <v>328</v>
      </c>
      <c r="M588" s="6" t="s">
        <v>323</v>
      </c>
    </row>
    <row r="589" spans="1:13" x14ac:dyDescent="0.35">
      <c r="A589" s="11" t="s">
        <v>295</v>
      </c>
      <c r="B589" s="11" t="s">
        <v>208</v>
      </c>
      <c r="C589" s="11" t="s">
        <v>220</v>
      </c>
      <c r="D589" s="11" t="s">
        <v>221</v>
      </c>
      <c r="E589" s="13">
        <v>0</v>
      </c>
      <c r="F589" s="13">
        <v>618639.1</v>
      </c>
      <c r="G589" s="13">
        <v>0</v>
      </c>
      <c r="H589" s="50">
        <f t="shared" si="63"/>
        <v>618639.1</v>
      </c>
      <c r="I589" s="60">
        <f t="shared" si="64"/>
        <v>-618639.1</v>
      </c>
      <c r="J589" s="18">
        <f t="shared" si="65"/>
        <v>0</v>
      </c>
      <c r="K589" s="19" t="str">
        <f t="shared" si="66"/>
        <v>Sin Plan</v>
      </c>
      <c r="L589" s="6" t="s">
        <v>326</v>
      </c>
      <c r="M589" s="6" t="s">
        <v>323</v>
      </c>
    </row>
    <row r="590" spans="1:13" x14ac:dyDescent="0.35">
      <c r="A590" s="11" t="s">
        <v>297</v>
      </c>
      <c r="B590" s="11" t="s">
        <v>208</v>
      </c>
      <c r="C590" s="11" t="s">
        <v>39</v>
      </c>
      <c r="D590" s="11" t="s">
        <v>40</v>
      </c>
      <c r="E590" s="13">
        <v>0</v>
      </c>
      <c r="F590" s="13">
        <v>128000</v>
      </c>
      <c r="G590" s="13">
        <v>0</v>
      </c>
      <c r="H590" s="50">
        <f t="shared" si="63"/>
        <v>128000</v>
      </c>
      <c r="I590" s="60">
        <f t="shared" si="64"/>
        <v>-128000</v>
      </c>
      <c r="J590" s="18">
        <f t="shared" si="65"/>
        <v>0</v>
      </c>
      <c r="K590" s="19" t="str">
        <f t="shared" si="66"/>
        <v>Sin Plan</v>
      </c>
      <c r="L590" s="6" t="s">
        <v>326</v>
      </c>
      <c r="M590" s="6" t="s">
        <v>323</v>
      </c>
    </row>
    <row r="591" spans="1:13" x14ac:dyDescent="0.35">
      <c r="A591" s="23" t="s">
        <v>298</v>
      </c>
      <c r="B591" s="11" t="s">
        <v>208</v>
      </c>
      <c r="C591" s="23" t="s">
        <v>50</v>
      </c>
      <c r="D591" s="23" t="s">
        <v>51</v>
      </c>
      <c r="E591" s="15">
        <v>0</v>
      </c>
      <c r="F591" s="16">
        <v>4800</v>
      </c>
      <c r="G591" s="15">
        <v>0</v>
      </c>
      <c r="H591" s="50">
        <f t="shared" si="63"/>
        <v>4800</v>
      </c>
      <c r="I591" s="60">
        <f t="shared" si="64"/>
        <v>-4800</v>
      </c>
      <c r="J591" s="25">
        <f t="shared" si="65"/>
        <v>0</v>
      </c>
      <c r="K591" s="26" t="str">
        <f t="shared" si="66"/>
        <v>Sin Plan</v>
      </c>
      <c r="L591" s="6" t="s">
        <v>328</v>
      </c>
      <c r="M591" s="6" t="s">
        <v>323</v>
      </c>
    </row>
    <row r="592" spans="1:13" x14ac:dyDescent="0.35">
      <c r="A592" s="11" t="s">
        <v>298</v>
      </c>
      <c r="B592" s="11" t="s">
        <v>208</v>
      </c>
      <c r="C592" s="11" t="s">
        <v>37</v>
      </c>
      <c r="D592" s="11" t="s">
        <v>38</v>
      </c>
      <c r="E592" s="13">
        <v>0</v>
      </c>
      <c r="F592" s="13">
        <v>0</v>
      </c>
      <c r="G592" s="45">
        <v>22033.89</v>
      </c>
      <c r="H592" s="50">
        <f t="shared" si="63"/>
        <v>22033.89</v>
      </c>
      <c r="I592" s="60">
        <f t="shared" si="64"/>
        <v>-22033.89</v>
      </c>
      <c r="J592" s="18">
        <f t="shared" si="65"/>
        <v>0</v>
      </c>
      <c r="K592" s="19" t="str">
        <f t="shared" si="66"/>
        <v>Sin Plan</v>
      </c>
      <c r="L592" s="6" t="s">
        <v>328</v>
      </c>
      <c r="M592" s="6" t="s">
        <v>323</v>
      </c>
    </row>
    <row r="593" spans="1:13" x14ac:dyDescent="0.35">
      <c r="A593" s="11" t="s">
        <v>298</v>
      </c>
      <c r="B593" s="11" t="s">
        <v>208</v>
      </c>
      <c r="C593" s="11" t="s">
        <v>254</v>
      </c>
      <c r="D593" s="11" t="s">
        <v>255</v>
      </c>
      <c r="E593" s="15">
        <v>0</v>
      </c>
      <c r="F593" s="16">
        <v>243700</v>
      </c>
      <c r="G593" s="15">
        <v>0</v>
      </c>
      <c r="H593" s="50">
        <f t="shared" si="63"/>
        <v>243700</v>
      </c>
      <c r="I593" s="60">
        <f t="shared" si="64"/>
        <v>-243700</v>
      </c>
      <c r="J593" s="18">
        <f t="shared" si="65"/>
        <v>0</v>
      </c>
      <c r="K593" s="19" t="str">
        <f t="shared" si="66"/>
        <v>Sin Plan</v>
      </c>
      <c r="L593" s="6" t="s">
        <v>326</v>
      </c>
      <c r="M593" s="6" t="s">
        <v>323</v>
      </c>
    </row>
    <row r="594" spans="1:13" x14ac:dyDescent="0.35">
      <c r="A594" s="23" t="s">
        <v>298</v>
      </c>
      <c r="B594" s="11" t="s">
        <v>208</v>
      </c>
      <c r="C594" s="23" t="s">
        <v>200</v>
      </c>
      <c r="D594" s="23" t="s">
        <v>201</v>
      </c>
      <c r="E594" s="15">
        <v>0</v>
      </c>
      <c r="F594" s="16">
        <v>222616.9</v>
      </c>
      <c r="G594" s="15">
        <v>0</v>
      </c>
      <c r="H594" s="50">
        <f t="shared" si="63"/>
        <v>222616.9</v>
      </c>
      <c r="I594" s="60">
        <f t="shared" si="64"/>
        <v>-222616.9</v>
      </c>
      <c r="J594" s="25">
        <f t="shared" si="65"/>
        <v>0</v>
      </c>
      <c r="K594" s="26" t="str">
        <f t="shared" si="66"/>
        <v>Sin Plan</v>
      </c>
      <c r="L594" s="6" t="s">
        <v>326</v>
      </c>
      <c r="M594" s="6" t="s">
        <v>323</v>
      </c>
    </row>
    <row r="595" spans="1:13" x14ac:dyDescent="0.35">
      <c r="A595" s="11" t="s">
        <v>298</v>
      </c>
      <c r="B595" s="11" t="s">
        <v>208</v>
      </c>
      <c r="C595" s="11" t="s">
        <v>29</v>
      </c>
      <c r="D595" s="28" t="s">
        <v>299</v>
      </c>
      <c r="E595" s="15">
        <v>0</v>
      </c>
      <c r="F595" s="15">
        <v>160264.1</v>
      </c>
      <c r="G595" s="15">
        <v>0</v>
      </c>
      <c r="H595" s="50">
        <f t="shared" si="63"/>
        <v>160264.1</v>
      </c>
      <c r="I595" s="60">
        <f t="shared" si="64"/>
        <v>-160264.1</v>
      </c>
      <c r="J595" s="18">
        <f t="shared" si="65"/>
        <v>0</v>
      </c>
      <c r="K595" s="19" t="str">
        <f t="shared" si="66"/>
        <v>Sin Plan</v>
      </c>
      <c r="L595" s="6" t="s">
        <v>328</v>
      </c>
      <c r="M595" s="6" t="s">
        <v>323</v>
      </c>
    </row>
    <row r="596" spans="1:13" x14ac:dyDescent="0.35">
      <c r="A596" s="11" t="s">
        <v>298</v>
      </c>
      <c r="B596" s="11" t="s">
        <v>208</v>
      </c>
      <c r="C596" s="11" t="s">
        <v>138</v>
      </c>
      <c r="D596" s="11" t="s">
        <v>139</v>
      </c>
      <c r="E596" s="15">
        <v>0</v>
      </c>
      <c r="F596" s="16">
        <v>49848.39</v>
      </c>
      <c r="G596" s="15">
        <v>0</v>
      </c>
      <c r="H596" s="50">
        <f t="shared" si="63"/>
        <v>49848.39</v>
      </c>
      <c r="I596" s="60">
        <f t="shared" si="64"/>
        <v>-49848.39</v>
      </c>
      <c r="J596" s="18">
        <f t="shared" si="65"/>
        <v>0</v>
      </c>
      <c r="K596" s="19" t="str">
        <f t="shared" si="66"/>
        <v>Sin Plan</v>
      </c>
      <c r="L596" s="6" t="s">
        <v>328</v>
      </c>
      <c r="M596" s="6" t="s">
        <v>323</v>
      </c>
    </row>
    <row r="597" spans="1:13" x14ac:dyDescent="0.35">
      <c r="A597" s="20" t="s">
        <v>300</v>
      </c>
      <c r="B597" s="11" t="s">
        <v>208</v>
      </c>
      <c r="C597" s="20" t="s">
        <v>47</v>
      </c>
      <c r="D597" s="20" t="s">
        <v>48</v>
      </c>
      <c r="E597" s="13">
        <v>0</v>
      </c>
      <c r="F597" s="13">
        <v>0</v>
      </c>
      <c r="G597" s="13">
        <v>246624.75</v>
      </c>
      <c r="H597" s="50">
        <f t="shared" si="63"/>
        <v>246624.75</v>
      </c>
      <c r="I597" s="60">
        <f t="shared" si="64"/>
        <v>-246624.75</v>
      </c>
      <c r="J597" s="21">
        <f t="shared" si="65"/>
        <v>0</v>
      </c>
      <c r="K597" s="22" t="str">
        <f t="shared" si="66"/>
        <v>Sin Plan</v>
      </c>
      <c r="L597" s="6" t="s">
        <v>328</v>
      </c>
      <c r="M597" s="6" t="s">
        <v>323</v>
      </c>
    </row>
    <row r="598" spans="1:13" x14ac:dyDescent="0.35">
      <c r="A598" s="23" t="s">
        <v>304</v>
      </c>
      <c r="B598" s="11" t="s">
        <v>208</v>
      </c>
      <c r="C598" s="23" t="s">
        <v>200</v>
      </c>
      <c r="D598" s="23" t="s">
        <v>201</v>
      </c>
      <c r="E598" s="15">
        <v>0</v>
      </c>
      <c r="F598" s="15">
        <v>693460</v>
      </c>
      <c r="G598" s="15">
        <f>(70000*2)+22497</f>
        <v>162497</v>
      </c>
      <c r="H598" s="50">
        <f t="shared" si="63"/>
        <v>855957</v>
      </c>
      <c r="I598" s="60">
        <f t="shared" si="64"/>
        <v>-855957</v>
      </c>
      <c r="J598" s="25">
        <f t="shared" si="65"/>
        <v>0</v>
      </c>
      <c r="K598" s="26" t="str">
        <f t="shared" si="66"/>
        <v>Sin Plan</v>
      </c>
      <c r="L598" s="6" t="s">
        <v>326</v>
      </c>
      <c r="M598" s="6" t="s">
        <v>323</v>
      </c>
    </row>
    <row r="599" spans="1:13" x14ac:dyDescent="0.35">
      <c r="A599" s="20" t="s">
        <v>304</v>
      </c>
      <c r="B599" s="11" t="s">
        <v>208</v>
      </c>
      <c r="C599" s="20" t="s">
        <v>47</v>
      </c>
      <c r="D599" s="20" t="s">
        <v>48</v>
      </c>
      <c r="E599" s="13">
        <v>0</v>
      </c>
      <c r="F599" s="13">
        <v>0</v>
      </c>
      <c r="G599" s="13">
        <v>246624.75</v>
      </c>
      <c r="H599" s="50">
        <f t="shared" si="63"/>
        <v>246624.75</v>
      </c>
      <c r="I599" s="60">
        <f t="shared" si="64"/>
        <v>-246624.75</v>
      </c>
      <c r="J599" s="21">
        <f t="shared" si="65"/>
        <v>0</v>
      </c>
      <c r="K599" s="22" t="str">
        <f t="shared" si="66"/>
        <v>Sin Plan</v>
      </c>
      <c r="L599" s="6" t="s">
        <v>328</v>
      </c>
      <c r="M599" s="6" t="s">
        <v>323</v>
      </c>
    </row>
    <row r="600" spans="1:13" x14ac:dyDescent="0.35">
      <c r="A600" s="23" t="s">
        <v>120</v>
      </c>
      <c r="B600" s="11" t="s">
        <v>324</v>
      </c>
      <c r="C600" s="23" t="s">
        <v>33</v>
      </c>
      <c r="D600" s="23" t="s">
        <v>34</v>
      </c>
      <c r="E600" s="15">
        <v>462000</v>
      </c>
      <c r="F600" s="15">
        <v>583375.01</v>
      </c>
      <c r="G600" s="15">
        <v>0</v>
      </c>
      <c r="H600" s="50">
        <f t="shared" si="63"/>
        <v>583375.01</v>
      </c>
      <c r="I600" s="60">
        <f t="shared" si="64"/>
        <v>-121375.01000000001</v>
      </c>
      <c r="J600" s="25">
        <f t="shared" si="65"/>
        <v>1.2627164718614718</v>
      </c>
      <c r="K600" s="26" t="str">
        <f t="shared" si="66"/>
        <v>Completado</v>
      </c>
      <c r="L600" s="6" t="s">
        <v>326</v>
      </c>
      <c r="M600" s="6" t="s">
        <v>325</v>
      </c>
    </row>
    <row r="601" spans="1:13" x14ac:dyDescent="0.35">
      <c r="A601" s="70" t="s">
        <v>118</v>
      </c>
      <c r="B601" s="11" t="s">
        <v>324</v>
      </c>
      <c r="C601" s="27"/>
      <c r="D601" s="75" t="s">
        <v>334</v>
      </c>
      <c r="E601" s="15">
        <v>196800</v>
      </c>
      <c r="F601" s="15"/>
      <c r="G601" s="15"/>
      <c r="H601" s="50">
        <f t="shared" si="63"/>
        <v>0</v>
      </c>
      <c r="I601" s="60">
        <f t="shared" si="64"/>
        <v>196800</v>
      </c>
      <c r="J601" s="25">
        <f t="shared" si="65"/>
        <v>0</v>
      </c>
      <c r="K601" s="26" t="str">
        <f t="shared" si="66"/>
        <v>Pendiente de ejecutar</v>
      </c>
      <c r="L601" s="6" t="s">
        <v>328</v>
      </c>
      <c r="M601" s="6"/>
    </row>
    <row r="602" spans="1:13" x14ac:dyDescent="0.35">
      <c r="A602" s="11" t="s">
        <v>119</v>
      </c>
      <c r="B602" s="11" t="s">
        <v>324</v>
      </c>
      <c r="C602" s="11" t="s">
        <v>66</v>
      </c>
      <c r="D602" s="11" t="s">
        <v>67</v>
      </c>
      <c r="E602" s="15">
        <v>232500</v>
      </c>
      <c r="F602" s="15">
        <v>131773.41</v>
      </c>
      <c r="G602" s="15">
        <v>101208.19</v>
      </c>
      <c r="H602" s="50">
        <f t="shared" si="63"/>
        <v>232981.6</v>
      </c>
      <c r="I602" s="60">
        <f t="shared" si="64"/>
        <v>-481.60000000000582</v>
      </c>
      <c r="J602" s="25">
        <f t="shared" si="65"/>
        <v>1.0020713978494624</v>
      </c>
      <c r="K602" s="26" t="str">
        <f t="shared" si="66"/>
        <v>Completado</v>
      </c>
      <c r="L602" s="6" t="s">
        <v>328</v>
      </c>
      <c r="M602" s="6" t="s">
        <v>325</v>
      </c>
    </row>
    <row r="603" spans="1:13" x14ac:dyDescent="0.35">
      <c r="A603" s="20" t="s">
        <v>119</v>
      </c>
      <c r="B603" s="11" t="s">
        <v>324</v>
      </c>
      <c r="C603" s="20" t="s">
        <v>13</v>
      </c>
      <c r="D603" s="20" t="s">
        <v>14</v>
      </c>
      <c r="E603" s="13">
        <v>685000</v>
      </c>
      <c r="F603" s="13">
        <v>0</v>
      </c>
      <c r="G603" s="13">
        <v>731000</v>
      </c>
      <c r="H603" s="50">
        <f t="shared" si="63"/>
        <v>731000</v>
      </c>
      <c r="I603" s="60">
        <f t="shared" si="64"/>
        <v>-46000</v>
      </c>
      <c r="J603" s="25">
        <f t="shared" si="65"/>
        <v>1.0671532846715328</v>
      </c>
      <c r="K603" s="26" t="str">
        <f t="shared" si="66"/>
        <v>Completado</v>
      </c>
      <c r="L603" s="6" t="s">
        <v>328</v>
      </c>
      <c r="M603" s="6" t="s">
        <v>325</v>
      </c>
    </row>
    <row r="604" spans="1:13" x14ac:dyDescent="0.35">
      <c r="A604" s="11" t="s">
        <v>119</v>
      </c>
      <c r="B604" s="11" t="s">
        <v>324</v>
      </c>
      <c r="C604" s="11" t="s">
        <v>47</v>
      </c>
      <c r="D604" s="11" t="s">
        <v>48</v>
      </c>
      <c r="E604" s="15">
        <v>126000</v>
      </c>
      <c r="F604" s="15">
        <v>0</v>
      </c>
      <c r="G604" s="15">
        <v>137843.10999999999</v>
      </c>
      <c r="H604" s="50">
        <f t="shared" si="63"/>
        <v>137843.10999999999</v>
      </c>
      <c r="I604" s="60">
        <f t="shared" si="64"/>
        <v>-11843.109999999986</v>
      </c>
      <c r="J604" s="25">
        <f t="shared" si="65"/>
        <v>1.0939929365079364</v>
      </c>
      <c r="K604" s="26" t="str">
        <f t="shared" si="66"/>
        <v>Completado</v>
      </c>
      <c r="L604" s="6" t="s">
        <v>328</v>
      </c>
      <c r="M604" s="6" t="s">
        <v>325</v>
      </c>
    </row>
    <row r="605" spans="1:13" x14ac:dyDescent="0.35">
      <c r="A605" s="20" t="s">
        <v>119</v>
      </c>
      <c r="B605" s="11" t="s">
        <v>324</v>
      </c>
      <c r="C605" s="20" t="s">
        <v>29</v>
      </c>
      <c r="D605" s="20" t="s">
        <v>30</v>
      </c>
      <c r="E605" s="13">
        <v>0</v>
      </c>
      <c r="F605" s="13">
        <v>134910.60999999999</v>
      </c>
      <c r="G605" s="13">
        <v>0</v>
      </c>
      <c r="H605" s="50">
        <f t="shared" si="63"/>
        <v>134910.60999999999</v>
      </c>
      <c r="I605" s="60">
        <f t="shared" si="64"/>
        <v>-134910.60999999999</v>
      </c>
      <c r="J605" s="25">
        <f t="shared" si="65"/>
        <v>0</v>
      </c>
      <c r="K605" s="26" t="str">
        <f t="shared" si="66"/>
        <v>Sin Plan</v>
      </c>
      <c r="L605" s="6" t="s">
        <v>328</v>
      </c>
      <c r="M605" s="6" t="s">
        <v>327</v>
      </c>
    </row>
    <row r="606" spans="1:13" x14ac:dyDescent="0.35">
      <c r="A606" s="11" t="s">
        <v>120</v>
      </c>
      <c r="B606" s="11" t="s">
        <v>324</v>
      </c>
      <c r="C606" s="11" t="s">
        <v>13</v>
      </c>
      <c r="D606" s="11" t="s">
        <v>14</v>
      </c>
      <c r="E606" s="15">
        <v>685000</v>
      </c>
      <c r="F606" s="15">
        <v>0</v>
      </c>
      <c r="G606" s="15">
        <v>724100</v>
      </c>
      <c r="H606" s="50">
        <f t="shared" si="63"/>
        <v>724100</v>
      </c>
      <c r="I606" s="60">
        <f t="shared" si="64"/>
        <v>-39100</v>
      </c>
      <c r="J606" s="25">
        <f t="shared" si="65"/>
        <v>1.0570802919708029</v>
      </c>
      <c r="K606" s="26" t="str">
        <f t="shared" si="66"/>
        <v>Completado</v>
      </c>
      <c r="L606" s="6" t="s">
        <v>328</v>
      </c>
      <c r="M606" s="6" t="s">
        <v>325</v>
      </c>
    </row>
    <row r="607" spans="1:13" x14ac:dyDescent="0.35">
      <c r="A607" s="20" t="s">
        <v>120</v>
      </c>
      <c r="B607" s="11" t="s">
        <v>324</v>
      </c>
      <c r="C607" s="20" t="s">
        <v>78</v>
      </c>
      <c r="D607" s="20" t="s">
        <v>79</v>
      </c>
      <c r="E607" s="13">
        <v>220420</v>
      </c>
      <c r="F607" s="13">
        <v>110732.58</v>
      </c>
      <c r="G607" s="13">
        <v>0</v>
      </c>
      <c r="H607" s="50">
        <f t="shared" si="63"/>
        <v>110732.58</v>
      </c>
      <c r="I607" s="60">
        <f t="shared" si="64"/>
        <v>109687.42</v>
      </c>
      <c r="J607" s="25">
        <f t="shared" si="65"/>
        <v>0.50237083749206057</v>
      </c>
      <c r="K607" s="26" t="str">
        <f t="shared" si="66"/>
        <v>En Progreso</v>
      </c>
      <c r="L607" s="6" t="s">
        <v>328</v>
      </c>
      <c r="M607" s="6" t="s">
        <v>325</v>
      </c>
    </row>
    <row r="608" spans="1:13" x14ac:dyDescent="0.35">
      <c r="A608" s="70" t="s">
        <v>120</v>
      </c>
      <c r="B608" s="11" t="s">
        <v>324</v>
      </c>
      <c r="C608" s="27"/>
      <c r="D608" s="75" t="s">
        <v>334</v>
      </c>
      <c r="E608" s="15">
        <v>18585.59</v>
      </c>
      <c r="F608" s="15"/>
      <c r="G608" s="15"/>
      <c r="H608" s="50">
        <f t="shared" si="63"/>
        <v>0</v>
      </c>
      <c r="I608" s="60">
        <f t="shared" si="64"/>
        <v>18585.59</v>
      </c>
      <c r="J608" s="25">
        <f t="shared" si="65"/>
        <v>0</v>
      </c>
      <c r="K608" s="26" t="str">
        <f t="shared" si="66"/>
        <v>Pendiente de ejecutar</v>
      </c>
      <c r="L608" s="6" t="s">
        <v>328</v>
      </c>
      <c r="M608" s="6"/>
    </row>
    <row r="609" spans="1:13" x14ac:dyDescent="0.35">
      <c r="A609" s="23" t="s">
        <v>121</v>
      </c>
      <c r="B609" s="11" t="s">
        <v>324</v>
      </c>
      <c r="C609" s="23" t="s">
        <v>13</v>
      </c>
      <c r="D609" s="23" t="s">
        <v>14</v>
      </c>
      <c r="E609" s="15">
        <v>685000</v>
      </c>
      <c r="F609" s="15">
        <v>0</v>
      </c>
      <c r="G609" s="15">
        <v>456100</v>
      </c>
      <c r="H609" s="50">
        <f t="shared" si="63"/>
        <v>456100</v>
      </c>
      <c r="I609" s="60">
        <f t="shared" si="64"/>
        <v>228900</v>
      </c>
      <c r="J609" s="25">
        <f t="shared" si="65"/>
        <v>0.66583941605839414</v>
      </c>
      <c r="K609" s="26" t="str">
        <f t="shared" si="66"/>
        <v>En Progreso</v>
      </c>
      <c r="L609" s="6" t="s">
        <v>328</v>
      </c>
      <c r="M609" s="6" t="s">
        <v>325</v>
      </c>
    </row>
    <row r="610" spans="1:13" x14ac:dyDescent="0.35">
      <c r="A610" s="20" t="s">
        <v>156</v>
      </c>
      <c r="B610" s="20" t="s">
        <v>129</v>
      </c>
      <c r="C610" s="12"/>
      <c r="D610" s="30" t="s">
        <v>137</v>
      </c>
      <c r="E610" s="13"/>
      <c r="F610" s="13">
        <v>96300</v>
      </c>
      <c r="G610" s="16"/>
      <c r="H610" s="50">
        <f t="shared" si="63"/>
        <v>96300</v>
      </c>
      <c r="I610" s="17"/>
      <c r="J610" s="12"/>
      <c r="K610" s="14"/>
      <c r="L610" s="6" t="s">
        <v>328</v>
      </c>
      <c r="M610" s="6" t="s">
        <v>323</v>
      </c>
    </row>
    <row r="611" spans="1:13" x14ac:dyDescent="0.35">
      <c r="A611" s="32" t="s">
        <v>199</v>
      </c>
      <c r="B611" s="11" t="s">
        <v>208</v>
      </c>
      <c r="C611" s="27"/>
      <c r="D611" s="28" t="s">
        <v>191</v>
      </c>
      <c r="E611" s="15"/>
      <c r="F611" s="15">
        <v>81650</v>
      </c>
      <c r="G611" s="15"/>
      <c r="H611" s="50">
        <f t="shared" si="63"/>
        <v>81650</v>
      </c>
      <c r="I611" s="17"/>
      <c r="J611" s="27"/>
      <c r="K611" s="29"/>
      <c r="L611" s="6" t="s">
        <v>326</v>
      </c>
      <c r="M611" s="6" t="s">
        <v>323</v>
      </c>
    </row>
    <row r="612" spans="1:13" x14ac:dyDescent="0.35">
      <c r="A612" s="20" t="s">
        <v>202</v>
      </c>
      <c r="B612" s="11" t="s">
        <v>208</v>
      </c>
      <c r="C612" s="12"/>
      <c r="D612" s="30" t="s">
        <v>204</v>
      </c>
      <c r="E612" s="13">
        <v>27000</v>
      </c>
      <c r="F612" s="13">
        <v>47800</v>
      </c>
      <c r="G612" s="13"/>
      <c r="H612" s="50">
        <f t="shared" si="63"/>
        <v>47800</v>
      </c>
      <c r="I612" s="17">
        <f t="shared" ref="I612:I628" si="67">E612-H612</f>
        <v>-20800</v>
      </c>
      <c r="J612" s="12"/>
      <c r="K612" s="14"/>
      <c r="L612" s="6" t="s">
        <v>328</v>
      </c>
      <c r="M612" s="6" t="s">
        <v>323</v>
      </c>
    </row>
    <row r="613" spans="1:13" x14ac:dyDescent="0.35">
      <c r="A613" s="38" t="s">
        <v>205</v>
      </c>
      <c r="B613" s="11" t="s">
        <v>208</v>
      </c>
      <c r="C613" s="27"/>
      <c r="D613" s="64" t="s">
        <v>209</v>
      </c>
      <c r="E613" s="51"/>
      <c r="F613" s="51">
        <v>218034</v>
      </c>
      <c r="G613" s="51"/>
      <c r="H613" s="50">
        <f t="shared" si="63"/>
        <v>218034</v>
      </c>
      <c r="I613" s="17">
        <f t="shared" si="67"/>
        <v>-218034</v>
      </c>
      <c r="J613" s="27"/>
      <c r="K613" s="29"/>
      <c r="L613" s="6" t="s">
        <v>326</v>
      </c>
      <c r="M613" s="6" t="s">
        <v>323</v>
      </c>
    </row>
    <row r="614" spans="1:13" x14ac:dyDescent="0.35">
      <c r="A614" s="11" t="s">
        <v>210</v>
      </c>
      <c r="B614" s="11" t="s">
        <v>208</v>
      </c>
      <c r="C614" s="11"/>
      <c r="D614" s="11" t="s">
        <v>211</v>
      </c>
      <c r="E614" s="13"/>
      <c r="F614" s="13">
        <v>60474.47</v>
      </c>
      <c r="G614" s="13"/>
      <c r="H614" s="50">
        <f t="shared" si="63"/>
        <v>60474.47</v>
      </c>
      <c r="I614" s="17">
        <f t="shared" si="67"/>
        <v>-60474.47</v>
      </c>
      <c r="J614" s="18"/>
      <c r="K614" s="19"/>
      <c r="L614" s="6" t="s">
        <v>326</v>
      </c>
      <c r="M614" s="6" t="s">
        <v>323</v>
      </c>
    </row>
    <row r="615" spans="1:13" x14ac:dyDescent="0.35">
      <c r="A615" s="23" t="s">
        <v>225</v>
      </c>
      <c r="B615" s="11" t="s">
        <v>208</v>
      </c>
      <c r="C615" s="23" t="s">
        <v>37</v>
      </c>
      <c r="D615" s="11" t="s">
        <v>38</v>
      </c>
      <c r="E615" s="15"/>
      <c r="F615" s="15">
        <v>136568.04</v>
      </c>
      <c r="G615" s="15"/>
      <c r="H615" s="50">
        <f t="shared" si="63"/>
        <v>136568.04</v>
      </c>
      <c r="I615" s="17">
        <f t="shared" si="67"/>
        <v>-136568.04</v>
      </c>
      <c r="J615" s="25"/>
      <c r="K615" s="26"/>
      <c r="L615" s="6" t="s">
        <v>328</v>
      </c>
      <c r="M615" s="6" t="s">
        <v>323</v>
      </c>
    </row>
    <row r="616" spans="1:13" x14ac:dyDescent="0.35">
      <c r="A616" s="11" t="s">
        <v>232</v>
      </c>
      <c r="B616" s="11" t="s">
        <v>208</v>
      </c>
      <c r="C616" s="11"/>
      <c r="D616" s="11" t="s">
        <v>38</v>
      </c>
      <c r="E616" s="15"/>
      <c r="F616" s="46">
        <f>23075.48*2</f>
        <v>46150.96</v>
      </c>
      <c r="G616" s="51"/>
      <c r="H616" s="50">
        <f t="shared" si="63"/>
        <v>46150.96</v>
      </c>
      <c r="I616" s="17">
        <f t="shared" si="67"/>
        <v>-46150.96</v>
      </c>
      <c r="J616" s="18"/>
      <c r="K616" s="19"/>
      <c r="L616" s="6" t="s">
        <v>328</v>
      </c>
      <c r="M616" s="6" t="s">
        <v>323</v>
      </c>
    </row>
    <row r="617" spans="1:13" x14ac:dyDescent="0.35">
      <c r="A617" s="11" t="s">
        <v>232</v>
      </c>
      <c r="B617" s="11" t="s">
        <v>208</v>
      </c>
      <c r="C617" s="27"/>
      <c r="D617" s="28" t="s">
        <v>233</v>
      </c>
      <c r="E617" s="15"/>
      <c r="F617" s="46">
        <v>61129</v>
      </c>
      <c r="G617" s="51"/>
      <c r="H617" s="50">
        <f t="shared" si="63"/>
        <v>61129</v>
      </c>
      <c r="I617" s="17">
        <f t="shared" si="67"/>
        <v>-61129</v>
      </c>
      <c r="J617" s="27"/>
      <c r="K617" s="29"/>
      <c r="L617" s="6" t="s">
        <v>328</v>
      </c>
      <c r="M617" s="6" t="s">
        <v>323</v>
      </c>
    </row>
    <row r="618" spans="1:13" x14ac:dyDescent="0.35">
      <c r="A618" s="32" t="s">
        <v>232</v>
      </c>
      <c r="B618" s="11" t="s">
        <v>208</v>
      </c>
      <c r="C618" s="27"/>
      <c r="D618" s="28" t="s">
        <v>236</v>
      </c>
      <c r="E618" s="15"/>
      <c r="F618" s="15"/>
      <c r="G618" s="46">
        <v>90258</v>
      </c>
      <c r="H618" s="50">
        <f t="shared" si="63"/>
        <v>90258</v>
      </c>
      <c r="I618" s="17">
        <f t="shared" si="67"/>
        <v>-90258</v>
      </c>
      <c r="J618" s="27"/>
      <c r="K618" s="29"/>
      <c r="L618" s="6" t="s">
        <v>328</v>
      </c>
      <c r="M618" s="6" t="s">
        <v>323</v>
      </c>
    </row>
    <row r="619" spans="1:13" x14ac:dyDescent="0.35">
      <c r="A619" s="32" t="s">
        <v>232</v>
      </c>
      <c r="B619" s="11" t="s">
        <v>208</v>
      </c>
      <c r="C619" s="12"/>
      <c r="D619" s="12" t="s">
        <v>239</v>
      </c>
      <c r="E619" s="13"/>
      <c r="F619" s="13"/>
      <c r="G619" s="45">
        <v>212061</v>
      </c>
      <c r="H619" s="50">
        <f t="shared" si="63"/>
        <v>212061</v>
      </c>
      <c r="I619" s="17">
        <f t="shared" si="67"/>
        <v>-212061</v>
      </c>
      <c r="J619" s="12"/>
      <c r="K619" s="14"/>
      <c r="L619" s="6" t="s">
        <v>328</v>
      </c>
      <c r="M619" s="6" t="s">
        <v>323</v>
      </c>
    </row>
    <row r="620" spans="1:13" x14ac:dyDescent="0.35">
      <c r="A620" s="32" t="s">
        <v>232</v>
      </c>
      <c r="B620" s="11" t="s">
        <v>208</v>
      </c>
      <c r="C620" s="12"/>
      <c r="D620" s="30" t="s">
        <v>329</v>
      </c>
      <c r="E620" s="13"/>
      <c r="F620" s="13"/>
      <c r="G620" s="45">
        <f>468000+4500</f>
        <v>472500</v>
      </c>
      <c r="H620" s="50">
        <f t="shared" si="63"/>
        <v>472500</v>
      </c>
      <c r="I620" s="17">
        <f t="shared" si="67"/>
        <v>-472500</v>
      </c>
      <c r="J620" s="12"/>
      <c r="K620" s="14"/>
      <c r="L620" s="6" t="s">
        <v>328</v>
      </c>
      <c r="M620" s="6" t="s">
        <v>323</v>
      </c>
    </row>
    <row r="621" spans="1:13" x14ac:dyDescent="0.35">
      <c r="A621" s="11" t="s">
        <v>232</v>
      </c>
      <c r="B621" s="11" t="s">
        <v>208</v>
      </c>
      <c r="C621" s="11"/>
      <c r="D621" s="11" t="s">
        <v>54</v>
      </c>
      <c r="E621" s="13"/>
      <c r="F621" s="45">
        <f>25662.27*6</f>
        <v>153973.62</v>
      </c>
      <c r="G621" s="50"/>
      <c r="H621" s="50">
        <f t="shared" si="63"/>
        <v>153973.62</v>
      </c>
      <c r="I621" s="17">
        <f t="shared" si="67"/>
        <v>-153973.62</v>
      </c>
      <c r="J621" s="18"/>
      <c r="K621" s="19"/>
      <c r="L621" s="6" t="s">
        <v>328</v>
      </c>
      <c r="M621" s="6" t="s">
        <v>323</v>
      </c>
    </row>
    <row r="622" spans="1:13" x14ac:dyDescent="0.35">
      <c r="A622" s="11" t="s">
        <v>243</v>
      </c>
      <c r="B622" s="11" t="s">
        <v>208</v>
      </c>
      <c r="C622" s="11"/>
      <c r="D622" s="11" t="s">
        <v>342</v>
      </c>
      <c r="E622" s="13"/>
      <c r="F622" s="13">
        <v>106973.73</v>
      </c>
      <c r="G622" s="13"/>
      <c r="H622" s="50">
        <f t="shared" si="63"/>
        <v>106973.73</v>
      </c>
      <c r="I622" s="17">
        <f t="shared" si="67"/>
        <v>-106973.73</v>
      </c>
      <c r="J622" s="18"/>
      <c r="K622" s="19"/>
      <c r="L622" s="6" t="s">
        <v>328</v>
      </c>
      <c r="M622" s="6" t="s">
        <v>323</v>
      </c>
    </row>
    <row r="623" spans="1:13" x14ac:dyDescent="0.35">
      <c r="A623" s="61" t="s">
        <v>246</v>
      </c>
      <c r="B623" s="11" t="s">
        <v>208</v>
      </c>
      <c r="C623" s="36" t="s">
        <v>68</v>
      </c>
      <c r="D623" s="61" t="s">
        <v>69</v>
      </c>
      <c r="E623" s="51">
        <v>52000</v>
      </c>
      <c r="F623" s="51"/>
      <c r="G623" s="51">
        <v>0</v>
      </c>
      <c r="H623" s="50">
        <f t="shared" si="63"/>
        <v>0</v>
      </c>
      <c r="I623" s="17">
        <f t="shared" si="67"/>
        <v>52000</v>
      </c>
      <c r="J623" s="18">
        <f>IFERROR(H623/E623,0)</f>
        <v>0</v>
      </c>
      <c r="K623" s="19" t="str">
        <f>IF(E623=0,"Sin Plan",IF(J623&gt;=1,"Completado",IF(J623&gt;0.001,"En Progreso","Pendiente de ejecutar")))</f>
        <v>Pendiente de ejecutar</v>
      </c>
      <c r="L623" s="6" t="s">
        <v>328</v>
      </c>
      <c r="M623" s="6" t="s">
        <v>325</v>
      </c>
    </row>
    <row r="624" spans="1:13" x14ac:dyDescent="0.35">
      <c r="A624" s="61" t="s">
        <v>246</v>
      </c>
      <c r="B624" s="11" t="s">
        <v>208</v>
      </c>
      <c r="C624" s="36" t="s">
        <v>63</v>
      </c>
      <c r="D624" s="61" t="s">
        <v>64</v>
      </c>
      <c r="E624" s="51">
        <v>0</v>
      </c>
      <c r="F624" s="51"/>
      <c r="G624" s="51">
        <v>112945.64</v>
      </c>
      <c r="H624" s="50">
        <f t="shared" si="63"/>
        <v>112945.64</v>
      </c>
      <c r="I624" s="17">
        <f t="shared" si="67"/>
        <v>-112945.64</v>
      </c>
      <c r="J624" s="18">
        <f>IFERROR(H624/E624,0)</f>
        <v>0</v>
      </c>
      <c r="K624" s="19" t="str">
        <f>IF(E624=0,"Sin Plan",IF(J624&gt;=1,"Completado",IF(J624&gt;0.001,"En Progreso","Pendiente de ejecutar")))</f>
        <v>Sin Plan</v>
      </c>
      <c r="L624" s="6" t="s">
        <v>326</v>
      </c>
      <c r="M624" s="6" t="s">
        <v>323</v>
      </c>
    </row>
    <row r="625" spans="1:13" x14ac:dyDescent="0.35">
      <c r="A625" s="61" t="s">
        <v>246</v>
      </c>
      <c r="B625" s="11"/>
      <c r="C625" s="36"/>
      <c r="D625" s="61" t="s">
        <v>347</v>
      </c>
      <c r="E625" s="51"/>
      <c r="F625" s="51"/>
      <c r="G625" s="51">
        <v>92750</v>
      </c>
      <c r="H625" s="50">
        <f t="shared" si="63"/>
        <v>92750</v>
      </c>
      <c r="I625" s="17">
        <f t="shared" si="67"/>
        <v>-92750</v>
      </c>
      <c r="J625" s="18"/>
      <c r="K625" s="19"/>
      <c r="L625" s="6" t="s">
        <v>326</v>
      </c>
      <c r="M625" s="6"/>
    </row>
    <row r="626" spans="1:13" x14ac:dyDescent="0.35">
      <c r="A626" s="61" t="s">
        <v>246</v>
      </c>
      <c r="B626" s="11" t="s">
        <v>208</v>
      </c>
      <c r="C626" s="36" t="s">
        <v>140</v>
      </c>
      <c r="D626" s="61" t="s">
        <v>141</v>
      </c>
      <c r="E626" s="51">
        <v>0</v>
      </c>
      <c r="F626" s="51"/>
      <c r="G626" s="15"/>
      <c r="H626" s="50">
        <f t="shared" si="63"/>
        <v>0</v>
      </c>
      <c r="I626" s="17">
        <f t="shared" si="67"/>
        <v>0</v>
      </c>
      <c r="J626" s="25">
        <f>IFERROR(H626/E626,0)</f>
        <v>0</v>
      </c>
      <c r="K626" s="26" t="str">
        <f>IF(E626=0,"Sin Plan",IF(J626&gt;=1,"Completado",IF(J626&gt;0.001,"En Progreso","Pendiente de ejecutar")))</f>
        <v>Sin Plan</v>
      </c>
      <c r="L626" s="6" t="s">
        <v>328</v>
      </c>
      <c r="M626" s="6" t="s">
        <v>323</v>
      </c>
    </row>
    <row r="627" spans="1:13" x14ac:dyDescent="0.35">
      <c r="A627" s="61" t="s">
        <v>246</v>
      </c>
      <c r="B627" s="11" t="s">
        <v>208</v>
      </c>
      <c r="C627" s="36" t="s">
        <v>29</v>
      </c>
      <c r="D627" s="61" t="s">
        <v>30</v>
      </c>
      <c r="E627" s="51">
        <v>0</v>
      </c>
      <c r="F627" s="51"/>
      <c r="G627" s="51"/>
      <c r="H627" s="50">
        <f t="shared" si="63"/>
        <v>0</v>
      </c>
      <c r="I627" s="17">
        <f t="shared" si="67"/>
        <v>0</v>
      </c>
      <c r="J627" s="18">
        <f>IFERROR(H627/E627,0)</f>
        <v>0</v>
      </c>
      <c r="K627" s="19" t="str">
        <f>IF(E627=0,"Sin Plan",IF(J627&gt;=1,"Completado",IF(J627&gt;0.001,"En Progreso","Pendiente de ejecutar")))</f>
        <v>Sin Plan</v>
      </c>
      <c r="L627" s="6" t="s">
        <v>328</v>
      </c>
      <c r="M627" s="6" t="s">
        <v>323</v>
      </c>
    </row>
    <row r="628" spans="1:13" x14ac:dyDescent="0.35">
      <c r="A628" s="36" t="s">
        <v>253</v>
      </c>
      <c r="B628" s="11" t="s">
        <v>208</v>
      </c>
      <c r="C628" s="27"/>
      <c r="D628" s="38" t="s">
        <v>256</v>
      </c>
      <c r="E628" s="15"/>
      <c r="F628" s="15">
        <f>595573.16-379877.73</f>
        <v>215695.43000000005</v>
      </c>
      <c r="G628" s="15"/>
      <c r="H628" s="50">
        <f t="shared" si="63"/>
        <v>215695.43000000005</v>
      </c>
      <c r="I628" s="17">
        <f t="shared" si="67"/>
        <v>-215695.43000000005</v>
      </c>
      <c r="J628" s="27"/>
      <c r="K628" s="29"/>
      <c r="L628" s="6" t="s">
        <v>328</v>
      </c>
      <c r="M628" s="6" t="s">
        <v>323</v>
      </c>
    </row>
    <row r="629" spans="1:13" x14ac:dyDescent="0.35">
      <c r="A629" s="36" t="s">
        <v>253</v>
      </c>
      <c r="B629" s="11" t="s">
        <v>208</v>
      </c>
      <c r="C629" s="27"/>
      <c r="D629" s="28" t="s">
        <v>20</v>
      </c>
      <c r="E629" s="15"/>
      <c r="F629" s="15">
        <v>60474.46</v>
      </c>
      <c r="G629" s="15"/>
      <c r="H629" s="50">
        <f t="shared" si="63"/>
        <v>60474.46</v>
      </c>
      <c r="I629" s="17"/>
      <c r="J629" s="27"/>
      <c r="K629" s="29"/>
      <c r="L629" s="6" t="s">
        <v>326</v>
      </c>
      <c r="M629" s="6" t="s">
        <v>323</v>
      </c>
    </row>
    <row r="630" spans="1:13" x14ac:dyDescent="0.35">
      <c r="A630" s="11" t="s">
        <v>267</v>
      </c>
      <c r="B630" s="11" t="s">
        <v>208</v>
      </c>
      <c r="C630" s="11" t="s">
        <v>200</v>
      </c>
      <c r="D630" s="11" t="s">
        <v>201</v>
      </c>
      <c r="E630" s="15"/>
      <c r="F630" s="15">
        <v>696460</v>
      </c>
      <c r="G630" s="15">
        <v>162497.70000000001</v>
      </c>
      <c r="H630" s="50">
        <f t="shared" si="63"/>
        <v>858957.7</v>
      </c>
      <c r="I630" s="17">
        <f>E630-H630</f>
        <v>-858957.7</v>
      </c>
      <c r="J630" s="18">
        <f>IFERROR(H630/E630,0)</f>
        <v>0</v>
      </c>
      <c r="K630" s="19" t="str">
        <f>IF(E630=0,"Sin Plan",IF(J630&gt;=1,"Completado",IF(J630&gt;0.001,"En Progreso","Pendiente de ejecutar")))</f>
        <v>Sin Plan</v>
      </c>
      <c r="L630" s="6" t="s">
        <v>326</v>
      </c>
      <c r="M630" s="6" t="s">
        <v>323</v>
      </c>
    </row>
    <row r="631" spans="1:13" x14ac:dyDescent="0.35">
      <c r="A631" s="32" t="s">
        <v>290</v>
      </c>
      <c r="B631" s="11" t="s">
        <v>208</v>
      </c>
      <c r="C631" s="12"/>
      <c r="D631" s="30" t="s">
        <v>291</v>
      </c>
      <c r="E631" s="13"/>
      <c r="F631" s="13">
        <v>30890</v>
      </c>
      <c r="G631" s="13"/>
      <c r="H631" s="50">
        <f t="shared" si="63"/>
        <v>30890</v>
      </c>
      <c r="I631" s="12"/>
      <c r="J631" s="12"/>
      <c r="K631" s="14"/>
      <c r="L631" s="6" t="s">
        <v>326</v>
      </c>
      <c r="M631" s="6" t="s">
        <v>323</v>
      </c>
    </row>
    <row r="632" spans="1:13" x14ac:dyDescent="0.35">
      <c r="A632" s="23" t="s">
        <v>292</v>
      </c>
      <c r="B632" s="11" t="s">
        <v>208</v>
      </c>
      <c r="C632" s="23"/>
      <c r="D632" s="23" t="s">
        <v>38</v>
      </c>
      <c r="E632" s="15"/>
      <c r="F632" s="46">
        <f>(17067.29*2)+21000</f>
        <v>55134.58</v>
      </c>
      <c r="G632" s="15"/>
      <c r="H632" s="50">
        <f t="shared" si="63"/>
        <v>55134.58</v>
      </c>
      <c r="I632" s="24"/>
      <c r="J632" s="25"/>
      <c r="K632" s="26"/>
      <c r="L632" s="6" t="s">
        <v>328</v>
      </c>
      <c r="M632" s="6" t="s">
        <v>323</v>
      </c>
    </row>
    <row r="633" spans="1:13" x14ac:dyDescent="0.35">
      <c r="A633" s="23" t="s">
        <v>295</v>
      </c>
      <c r="B633" s="11"/>
      <c r="C633" s="23"/>
      <c r="D633" s="23" t="s">
        <v>346</v>
      </c>
      <c r="E633" s="15"/>
      <c r="F633" s="46">
        <v>34912.86</v>
      </c>
      <c r="G633" s="15"/>
      <c r="H633" s="50">
        <f t="shared" si="63"/>
        <v>34912.86</v>
      </c>
      <c r="I633" s="60">
        <f t="shared" ref="I633" si="68">E633-H633</f>
        <v>-34912.86</v>
      </c>
      <c r="J633" s="25"/>
      <c r="K633" s="26"/>
      <c r="L633" s="6" t="s">
        <v>326</v>
      </c>
      <c r="M633" s="6"/>
    </row>
    <row r="634" spans="1:13" x14ac:dyDescent="0.35">
      <c r="A634" s="53" t="s">
        <v>295</v>
      </c>
      <c r="B634" s="11" t="s">
        <v>208</v>
      </c>
      <c r="C634" s="54"/>
      <c r="D634" s="54" t="s">
        <v>296</v>
      </c>
      <c r="E634" s="55"/>
      <c r="F634" s="55"/>
      <c r="G634" s="55"/>
      <c r="H634" s="50">
        <f t="shared" si="63"/>
        <v>0</v>
      </c>
      <c r="I634" s="56"/>
      <c r="J634" s="58"/>
      <c r="K634" s="59"/>
      <c r="L634" s="6" t="s">
        <v>328</v>
      </c>
      <c r="M634" s="6" t="s">
        <v>323</v>
      </c>
    </row>
    <row r="635" spans="1:13" x14ac:dyDescent="0.35">
      <c r="A635" s="20" t="s">
        <v>301</v>
      </c>
      <c r="B635" s="11" t="s">
        <v>208</v>
      </c>
      <c r="C635" s="49"/>
      <c r="D635" s="49" t="s">
        <v>302</v>
      </c>
      <c r="E635" s="13"/>
      <c r="F635" s="13">
        <v>904144.25</v>
      </c>
      <c r="G635" s="13"/>
      <c r="H635" s="50">
        <f t="shared" si="63"/>
        <v>904144.25</v>
      </c>
      <c r="I635" s="17"/>
      <c r="J635" s="57"/>
      <c r="K635" s="49"/>
      <c r="L635" s="6" t="s">
        <v>328</v>
      </c>
      <c r="M635" s="6" t="s">
        <v>323</v>
      </c>
    </row>
    <row r="636" spans="1:13" x14ac:dyDescent="0.35">
      <c r="A636" s="52" t="s">
        <v>304</v>
      </c>
      <c r="B636" s="11" t="s">
        <v>208</v>
      </c>
      <c r="D636" s="48" t="s">
        <v>305</v>
      </c>
      <c r="E636" s="15"/>
      <c r="F636" s="15"/>
      <c r="G636" s="15">
        <v>30982.43</v>
      </c>
      <c r="H636" s="50">
        <f t="shared" si="63"/>
        <v>30982.43</v>
      </c>
      <c r="I636" s="17">
        <f>E636-H636</f>
        <v>-30982.43</v>
      </c>
      <c r="L636" s="6" t="s">
        <v>326</v>
      </c>
      <c r="M636" s="6" t="s">
        <v>323</v>
      </c>
    </row>
    <row r="637" spans="1:13" x14ac:dyDescent="0.35">
      <c r="A637" s="49" t="s">
        <v>232</v>
      </c>
      <c r="B637" s="11" t="s">
        <v>208</v>
      </c>
      <c r="D637" t="s">
        <v>242</v>
      </c>
      <c r="E637" s="15"/>
      <c r="F637" s="15"/>
      <c r="G637" s="46">
        <v>87404</v>
      </c>
      <c r="H637" s="50">
        <f t="shared" si="63"/>
        <v>87404</v>
      </c>
      <c r="I637" s="47">
        <f>E637-H637</f>
        <v>-87404</v>
      </c>
      <c r="L637" s="6" t="s">
        <v>328</v>
      </c>
      <c r="M637" s="6"/>
    </row>
    <row r="638" spans="1:13" x14ac:dyDescent="0.35">
      <c r="A638" s="49" t="s">
        <v>265</v>
      </c>
      <c r="B638" s="11" t="s">
        <v>208</v>
      </c>
      <c r="D638" t="s">
        <v>331</v>
      </c>
      <c r="E638" s="15"/>
      <c r="F638" s="15"/>
      <c r="G638" s="15">
        <v>162862.52000000002</v>
      </c>
      <c r="H638" s="50">
        <f t="shared" si="63"/>
        <v>162862.52000000002</v>
      </c>
      <c r="I638" s="60">
        <f t="shared" ref="I638:I642" si="69">E638-H638</f>
        <v>-162862.52000000002</v>
      </c>
      <c r="L638" s="6" t="s">
        <v>328</v>
      </c>
      <c r="M638" s="6"/>
    </row>
    <row r="639" spans="1:13" x14ac:dyDescent="0.35">
      <c r="A639" s="65" t="s">
        <v>205</v>
      </c>
      <c r="B639" s="11" t="s">
        <v>208</v>
      </c>
      <c r="D639" s="66" t="s">
        <v>64</v>
      </c>
      <c r="E639" s="51"/>
      <c r="F639" s="51"/>
      <c r="G639" s="51">
        <v>112945.64</v>
      </c>
      <c r="H639" s="50">
        <f t="shared" ref="H639:H642" si="70">F639+G639</f>
        <v>112945.64</v>
      </c>
      <c r="I639" s="60">
        <f t="shared" si="69"/>
        <v>-112945.64</v>
      </c>
      <c r="L639" s="6" t="s">
        <v>326</v>
      </c>
      <c r="M639" s="6"/>
    </row>
    <row r="640" spans="1:13" x14ac:dyDescent="0.35">
      <c r="A640" s="65" t="s">
        <v>205</v>
      </c>
      <c r="B640" s="11" t="s">
        <v>208</v>
      </c>
      <c r="D640" s="66" t="s">
        <v>333</v>
      </c>
      <c r="E640" s="51"/>
      <c r="F640" s="51">
        <v>505975.12</v>
      </c>
      <c r="G640" s="51"/>
      <c r="H640" s="50">
        <f t="shared" si="70"/>
        <v>505975.12</v>
      </c>
      <c r="I640" s="60">
        <f t="shared" si="69"/>
        <v>-505975.12</v>
      </c>
      <c r="L640" s="6" t="s">
        <v>328</v>
      </c>
      <c r="M640" s="6"/>
    </row>
    <row r="641" spans="1:13" x14ac:dyDescent="0.35">
      <c r="A641" s="65" t="s">
        <v>169</v>
      </c>
      <c r="B641" s="11" t="s">
        <v>208</v>
      </c>
      <c r="D641" s="66" t="s">
        <v>339</v>
      </c>
      <c r="E641" s="51"/>
      <c r="F641" s="51"/>
      <c r="G641" s="46">
        <v>42750</v>
      </c>
      <c r="H641" s="50">
        <f t="shared" si="70"/>
        <v>42750</v>
      </c>
      <c r="I641" s="60">
        <f t="shared" si="69"/>
        <v>-42750</v>
      </c>
      <c r="L641" s="6" t="s">
        <v>328</v>
      </c>
      <c r="M641" s="6"/>
    </row>
    <row r="642" spans="1:13" x14ac:dyDescent="0.35">
      <c r="A642" s="65" t="s">
        <v>186</v>
      </c>
      <c r="B642" s="11" t="s">
        <v>208</v>
      </c>
      <c r="D642" s="66" t="s">
        <v>334</v>
      </c>
      <c r="E642" s="51">
        <v>209400</v>
      </c>
      <c r="F642" s="51"/>
      <c r="G642" s="46"/>
      <c r="H642" s="50">
        <f t="shared" si="70"/>
        <v>0</v>
      </c>
      <c r="I642" s="60">
        <f t="shared" si="69"/>
        <v>209400</v>
      </c>
      <c r="L642" s="6" t="s">
        <v>328</v>
      </c>
      <c r="M642" s="6"/>
    </row>
    <row r="643" spans="1:13" x14ac:dyDescent="0.35">
      <c r="A643" s="52" t="s">
        <v>122</v>
      </c>
      <c r="B643" s="11" t="s">
        <v>324</v>
      </c>
      <c r="C643" s="52" t="s">
        <v>47</v>
      </c>
      <c r="D643" s="52" t="s">
        <v>48</v>
      </c>
      <c r="E643" s="15">
        <v>132300</v>
      </c>
      <c r="F643" s="15">
        <v>0</v>
      </c>
      <c r="G643" s="15">
        <v>246624.75</v>
      </c>
      <c r="H643" s="50">
        <f t="shared" ref="H643:H682" si="71">F643+G643</f>
        <v>246624.75</v>
      </c>
      <c r="I643" s="24">
        <f t="shared" ref="I643:I648" si="72">E643-H643</f>
        <v>-114324.75</v>
      </c>
      <c r="J643" s="25">
        <f t="shared" ref="J643:J656" si="73">IFERROR(H643/E643,0)</f>
        <v>1.8641326530612246</v>
      </c>
      <c r="K643" s="26" t="str">
        <f t="shared" ref="K643:K656" si="74">IF(E643=0,"Sin Plan",IF(J643&gt;=1,"Completado",IF(J643&gt;0.001,"En Progreso","Pendiente de ejecutar")))</f>
        <v>Completado</v>
      </c>
      <c r="L643" s="6" t="s">
        <v>328</v>
      </c>
      <c r="M643" s="6" t="s">
        <v>325</v>
      </c>
    </row>
    <row r="644" spans="1:13" x14ac:dyDescent="0.35">
      <c r="A644" s="72" t="s">
        <v>122</v>
      </c>
      <c r="B644" s="11" t="s">
        <v>324</v>
      </c>
      <c r="D644" s="66" t="s">
        <v>334</v>
      </c>
      <c r="E644" s="15">
        <v>201994</v>
      </c>
      <c r="F644" s="15"/>
      <c r="G644" s="15"/>
      <c r="H644" s="50">
        <f t="shared" si="71"/>
        <v>0</v>
      </c>
      <c r="I644" s="24">
        <f t="shared" si="72"/>
        <v>201994</v>
      </c>
      <c r="J644" s="25">
        <f t="shared" si="73"/>
        <v>0</v>
      </c>
      <c r="K644" s="26" t="str">
        <f t="shared" si="74"/>
        <v>Pendiente de ejecutar</v>
      </c>
      <c r="L644" s="6" t="s">
        <v>328</v>
      </c>
      <c r="M644" s="6"/>
    </row>
    <row r="645" spans="1:13" x14ac:dyDescent="0.35">
      <c r="A645" s="49" t="s">
        <v>123</v>
      </c>
      <c r="B645" s="11" t="s">
        <v>324</v>
      </c>
      <c r="C645" s="49" t="s">
        <v>13</v>
      </c>
      <c r="D645" s="49" t="s">
        <v>14</v>
      </c>
      <c r="E645" s="15">
        <v>685000</v>
      </c>
      <c r="F645" s="15">
        <v>0</v>
      </c>
      <c r="G645" s="15">
        <v>84500</v>
      </c>
      <c r="H645" s="50">
        <f t="shared" si="71"/>
        <v>84500</v>
      </c>
      <c r="I645" s="24">
        <f t="shared" si="72"/>
        <v>600500</v>
      </c>
      <c r="J645" s="25">
        <f t="shared" si="73"/>
        <v>0.12335766423357664</v>
      </c>
      <c r="K645" s="26" t="str">
        <f t="shared" si="74"/>
        <v>En Progreso</v>
      </c>
      <c r="L645" s="6" t="s">
        <v>328</v>
      </c>
      <c r="M645" s="6" t="s">
        <v>325</v>
      </c>
    </row>
    <row r="646" spans="1:13" x14ac:dyDescent="0.35">
      <c r="A646" s="49" t="s">
        <v>123</v>
      </c>
      <c r="B646" s="11" t="s">
        <v>324</v>
      </c>
      <c r="C646" s="49" t="s">
        <v>47</v>
      </c>
      <c r="D646" s="49" t="s">
        <v>48</v>
      </c>
      <c r="E646" s="13">
        <v>120000</v>
      </c>
      <c r="F646" s="13">
        <v>0</v>
      </c>
      <c r="G646" s="13">
        <v>246624.75</v>
      </c>
      <c r="H646" s="50">
        <f t="shared" si="71"/>
        <v>246624.75</v>
      </c>
      <c r="I646" s="24">
        <f t="shared" si="72"/>
        <v>-126624.75</v>
      </c>
      <c r="J646" s="25">
        <f t="shared" si="73"/>
        <v>2.0552062499999999</v>
      </c>
      <c r="K646" s="26" t="str">
        <f t="shared" si="74"/>
        <v>Completado</v>
      </c>
      <c r="L646" s="6" t="s">
        <v>328</v>
      </c>
      <c r="M646" s="6" t="s">
        <v>325</v>
      </c>
    </row>
    <row r="647" spans="1:13" x14ac:dyDescent="0.35">
      <c r="A647" s="49" t="s">
        <v>124</v>
      </c>
      <c r="B647" s="11" t="s">
        <v>324</v>
      </c>
      <c r="C647" s="49" t="s">
        <v>47</v>
      </c>
      <c r="D647" s="49" t="s">
        <v>48</v>
      </c>
      <c r="E647" s="15">
        <v>132300</v>
      </c>
      <c r="F647" s="15">
        <v>0</v>
      </c>
      <c r="G647" s="15">
        <v>246624.75</v>
      </c>
      <c r="H647" s="50">
        <f t="shared" si="71"/>
        <v>246624.75</v>
      </c>
      <c r="I647" s="24">
        <f t="shared" si="72"/>
        <v>-114324.75</v>
      </c>
      <c r="J647" s="25">
        <f t="shared" si="73"/>
        <v>1.8641326530612246</v>
      </c>
      <c r="K647" s="26" t="str">
        <f t="shared" si="74"/>
        <v>Completado</v>
      </c>
      <c r="L647" s="6" t="s">
        <v>328</v>
      </c>
      <c r="M647" s="6" t="s">
        <v>325</v>
      </c>
    </row>
    <row r="648" spans="1:13" x14ac:dyDescent="0.35">
      <c r="A648" s="72" t="s">
        <v>124</v>
      </c>
      <c r="B648" s="11" t="s">
        <v>324</v>
      </c>
      <c r="D648" s="66" t="s">
        <v>334</v>
      </c>
      <c r="E648" s="15">
        <v>114325</v>
      </c>
      <c r="F648" s="15"/>
      <c r="G648" s="15"/>
      <c r="H648" s="50">
        <f t="shared" si="71"/>
        <v>0</v>
      </c>
      <c r="I648" s="24">
        <f t="shared" si="72"/>
        <v>114325</v>
      </c>
      <c r="J648" s="25">
        <f t="shared" si="73"/>
        <v>0</v>
      </c>
      <c r="K648" s="26" t="str">
        <f t="shared" si="74"/>
        <v>Pendiente de ejecutar</v>
      </c>
      <c r="L648" s="6" t="s">
        <v>328</v>
      </c>
      <c r="M648" s="6"/>
    </row>
    <row r="649" spans="1:13" x14ac:dyDescent="0.35">
      <c r="A649" s="49" t="s">
        <v>157</v>
      </c>
      <c r="B649" s="11" t="s">
        <v>324</v>
      </c>
      <c r="C649" s="49" t="s">
        <v>50</v>
      </c>
      <c r="D649" s="49" t="s">
        <v>51</v>
      </c>
      <c r="E649" s="13">
        <v>0</v>
      </c>
      <c r="F649" s="13">
        <v>23075.48</v>
      </c>
      <c r="G649" s="13">
        <v>51270</v>
      </c>
      <c r="H649" s="50">
        <f t="shared" si="71"/>
        <v>74345.48</v>
      </c>
      <c r="I649" s="17">
        <f t="shared" ref="I649:I656" si="75">E649-H649</f>
        <v>-74345.48</v>
      </c>
      <c r="J649" s="25">
        <f t="shared" si="73"/>
        <v>0</v>
      </c>
      <c r="K649" s="26" t="str">
        <f t="shared" si="74"/>
        <v>Sin Plan</v>
      </c>
      <c r="L649" s="6" t="s">
        <v>328</v>
      </c>
      <c r="M649" s="6" t="s">
        <v>323</v>
      </c>
    </row>
    <row r="650" spans="1:13" x14ac:dyDescent="0.35">
      <c r="A650" s="73" t="s">
        <v>157</v>
      </c>
      <c r="B650" s="11" t="s">
        <v>324</v>
      </c>
      <c r="C650" s="73" t="s">
        <v>68</v>
      </c>
      <c r="D650" s="73" t="s">
        <v>69</v>
      </c>
      <c r="E650" s="13">
        <v>0</v>
      </c>
      <c r="F650" s="13">
        <v>48000</v>
      </c>
      <c r="G650" s="13">
        <v>0</v>
      </c>
      <c r="H650" s="50">
        <f t="shared" si="71"/>
        <v>48000</v>
      </c>
      <c r="I650" s="24">
        <f t="shared" si="75"/>
        <v>-48000</v>
      </c>
      <c r="J650" s="25">
        <f t="shared" si="73"/>
        <v>0</v>
      </c>
      <c r="K650" s="26" t="str">
        <f t="shared" si="74"/>
        <v>Sin Plan</v>
      </c>
      <c r="L650" s="6" t="s">
        <v>328</v>
      </c>
      <c r="M650" s="6" t="s">
        <v>323</v>
      </c>
    </row>
    <row r="651" spans="1:13" x14ac:dyDescent="0.35">
      <c r="A651" s="52" t="s">
        <v>157</v>
      </c>
      <c r="B651" s="11" t="s">
        <v>324</v>
      </c>
      <c r="C651" s="52" t="s">
        <v>13</v>
      </c>
      <c r="D651" s="52" t="s">
        <v>14</v>
      </c>
      <c r="E651" s="15">
        <v>780000</v>
      </c>
      <c r="F651" s="15">
        <v>0</v>
      </c>
      <c r="G651" s="15">
        <v>93300</v>
      </c>
      <c r="H651" s="50">
        <f t="shared" si="71"/>
        <v>93300</v>
      </c>
      <c r="I651" s="24">
        <f t="shared" si="75"/>
        <v>686700</v>
      </c>
      <c r="J651" s="25">
        <f t="shared" si="73"/>
        <v>0.11961538461538461</v>
      </c>
      <c r="K651" s="26" t="str">
        <f t="shared" si="74"/>
        <v>En Progreso</v>
      </c>
      <c r="L651" s="6" t="s">
        <v>328</v>
      </c>
      <c r="M651" s="6" t="s">
        <v>325</v>
      </c>
    </row>
    <row r="652" spans="1:13" x14ac:dyDescent="0.35">
      <c r="A652" s="73" t="s">
        <v>157</v>
      </c>
      <c r="B652" s="11" t="s">
        <v>324</v>
      </c>
      <c r="C652" s="73" t="s">
        <v>90</v>
      </c>
      <c r="D652" s="73" t="s">
        <v>91</v>
      </c>
      <c r="E652" s="13">
        <v>3600000</v>
      </c>
      <c r="F652" s="13">
        <v>546389.19999999995</v>
      </c>
      <c r="G652" s="13">
        <v>0</v>
      </c>
      <c r="H652" s="50">
        <f t="shared" si="71"/>
        <v>546389.19999999995</v>
      </c>
      <c r="I652" s="24">
        <f t="shared" si="75"/>
        <v>3053610.8</v>
      </c>
      <c r="J652" s="25">
        <f t="shared" si="73"/>
        <v>0.15177477777777776</v>
      </c>
      <c r="K652" s="26" t="str">
        <f t="shared" si="74"/>
        <v>En Progreso</v>
      </c>
      <c r="L652" s="6" t="s">
        <v>328</v>
      </c>
      <c r="M652" s="6" t="s">
        <v>325</v>
      </c>
    </row>
    <row r="653" spans="1:13" x14ac:dyDescent="0.35">
      <c r="A653" s="52" t="s">
        <v>157</v>
      </c>
      <c r="B653" s="11" t="s">
        <v>324</v>
      </c>
      <c r="C653" s="52" t="s">
        <v>27</v>
      </c>
      <c r="D653" s="52" t="s">
        <v>28</v>
      </c>
      <c r="E653" s="15">
        <v>221680</v>
      </c>
      <c r="F653" s="15">
        <v>0</v>
      </c>
      <c r="G653" s="15">
        <v>116499.8</v>
      </c>
      <c r="H653" s="50">
        <f t="shared" si="71"/>
        <v>116499.8</v>
      </c>
      <c r="I653" s="24">
        <f t="shared" si="75"/>
        <v>105180.2</v>
      </c>
      <c r="J653" s="25">
        <f t="shared" si="73"/>
        <v>0.52553139660772286</v>
      </c>
      <c r="K653" s="26" t="str">
        <f t="shared" si="74"/>
        <v>En Progreso</v>
      </c>
      <c r="L653" s="6" t="s">
        <v>328</v>
      </c>
      <c r="M653" s="6" t="s">
        <v>325</v>
      </c>
    </row>
    <row r="654" spans="1:13" x14ac:dyDescent="0.35">
      <c r="A654" s="52" t="s">
        <v>57</v>
      </c>
      <c r="B654" s="11" t="s">
        <v>324</v>
      </c>
      <c r="C654" s="52" t="s">
        <v>60</v>
      </c>
      <c r="D654" s="52" t="s">
        <v>61</v>
      </c>
      <c r="E654" s="15">
        <v>0</v>
      </c>
      <c r="F654" s="15">
        <v>0</v>
      </c>
      <c r="G654" s="15">
        <v>1733831.48</v>
      </c>
      <c r="H654" s="50">
        <f t="shared" si="71"/>
        <v>1733831.48</v>
      </c>
      <c r="I654" s="24">
        <f t="shared" si="75"/>
        <v>-1733831.48</v>
      </c>
      <c r="J654" s="25">
        <f t="shared" si="73"/>
        <v>0</v>
      </c>
      <c r="K654" s="26" t="str">
        <f t="shared" si="74"/>
        <v>Sin Plan</v>
      </c>
      <c r="L654" s="6" t="s">
        <v>326</v>
      </c>
      <c r="M654" s="6" t="s">
        <v>323</v>
      </c>
    </row>
    <row r="655" spans="1:13" x14ac:dyDescent="0.35">
      <c r="A655" s="73" t="s">
        <v>82</v>
      </c>
      <c r="B655" s="11" t="s">
        <v>324</v>
      </c>
      <c r="C655" s="92"/>
      <c r="D655" s="93" t="s">
        <v>85</v>
      </c>
      <c r="E655" s="13"/>
      <c r="F655" s="16">
        <v>275967.8</v>
      </c>
      <c r="G655" s="13"/>
      <c r="H655" s="50">
        <f t="shared" si="71"/>
        <v>275967.8</v>
      </c>
      <c r="I655" s="24">
        <f t="shared" si="75"/>
        <v>-275967.8</v>
      </c>
      <c r="J655" s="25">
        <f t="shared" si="73"/>
        <v>0</v>
      </c>
      <c r="K655" s="26" t="str">
        <f t="shared" si="74"/>
        <v>Sin Plan</v>
      </c>
      <c r="L655" s="6" t="s">
        <v>326</v>
      </c>
      <c r="M655" s="6" t="s">
        <v>323</v>
      </c>
    </row>
    <row r="656" spans="1:13" x14ac:dyDescent="0.35">
      <c r="A656" s="73" t="s">
        <v>157</v>
      </c>
      <c r="B656" s="11" t="s">
        <v>324</v>
      </c>
      <c r="C656" s="73" t="s">
        <v>136</v>
      </c>
      <c r="D656" s="73" t="s">
        <v>137</v>
      </c>
      <c r="E656" s="13">
        <v>114000</v>
      </c>
      <c r="F656" s="13">
        <v>113483.48</v>
      </c>
      <c r="G656" s="13">
        <v>0</v>
      </c>
      <c r="H656" s="50">
        <f t="shared" si="71"/>
        <v>113483.48</v>
      </c>
      <c r="I656" s="24">
        <f t="shared" si="75"/>
        <v>516.52000000000407</v>
      </c>
      <c r="J656" s="25">
        <f t="shared" si="73"/>
        <v>0.99546912280701749</v>
      </c>
      <c r="K656" s="26" t="str">
        <f t="shared" si="74"/>
        <v>En Progreso</v>
      </c>
      <c r="L656" s="6" t="s">
        <v>328</v>
      </c>
      <c r="M656" s="6" t="s">
        <v>325</v>
      </c>
    </row>
    <row r="657" spans="1:13" x14ac:dyDescent="0.35">
      <c r="A657" s="72" t="s">
        <v>128</v>
      </c>
      <c r="B657" s="11" t="s">
        <v>129</v>
      </c>
      <c r="D657" s="66" t="s">
        <v>334</v>
      </c>
      <c r="E657" s="15">
        <v>10401019.060000001</v>
      </c>
      <c r="F657" s="15"/>
      <c r="G657" s="15"/>
      <c r="H657" s="50">
        <f t="shared" si="71"/>
        <v>0</v>
      </c>
      <c r="I657" s="60">
        <f t="shared" ref="I657:I661" si="76">E657-H657</f>
        <v>10401019.060000001</v>
      </c>
      <c r="L657" s="6" t="s">
        <v>328</v>
      </c>
      <c r="M657" s="6"/>
    </row>
    <row r="658" spans="1:13" x14ac:dyDescent="0.35">
      <c r="A658" s="72" t="s">
        <v>155</v>
      </c>
      <c r="B658" s="11" t="s">
        <v>129</v>
      </c>
      <c r="D658" s="66" t="s">
        <v>334</v>
      </c>
      <c r="E658" s="15">
        <v>1966464</v>
      </c>
      <c r="F658" s="15"/>
      <c r="G658" s="15"/>
      <c r="H658" s="50">
        <f t="shared" si="71"/>
        <v>0</v>
      </c>
      <c r="I658" s="60">
        <f t="shared" si="76"/>
        <v>1966464</v>
      </c>
      <c r="L658" s="6" t="s">
        <v>328</v>
      </c>
      <c r="M658" s="6"/>
    </row>
    <row r="659" spans="1:13" x14ac:dyDescent="0.35">
      <c r="A659" s="72" t="s">
        <v>156</v>
      </c>
      <c r="B659" s="11" t="s">
        <v>129</v>
      </c>
      <c r="D659" s="66" t="s">
        <v>334</v>
      </c>
      <c r="E659" s="15">
        <v>896000</v>
      </c>
      <c r="F659" s="15"/>
      <c r="G659" s="15"/>
      <c r="H659" s="50">
        <f t="shared" si="71"/>
        <v>0</v>
      </c>
      <c r="I659" s="60">
        <f t="shared" si="76"/>
        <v>896000</v>
      </c>
      <c r="L659" s="6" t="s">
        <v>328</v>
      </c>
      <c r="M659" s="6"/>
    </row>
    <row r="660" spans="1:13" x14ac:dyDescent="0.35">
      <c r="A660" s="72" t="s">
        <v>272</v>
      </c>
      <c r="B660" s="11" t="s">
        <v>129</v>
      </c>
      <c r="D660" s="66" t="s">
        <v>24</v>
      </c>
      <c r="E660" s="15"/>
      <c r="F660" s="15"/>
      <c r="G660" s="15">
        <v>1387010.6</v>
      </c>
      <c r="H660" s="50">
        <f t="shared" si="71"/>
        <v>1387010.6</v>
      </c>
      <c r="I660" s="60">
        <f t="shared" si="76"/>
        <v>-1387010.6</v>
      </c>
      <c r="L660" s="6" t="s">
        <v>326</v>
      </c>
      <c r="M660" s="6"/>
    </row>
    <row r="661" spans="1:13" x14ac:dyDescent="0.35">
      <c r="A661" s="72" t="s">
        <v>282</v>
      </c>
      <c r="B661" s="11" t="s">
        <v>129</v>
      </c>
      <c r="D661" s="66" t="s">
        <v>334</v>
      </c>
      <c r="E661" s="15">
        <v>150000</v>
      </c>
      <c r="F661" s="15"/>
      <c r="G661" s="15"/>
      <c r="H661" s="50">
        <f t="shared" si="71"/>
        <v>0</v>
      </c>
      <c r="I661" s="60">
        <f t="shared" si="76"/>
        <v>150000</v>
      </c>
      <c r="L661" s="6" t="s">
        <v>328</v>
      </c>
      <c r="M661" s="6"/>
    </row>
    <row r="662" spans="1:13" s="81" customFormat="1" x14ac:dyDescent="0.35">
      <c r="A662" s="88" t="s">
        <v>179</v>
      </c>
      <c r="B662" s="11" t="s">
        <v>208</v>
      </c>
      <c r="C662" s="49" t="s">
        <v>136</v>
      </c>
      <c r="D662" s="88" t="s">
        <v>137</v>
      </c>
      <c r="E662" s="45">
        <v>600000</v>
      </c>
      <c r="F662" s="45">
        <v>0</v>
      </c>
      <c r="G662" s="45">
        <v>614410.00000000105</v>
      </c>
      <c r="H662" s="50">
        <f t="shared" si="71"/>
        <v>614410.00000000105</v>
      </c>
      <c r="I662" s="83">
        <f>E662-H662</f>
        <v>-14410.000000001048</v>
      </c>
      <c r="J662" s="89">
        <f>IFERROR(H662/E662,0)</f>
        <v>1.0240166666666684</v>
      </c>
      <c r="K662" s="88" t="str">
        <f>IF(E662=0,"Sin Plan",IF(J662&gt;=1,"Completado",IF(J662&gt;0.001,"En Progreso","Pendiente de ejecutar")))</f>
        <v>Completado</v>
      </c>
      <c r="L662" s="80" t="s">
        <v>328</v>
      </c>
      <c r="M662" s="80" t="s">
        <v>325</v>
      </c>
    </row>
    <row r="663" spans="1:13" s="81" customFormat="1" x14ac:dyDescent="0.35">
      <c r="A663" s="86" t="s">
        <v>179</v>
      </c>
      <c r="B663" s="11" t="s">
        <v>208</v>
      </c>
      <c r="C663" s="52" t="s">
        <v>158</v>
      </c>
      <c r="D663" s="86" t="s">
        <v>159</v>
      </c>
      <c r="E663" s="46">
        <v>640000</v>
      </c>
      <c r="F663" s="46">
        <v>581133.9</v>
      </c>
      <c r="G663" s="46">
        <v>0</v>
      </c>
      <c r="H663" s="50">
        <f t="shared" si="71"/>
        <v>581133.9</v>
      </c>
      <c r="I663" s="77">
        <f>E663-H663</f>
        <v>58866.099999999977</v>
      </c>
      <c r="J663" s="87">
        <f>IFERROR(H663/E663,0)</f>
        <v>0.90802171875000004</v>
      </c>
      <c r="K663" s="86" t="str">
        <f>IF(E663=0,"Sin Plan",IF(J663&gt;=1,"Completado",IF(J663&gt;0.001,"En Progreso","Pendiente de ejecutar")))</f>
        <v>En Progreso</v>
      </c>
      <c r="L663" s="80" t="s">
        <v>326</v>
      </c>
      <c r="M663" s="80" t="s">
        <v>325</v>
      </c>
    </row>
    <row r="664" spans="1:13" s="81" customFormat="1" x14ac:dyDescent="0.35">
      <c r="A664" s="90" t="s">
        <v>179</v>
      </c>
      <c r="B664" s="11" t="s">
        <v>208</v>
      </c>
      <c r="C664" s="73" t="s">
        <v>47</v>
      </c>
      <c r="D664" s="90" t="s">
        <v>48</v>
      </c>
      <c r="E664" s="46">
        <v>693000</v>
      </c>
      <c r="F664" s="45">
        <v>0</v>
      </c>
      <c r="G664" s="45">
        <v>246624.75</v>
      </c>
      <c r="H664" s="50">
        <f t="shared" si="71"/>
        <v>246624.75</v>
      </c>
      <c r="I664" s="83" t="e">
        <f>#REF!-H664</f>
        <v>#REF!</v>
      </c>
      <c r="J664" s="91">
        <f>IFERROR(H664/#REF!,0)</f>
        <v>0</v>
      </c>
      <c r="K664" s="90" t="e">
        <f>IF(#REF!=0,"Sin Plan",IF(J664&gt;=1,"Completado",IF(J664&gt;0.001,"En Progreso","Pendiente de ejecutar")))</f>
        <v>#REF!</v>
      </c>
      <c r="L664" s="80" t="s">
        <v>326</v>
      </c>
      <c r="M664" s="80" t="s">
        <v>325</v>
      </c>
    </row>
    <row r="665" spans="1:13" s="81" customFormat="1" x14ac:dyDescent="0.35">
      <c r="A665" s="86" t="s">
        <v>179</v>
      </c>
      <c r="B665" s="38" t="s">
        <v>208</v>
      </c>
      <c r="C665" s="74" t="s">
        <v>161</v>
      </c>
      <c r="D665" s="86" t="s">
        <v>162</v>
      </c>
      <c r="E665" s="46">
        <v>3700000</v>
      </c>
      <c r="F665" s="46">
        <v>0</v>
      </c>
      <c r="G665" s="46">
        <v>9217603.9199999999</v>
      </c>
      <c r="H665" s="50">
        <f t="shared" si="71"/>
        <v>9217603.9199999999</v>
      </c>
      <c r="I665" s="77">
        <f>E665-H665</f>
        <v>-5517603.9199999999</v>
      </c>
      <c r="J665" s="87">
        <f>IFERROR(H665/E665,0)</f>
        <v>2.4912443027027025</v>
      </c>
      <c r="K665" s="86" t="str">
        <f>IF(E665=0,"Sin Plan",IF(J665&gt;=1,"Completado",IF(J665&gt;0.001,"En Progreso","Pendiente de ejecutar")))</f>
        <v>Completado</v>
      </c>
      <c r="L665" s="80" t="s">
        <v>326</v>
      </c>
      <c r="M665" s="80" t="s">
        <v>325</v>
      </c>
    </row>
    <row r="666" spans="1:13" x14ac:dyDescent="0.35">
      <c r="A666" s="65" t="s">
        <v>179</v>
      </c>
      <c r="B666" s="38" t="s">
        <v>208</v>
      </c>
      <c r="C666" s="65" t="s">
        <v>66</v>
      </c>
      <c r="D666" s="65" t="s">
        <v>67</v>
      </c>
      <c r="E666" s="50">
        <v>7500000</v>
      </c>
      <c r="F666" s="50">
        <v>0</v>
      </c>
      <c r="G666" s="50">
        <v>0</v>
      </c>
      <c r="H666" s="50">
        <f t="shared" si="71"/>
        <v>0</v>
      </c>
      <c r="I666" s="62">
        <f>E666-H666</f>
        <v>7500000</v>
      </c>
      <c r="J666" s="57">
        <f>IFERROR(H666/E666,0)</f>
        <v>0</v>
      </c>
      <c r="K666" s="49" t="str">
        <f>IF(E666=0,"Sin Plan",IF(J666&gt;=1,"Completado",IF(J666&gt;0.001,"En Progreso","Pendiente de ejecutar")))</f>
        <v>Pendiente de ejecutar</v>
      </c>
      <c r="L666" s="6" t="s">
        <v>328</v>
      </c>
      <c r="M666" s="6" t="s">
        <v>325</v>
      </c>
    </row>
    <row r="667" spans="1:13" x14ac:dyDescent="0.35">
      <c r="A667" s="65" t="s">
        <v>179</v>
      </c>
      <c r="B667" s="38" t="s">
        <v>208</v>
      </c>
      <c r="C667" s="65"/>
      <c r="D667" s="65" t="s">
        <v>334</v>
      </c>
      <c r="E667" s="15">
        <v>3611200</v>
      </c>
      <c r="F667" s="15"/>
      <c r="G667" s="15"/>
      <c r="H667" s="50">
        <f t="shared" si="71"/>
        <v>0</v>
      </c>
      <c r="I667" s="60">
        <f t="shared" ref="I667:I682" si="77">E667-H667</f>
        <v>3611200</v>
      </c>
      <c r="J667" s="57"/>
      <c r="K667" s="49"/>
      <c r="L667" s="6" t="s">
        <v>328</v>
      </c>
      <c r="M667" s="6"/>
    </row>
    <row r="668" spans="1:13" x14ac:dyDescent="0.35">
      <c r="A668" s="65" t="s">
        <v>202</v>
      </c>
      <c r="B668" s="38" t="s">
        <v>208</v>
      </c>
      <c r="C668" s="65"/>
      <c r="D668" s="65" t="s">
        <v>338</v>
      </c>
      <c r="E668" s="15">
        <v>6000</v>
      </c>
      <c r="F668" s="15"/>
      <c r="G668" s="15"/>
      <c r="H668" s="50">
        <f t="shared" si="71"/>
        <v>0</v>
      </c>
      <c r="I668" s="60">
        <f t="shared" si="77"/>
        <v>6000</v>
      </c>
      <c r="J668" s="57"/>
      <c r="K668" s="49"/>
      <c r="L668" s="6" t="s">
        <v>328</v>
      </c>
      <c r="M668" s="6"/>
    </row>
    <row r="669" spans="1:13" x14ac:dyDescent="0.35">
      <c r="A669" s="65" t="s">
        <v>199</v>
      </c>
      <c r="B669" s="38" t="s">
        <v>208</v>
      </c>
      <c r="C669" s="65"/>
      <c r="D669" s="65" t="s">
        <v>334</v>
      </c>
      <c r="E669" s="15">
        <v>3456385.53</v>
      </c>
      <c r="F669" s="15"/>
      <c r="G669" s="15"/>
      <c r="H669" s="50">
        <f t="shared" si="71"/>
        <v>0</v>
      </c>
      <c r="I669" s="60">
        <f t="shared" si="77"/>
        <v>3456385.53</v>
      </c>
      <c r="J669" s="57"/>
      <c r="K669" s="49"/>
      <c r="L669" s="6" t="s">
        <v>328</v>
      </c>
      <c r="M669" s="6"/>
    </row>
    <row r="670" spans="1:13" x14ac:dyDescent="0.35">
      <c r="A670" s="65" t="s">
        <v>225</v>
      </c>
      <c r="B670" s="38"/>
      <c r="C670" s="65"/>
      <c r="D670" s="65" t="s">
        <v>334</v>
      </c>
      <c r="E670" s="15">
        <v>-388395.53</v>
      </c>
      <c r="F670" s="15"/>
      <c r="G670" s="15"/>
      <c r="H670" s="50">
        <f t="shared" si="71"/>
        <v>0</v>
      </c>
      <c r="I670" s="60">
        <f t="shared" si="77"/>
        <v>-388395.53</v>
      </c>
      <c r="J670" s="57"/>
      <c r="K670" s="49"/>
      <c r="L670" s="6" t="s">
        <v>328</v>
      </c>
      <c r="M670" s="6"/>
    </row>
    <row r="671" spans="1:13" x14ac:dyDescent="0.35">
      <c r="A671" s="65" t="s">
        <v>225</v>
      </c>
      <c r="B671" s="38"/>
      <c r="C671" s="65"/>
      <c r="D671" s="65" t="s">
        <v>341</v>
      </c>
      <c r="E671" s="15"/>
      <c r="F671" s="15"/>
      <c r="G671" s="15">
        <v>590935.94999999995</v>
      </c>
      <c r="H671" s="50">
        <f t="shared" si="71"/>
        <v>590935.94999999995</v>
      </c>
      <c r="I671" s="60">
        <f t="shared" si="77"/>
        <v>-590935.94999999995</v>
      </c>
      <c r="J671" s="57"/>
      <c r="K671" s="49"/>
      <c r="L671" s="6" t="s">
        <v>326</v>
      </c>
      <c r="M671" s="6"/>
    </row>
    <row r="672" spans="1:13" x14ac:dyDescent="0.35">
      <c r="A672" s="65" t="s">
        <v>243</v>
      </c>
      <c r="B672" s="38"/>
      <c r="C672" s="65"/>
      <c r="D672" s="65" t="s">
        <v>204</v>
      </c>
      <c r="E672" s="15"/>
      <c r="F672" s="15"/>
      <c r="G672" s="15">
        <v>23900</v>
      </c>
      <c r="H672" s="50">
        <f t="shared" si="71"/>
        <v>23900</v>
      </c>
      <c r="I672" s="60">
        <f t="shared" si="77"/>
        <v>-23900</v>
      </c>
      <c r="J672" s="57"/>
      <c r="K672" s="49"/>
      <c r="L672" s="6" t="s">
        <v>328</v>
      </c>
      <c r="M672" s="6"/>
    </row>
    <row r="673" spans="1:13" x14ac:dyDescent="0.35">
      <c r="A673" s="65" t="s">
        <v>267</v>
      </c>
      <c r="B673" s="38"/>
      <c r="C673" s="65"/>
      <c r="D673" s="65" t="s">
        <v>334</v>
      </c>
      <c r="E673" s="15">
        <v>1174922</v>
      </c>
      <c r="F673" s="15"/>
      <c r="G673" s="15"/>
      <c r="H673" s="50">
        <f t="shared" si="71"/>
        <v>0</v>
      </c>
      <c r="I673" s="60">
        <f t="shared" si="77"/>
        <v>1174922</v>
      </c>
      <c r="J673" s="57"/>
      <c r="K673" s="49"/>
      <c r="L673" s="6" t="s">
        <v>328</v>
      </c>
      <c r="M673" s="6"/>
    </row>
    <row r="674" spans="1:13" x14ac:dyDescent="0.35">
      <c r="A674" s="65" t="s">
        <v>222</v>
      </c>
      <c r="B674" s="38"/>
      <c r="C674" s="65"/>
      <c r="D674" s="65" t="s">
        <v>334</v>
      </c>
      <c r="E674" s="15">
        <v>1735000</v>
      </c>
      <c r="F674" s="15"/>
      <c r="G674" s="15"/>
      <c r="H674" s="50">
        <f t="shared" si="71"/>
        <v>0</v>
      </c>
      <c r="I674" s="60">
        <f t="shared" si="77"/>
        <v>1735000</v>
      </c>
      <c r="J674" s="57"/>
      <c r="K674" s="49"/>
      <c r="L674" s="6" t="s">
        <v>328</v>
      </c>
      <c r="M674" s="6"/>
    </row>
    <row r="675" spans="1:13" x14ac:dyDescent="0.35">
      <c r="A675" s="65" t="s">
        <v>232</v>
      </c>
      <c r="B675" s="38"/>
      <c r="C675" s="65"/>
      <c r="D675" s="65" t="s">
        <v>343</v>
      </c>
      <c r="E675" s="15"/>
      <c r="F675" s="15"/>
      <c r="G675" s="15">
        <v>471360</v>
      </c>
      <c r="H675" s="50">
        <f t="shared" si="71"/>
        <v>471360</v>
      </c>
      <c r="I675" s="60">
        <f t="shared" si="77"/>
        <v>-471360</v>
      </c>
      <c r="J675" s="57"/>
      <c r="K675" s="49"/>
      <c r="L675" s="6" t="s">
        <v>326</v>
      </c>
      <c r="M675" s="6"/>
    </row>
    <row r="676" spans="1:13" x14ac:dyDescent="0.35">
      <c r="A676" s="65" t="s">
        <v>244</v>
      </c>
      <c r="B676" s="38"/>
      <c r="C676" s="65"/>
      <c r="D676" s="65" t="s">
        <v>348</v>
      </c>
      <c r="E676" s="15">
        <v>139000</v>
      </c>
      <c r="F676" s="15"/>
      <c r="G676" s="15"/>
      <c r="H676" s="50">
        <f t="shared" si="71"/>
        <v>0</v>
      </c>
      <c r="I676" s="60">
        <f t="shared" si="77"/>
        <v>139000</v>
      </c>
      <c r="J676" s="57"/>
      <c r="K676" s="49"/>
      <c r="L676" s="6" t="s">
        <v>328</v>
      </c>
      <c r="M676" s="6"/>
    </row>
    <row r="677" spans="1:13" x14ac:dyDescent="0.35">
      <c r="A677" s="65" t="s">
        <v>292</v>
      </c>
      <c r="B677" s="38"/>
      <c r="C677" s="65"/>
      <c r="D677" s="65" t="s">
        <v>344</v>
      </c>
      <c r="E677" s="15"/>
      <c r="F677" s="15">
        <v>114825.94</v>
      </c>
      <c r="G677" s="15"/>
      <c r="H677" s="50">
        <f t="shared" si="71"/>
        <v>114825.94</v>
      </c>
      <c r="I677" s="60">
        <f t="shared" si="77"/>
        <v>-114825.94</v>
      </c>
      <c r="J677" s="57"/>
      <c r="K677" s="49"/>
      <c r="L677" s="6" t="s">
        <v>328</v>
      </c>
      <c r="M677" s="6"/>
    </row>
    <row r="678" spans="1:13" x14ac:dyDescent="0.35">
      <c r="A678" s="65" t="s">
        <v>295</v>
      </c>
      <c r="B678" s="38"/>
      <c r="C678" s="65"/>
      <c r="D678" s="65" t="s">
        <v>334</v>
      </c>
      <c r="E678" s="15">
        <v>-29000</v>
      </c>
      <c r="F678" s="15"/>
      <c r="G678" s="15"/>
      <c r="H678" s="50">
        <f t="shared" si="71"/>
        <v>0</v>
      </c>
      <c r="I678" s="60">
        <f t="shared" si="77"/>
        <v>-29000</v>
      </c>
      <c r="J678" s="57"/>
      <c r="K678" s="49"/>
      <c r="L678" s="6" t="s">
        <v>328</v>
      </c>
      <c r="M678" s="6"/>
    </row>
    <row r="679" spans="1:13" x14ac:dyDescent="0.35">
      <c r="A679" s="65" t="s">
        <v>297</v>
      </c>
      <c r="B679" s="38"/>
      <c r="C679" s="65"/>
      <c r="D679" s="65" t="s">
        <v>334</v>
      </c>
      <c r="E679" s="15">
        <v>71659.839999999997</v>
      </c>
      <c r="F679" s="15"/>
      <c r="G679" s="15"/>
      <c r="H679" s="50">
        <f t="shared" si="71"/>
        <v>0</v>
      </c>
      <c r="I679" s="60">
        <f t="shared" si="77"/>
        <v>71659.839999999997</v>
      </c>
      <c r="J679" s="57"/>
      <c r="K679" s="49"/>
      <c r="L679" s="6" t="s">
        <v>328</v>
      </c>
      <c r="M679" s="6"/>
    </row>
    <row r="680" spans="1:13" x14ac:dyDescent="0.35">
      <c r="A680" s="65" t="s">
        <v>301</v>
      </c>
      <c r="B680" s="38"/>
      <c r="C680" s="65"/>
      <c r="D680" s="65" t="s">
        <v>334</v>
      </c>
      <c r="E680" s="15">
        <v>560644.25</v>
      </c>
      <c r="F680" s="15"/>
      <c r="G680" s="15"/>
      <c r="H680" s="50">
        <f t="shared" si="71"/>
        <v>0</v>
      </c>
      <c r="I680" s="60">
        <f t="shared" si="77"/>
        <v>560644.25</v>
      </c>
      <c r="J680" s="57"/>
      <c r="K680" s="49"/>
      <c r="L680" s="6" t="s">
        <v>328</v>
      </c>
      <c r="M680" s="6"/>
    </row>
    <row r="681" spans="1:13" x14ac:dyDescent="0.35">
      <c r="A681" s="65" t="s">
        <v>304</v>
      </c>
      <c r="B681" s="38"/>
      <c r="C681" s="65"/>
      <c r="D681" s="65" t="s">
        <v>334</v>
      </c>
      <c r="E681" s="15">
        <v>1174922</v>
      </c>
      <c r="F681" s="15"/>
      <c r="G681" s="15"/>
      <c r="H681" s="50">
        <f t="shared" si="71"/>
        <v>0</v>
      </c>
      <c r="I681" s="60">
        <f t="shared" si="77"/>
        <v>1174922</v>
      </c>
      <c r="J681" s="57"/>
      <c r="K681" s="49"/>
      <c r="L681" s="6" t="s">
        <v>328</v>
      </c>
      <c r="M681" s="6"/>
    </row>
    <row r="682" spans="1:13" x14ac:dyDescent="0.35">
      <c r="A682" s="65" t="s">
        <v>147</v>
      </c>
      <c r="B682" s="38"/>
      <c r="C682" s="65"/>
      <c r="D682" s="65" t="s">
        <v>334</v>
      </c>
      <c r="E682" s="15">
        <v>-19345249.989999998</v>
      </c>
      <c r="F682" s="15"/>
      <c r="G682" s="15"/>
      <c r="H682" s="50">
        <f t="shared" si="71"/>
        <v>0</v>
      </c>
      <c r="I682" s="60">
        <f t="shared" si="77"/>
        <v>-19345249.989999998</v>
      </c>
      <c r="J682" s="57"/>
      <c r="K682" s="49"/>
      <c r="L682" s="6" t="s">
        <v>328</v>
      </c>
      <c r="M682" s="6"/>
    </row>
    <row r="683" spans="1:13" x14ac:dyDescent="0.35">
      <c r="A683" s="65" t="s">
        <v>283</v>
      </c>
      <c r="B683" s="38"/>
      <c r="C683" s="65"/>
      <c r="D683" s="65" t="s">
        <v>330</v>
      </c>
      <c r="E683" s="15">
        <v>2852367</v>
      </c>
      <c r="F683" s="15"/>
      <c r="G683" s="15"/>
      <c r="H683" s="15"/>
      <c r="I683" s="47">
        <f>E683-H683</f>
        <v>2852367</v>
      </c>
      <c r="J683" s="57"/>
      <c r="K683" s="49"/>
      <c r="L683" s="6" t="s">
        <v>328</v>
      </c>
      <c r="M683" s="6"/>
    </row>
    <row r="684" spans="1:13" x14ac:dyDescent="0.35">
      <c r="A684" s="108" t="s">
        <v>147</v>
      </c>
      <c r="B684" s="23"/>
      <c r="D684" s="65" t="s">
        <v>330</v>
      </c>
      <c r="E684" s="15">
        <v>-2852367</v>
      </c>
      <c r="F684" s="15"/>
      <c r="G684" s="15"/>
      <c r="H684" s="15"/>
      <c r="I684" s="47">
        <f>E684-H684</f>
        <v>-2852367</v>
      </c>
      <c r="L684" s="6" t="s">
        <v>328</v>
      </c>
      <c r="M684" s="6"/>
    </row>
    <row r="685" spans="1:13" x14ac:dyDescent="0.35">
      <c r="A685" s="108" t="s">
        <v>284</v>
      </c>
      <c r="B685" s="23"/>
      <c r="D685" s="109" t="s">
        <v>330</v>
      </c>
      <c r="E685" s="15">
        <v>452647</v>
      </c>
      <c r="F685" s="15"/>
      <c r="G685" s="15"/>
      <c r="H685" s="15"/>
      <c r="I685" s="47">
        <f>E685-H685</f>
        <v>452647</v>
      </c>
      <c r="L685" s="6" t="s">
        <v>328</v>
      </c>
      <c r="M685" s="6"/>
    </row>
    <row r="686" spans="1:13" x14ac:dyDescent="0.35">
      <c r="A686" s="108" t="s">
        <v>284</v>
      </c>
      <c r="B686" s="23"/>
      <c r="D686" s="109" t="s">
        <v>330</v>
      </c>
      <c r="E686" s="15">
        <v>-452647</v>
      </c>
      <c r="F686" s="15"/>
      <c r="G686" s="15"/>
      <c r="H686" s="15"/>
      <c r="I686" s="47">
        <f>E686-H686</f>
        <v>-452647</v>
      </c>
      <c r="L686" s="6" t="s">
        <v>328</v>
      </c>
      <c r="M686" s="6"/>
    </row>
    <row r="687" spans="1:13" x14ac:dyDescent="0.35">
      <c r="D687" s="48"/>
    </row>
    <row r="688" spans="1:13" x14ac:dyDescent="0.35">
      <c r="D688" s="48"/>
      <c r="H688" s="43"/>
    </row>
    <row r="689" spans="2:14" x14ac:dyDescent="0.35">
      <c r="C689" s="48"/>
      <c r="D689" s="48"/>
    </row>
    <row r="690" spans="2:14" x14ac:dyDescent="0.35">
      <c r="D690" s="7"/>
      <c r="F690" s="48"/>
    </row>
    <row r="691" spans="2:14" x14ac:dyDescent="0.35">
      <c r="D691" s="48"/>
      <c r="F691" s="48"/>
      <c r="J691" s="1"/>
      <c r="K691" s="48"/>
      <c r="L691" s="1"/>
      <c r="M691" s="1"/>
      <c r="N691" s="1"/>
    </row>
    <row r="692" spans="2:14" x14ac:dyDescent="0.35">
      <c r="B692" s="48"/>
      <c r="D692" s="48"/>
      <c r="F692" s="48"/>
      <c r="G692" s="55"/>
      <c r="I692" s="48"/>
      <c r="J692" s="48"/>
      <c r="K692" s="48"/>
      <c r="L692" s="48"/>
      <c r="M692" s="48"/>
      <c r="N692" s="48"/>
    </row>
    <row r="693" spans="2:14" x14ac:dyDescent="0.35">
      <c r="D693" s="48"/>
      <c r="F693" s="48"/>
      <c r="I693" s="48"/>
      <c r="J693" s="48"/>
      <c r="K693" s="48"/>
      <c r="L693" s="48"/>
      <c r="M693" s="48"/>
      <c r="N693" s="48"/>
    </row>
    <row r="694" spans="2:14" x14ac:dyDescent="0.35">
      <c r="D694" s="48"/>
      <c r="F694" s="48"/>
      <c r="I694" s="43"/>
      <c r="J694" s="48"/>
      <c r="K694" s="48"/>
      <c r="L694" s="48"/>
      <c r="M694" s="48"/>
      <c r="N694" s="48"/>
    </row>
    <row r="695" spans="2:14" x14ac:dyDescent="0.35">
      <c r="D695" s="48"/>
      <c r="F695" s="48"/>
      <c r="I695" s="48"/>
      <c r="J695" s="67"/>
      <c r="K695" s="48"/>
      <c r="L695" s="48"/>
      <c r="M695" s="48"/>
      <c r="N695" s="48"/>
    </row>
    <row r="696" spans="2:14" x14ac:dyDescent="0.35">
      <c r="D696" s="48"/>
      <c r="F696" s="48"/>
      <c r="I696" s="48"/>
      <c r="J696" s="48"/>
      <c r="K696" s="48"/>
      <c r="L696" s="48"/>
      <c r="M696" s="48"/>
      <c r="N696" s="48"/>
    </row>
    <row r="697" spans="2:14" x14ac:dyDescent="0.35">
      <c r="D697" s="48"/>
      <c r="F697" s="48"/>
      <c r="I697" s="48"/>
      <c r="J697" s="48"/>
      <c r="K697" s="48"/>
      <c r="L697" s="48"/>
      <c r="M697" s="48"/>
      <c r="N697" s="48"/>
    </row>
    <row r="698" spans="2:14" x14ac:dyDescent="0.35">
      <c r="D698" s="48"/>
      <c r="F698" s="48"/>
      <c r="I698" s="48"/>
      <c r="J698" s="48"/>
      <c r="K698" s="48"/>
      <c r="L698" s="48"/>
      <c r="M698" s="48"/>
      <c r="N698" s="48"/>
    </row>
    <row r="699" spans="2:14" x14ac:dyDescent="0.35">
      <c r="D699" s="48"/>
      <c r="F699" s="48"/>
      <c r="I699" s="48"/>
      <c r="J699" s="48"/>
      <c r="K699" s="48"/>
      <c r="L699" s="48"/>
      <c r="M699" s="48"/>
    </row>
    <row r="700" spans="2:14" x14ac:dyDescent="0.35">
      <c r="D700" s="48"/>
      <c r="F700" s="48"/>
      <c r="I700" s="48"/>
      <c r="J700" s="48"/>
      <c r="K700" s="48"/>
      <c r="L700" s="48"/>
      <c r="M700" s="48"/>
    </row>
    <row r="701" spans="2:14" x14ac:dyDescent="0.35">
      <c r="D701" s="48"/>
      <c r="F701" s="48"/>
      <c r="I701" s="48"/>
      <c r="J701" s="48"/>
      <c r="K701" s="48"/>
      <c r="L701" s="48"/>
      <c r="M701" s="48"/>
    </row>
    <row r="702" spans="2:14" x14ac:dyDescent="0.35">
      <c r="D702" s="48"/>
      <c r="F702" s="48"/>
      <c r="I702" s="48"/>
      <c r="J702" s="48"/>
      <c r="K702" s="48"/>
      <c r="L702" s="48"/>
      <c r="M702" s="48"/>
    </row>
    <row r="703" spans="2:14" x14ac:dyDescent="0.35">
      <c r="D703" s="48"/>
      <c r="F703" s="48"/>
      <c r="I703" s="48"/>
      <c r="J703" s="48"/>
      <c r="K703" s="48"/>
      <c r="L703" s="48"/>
      <c r="M703" s="48"/>
    </row>
    <row r="704" spans="2:14" x14ac:dyDescent="0.35">
      <c r="D704" s="48"/>
      <c r="F704" s="48"/>
      <c r="I704" s="48"/>
      <c r="J704" s="48"/>
      <c r="K704" s="48"/>
      <c r="L704" s="48"/>
      <c r="M704" s="48"/>
    </row>
    <row r="705" spans="4:13" x14ac:dyDescent="0.35">
      <c r="D705" s="48"/>
      <c r="F705" s="48"/>
      <c r="I705" s="48"/>
      <c r="J705" s="48"/>
      <c r="K705" s="48"/>
      <c r="L705" s="48"/>
      <c r="M705" s="48"/>
    </row>
    <row r="706" spans="4:13" x14ac:dyDescent="0.35">
      <c r="D706" s="48"/>
      <c r="I706" s="48"/>
      <c r="J706" s="48"/>
      <c r="K706" s="48"/>
      <c r="L706" s="48"/>
      <c r="M706" s="48"/>
    </row>
    <row r="707" spans="4:13" x14ac:dyDescent="0.35">
      <c r="D707" s="48"/>
      <c r="I707" s="48"/>
      <c r="J707" s="48"/>
      <c r="K707" s="48"/>
      <c r="L707" s="48"/>
    </row>
    <row r="708" spans="4:13" x14ac:dyDescent="0.35">
      <c r="I708" s="48"/>
      <c r="J708" s="48"/>
      <c r="K708" s="48"/>
      <c r="L708" s="48"/>
      <c r="M708" s="48"/>
    </row>
    <row r="709" spans="4:13" x14ac:dyDescent="0.35">
      <c r="I709" s="48"/>
      <c r="J709" s="48"/>
      <c r="K709" s="48"/>
      <c r="L709" s="48"/>
    </row>
    <row r="710" spans="4:13" x14ac:dyDescent="0.35">
      <c r="D710" s="48"/>
      <c r="J710" s="48"/>
      <c r="K710" s="48"/>
      <c r="L710" s="48"/>
    </row>
    <row r="711" spans="4:13" x14ac:dyDescent="0.35">
      <c r="D711" s="48"/>
      <c r="J711" s="48"/>
      <c r="K711" s="48"/>
      <c r="L711" s="48"/>
    </row>
    <row r="712" spans="4:13" x14ac:dyDescent="0.35">
      <c r="D712" s="48"/>
      <c r="J712" s="48"/>
      <c r="K712" s="48"/>
      <c r="L712" s="48"/>
    </row>
    <row r="713" spans="4:13" x14ac:dyDescent="0.35">
      <c r="D713" s="48"/>
      <c r="J713" s="48"/>
      <c r="K713" s="48"/>
      <c r="L713" s="48"/>
    </row>
    <row r="714" spans="4:13" x14ac:dyDescent="0.35">
      <c r="D714" s="48"/>
      <c r="J714" s="48"/>
      <c r="K714" s="48"/>
      <c r="L714" s="48"/>
    </row>
    <row r="715" spans="4:13" x14ac:dyDescent="0.35">
      <c r="D715" s="48"/>
      <c r="J715" s="48"/>
      <c r="K715" s="48"/>
      <c r="L715" s="48"/>
    </row>
    <row r="716" spans="4:13" x14ac:dyDescent="0.35">
      <c r="D716" s="48"/>
      <c r="J716" s="48"/>
      <c r="K716" s="48"/>
      <c r="L716" s="48"/>
    </row>
    <row r="717" spans="4:13" x14ac:dyDescent="0.35">
      <c r="D717" s="48"/>
      <c r="J717" s="48"/>
      <c r="K717" s="48"/>
      <c r="L717" s="48"/>
    </row>
    <row r="718" spans="4:13" x14ac:dyDescent="0.35">
      <c r="D718" s="48"/>
      <c r="J718" s="48"/>
      <c r="K718" s="48"/>
      <c r="L718" s="48"/>
    </row>
    <row r="719" spans="4:13" x14ac:dyDescent="0.35">
      <c r="D719" s="48"/>
      <c r="J719" s="48"/>
      <c r="K719" s="48"/>
      <c r="L719" s="48"/>
    </row>
    <row r="720" spans="4:13" x14ac:dyDescent="0.35">
      <c r="D720" s="48"/>
      <c r="J720" s="48"/>
      <c r="K720" s="48"/>
      <c r="L720" s="48"/>
    </row>
    <row r="721" spans="4:12" x14ac:dyDescent="0.35">
      <c r="D721" s="48"/>
      <c r="J721" s="48"/>
      <c r="K721" s="48"/>
      <c r="L721" s="48"/>
    </row>
    <row r="722" spans="4:12" x14ac:dyDescent="0.35">
      <c r="D722" s="48"/>
      <c r="K722" s="48"/>
      <c r="L722" s="48"/>
    </row>
    <row r="723" spans="4:12" x14ac:dyDescent="0.35">
      <c r="D723" s="48"/>
      <c r="L723" s="48"/>
    </row>
    <row r="724" spans="4:12" x14ac:dyDescent="0.35">
      <c r="D724" s="48"/>
      <c r="J724" s="48"/>
      <c r="K724" s="48"/>
      <c r="L724" s="48"/>
    </row>
    <row r="725" spans="4:12" x14ac:dyDescent="0.35">
      <c r="D725" s="48"/>
      <c r="L725" s="48"/>
    </row>
    <row r="726" spans="4:12" x14ac:dyDescent="0.35">
      <c r="D726" s="48"/>
      <c r="L726" s="48"/>
    </row>
    <row r="727" spans="4:12" x14ac:dyDescent="0.35">
      <c r="D727" s="48"/>
      <c r="L727" s="48"/>
    </row>
    <row r="728" spans="4:12" x14ac:dyDescent="0.35">
      <c r="D728" s="48"/>
      <c r="L728" s="48"/>
    </row>
    <row r="729" spans="4:12" x14ac:dyDescent="0.35">
      <c r="D729" s="48"/>
      <c r="L729" s="48"/>
    </row>
    <row r="730" spans="4:12" x14ac:dyDescent="0.35">
      <c r="D730" s="48"/>
      <c r="L730" s="48"/>
    </row>
    <row r="731" spans="4:12" x14ac:dyDescent="0.35">
      <c r="D731" s="48"/>
      <c r="L731" s="48"/>
    </row>
    <row r="732" spans="4:12" x14ac:dyDescent="0.35">
      <c r="D732" s="48"/>
      <c r="L732" s="48"/>
    </row>
    <row r="733" spans="4:12" x14ac:dyDescent="0.35">
      <c r="D733" s="48"/>
      <c r="L733" s="48"/>
    </row>
    <row r="734" spans="4:12" x14ac:dyDescent="0.35">
      <c r="D734" s="48"/>
      <c r="L734" s="48"/>
    </row>
    <row r="735" spans="4:12" x14ac:dyDescent="0.35">
      <c r="D735" s="48"/>
      <c r="L735" s="48"/>
    </row>
    <row r="736" spans="4:12" x14ac:dyDescent="0.35">
      <c r="D736" s="48"/>
      <c r="L736" s="48"/>
    </row>
    <row r="737" spans="4:12" x14ac:dyDescent="0.35">
      <c r="D737" s="48"/>
      <c r="L737" s="48"/>
    </row>
    <row r="738" spans="4:12" x14ac:dyDescent="0.35">
      <c r="D738" s="48"/>
      <c r="L738" s="48"/>
    </row>
    <row r="739" spans="4:12" x14ac:dyDescent="0.35">
      <c r="D739" s="48"/>
      <c r="L739" s="48"/>
    </row>
    <row r="740" spans="4:12" x14ac:dyDescent="0.35">
      <c r="D740" s="48"/>
      <c r="L740" s="48"/>
    </row>
    <row r="741" spans="4:12" x14ac:dyDescent="0.35">
      <c r="D741" s="48"/>
      <c r="L741" s="48"/>
    </row>
    <row r="742" spans="4:12" x14ac:dyDescent="0.35">
      <c r="D742" s="48"/>
      <c r="L742" s="48"/>
    </row>
    <row r="743" spans="4:12" x14ac:dyDescent="0.35">
      <c r="D743" s="48"/>
      <c r="L743" s="48"/>
    </row>
    <row r="744" spans="4:12" x14ac:dyDescent="0.35">
      <c r="D744" s="48"/>
      <c r="L744" s="48"/>
    </row>
    <row r="745" spans="4:12" x14ac:dyDescent="0.35">
      <c r="D745" s="48"/>
      <c r="L745" s="48"/>
    </row>
    <row r="746" spans="4:12" x14ac:dyDescent="0.35">
      <c r="D746" s="48"/>
      <c r="L746" s="48"/>
    </row>
    <row r="747" spans="4:12" x14ac:dyDescent="0.35">
      <c r="D747" s="48"/>
      <c r="L747" s="48"/>
    </row>
    <row r="748" spans="4:12" x14ac:dyDescent="0.35">
      <c r="D748" s="48"/>
      <c r="L748" s="48"/>
    </row>
    <row r="749" spans="4:12" x14ac:dyDescent="0.35">
      <c r="D749" s="48"/>
      <c r="L749" s="48"/>
    </row>
    <row r="750" spans="4:12" x14ac:dyDescent="0.35">
      <c r="D750" s="48"/>
      <c r="L750" s="48"/>
    </row>
    <row r="751" spans="4:12" x14ac:dyDescent="0.35">
      <c r="L751" s="48"/>
    </row>
    <row r="752" spans="4:12" x14ac:dyDescent="0.35">
      <c r="L752" s="48"/>
    </row>
    <row r="753" spans="12:12" x14ac:dyDescent="0.35">
      <c r="L753" s="48"/>
    </row>
    <row r="754" spans="12:12" x14ac:dyDescent="0.35">
      <c r="L754" s="48"/>
    </row>
    <row r="755" spans="12:12" x14ac:dyDescent="0.35">
      <c r="L755" s="48"/>
    </row>
    <row r="756" spans="12:12" x14ac:dyDescent="0.35">
      <c r="L756" s="48"/>
    </row>
    <row r="757" spans="12:12" x14ac:dyDescent="0.35">
      <c r="L757" s="48"/>
    </row>
    <row r="758" spans="12:12" x14ac:dyDescent="0.35">
      <c r="L758" s="48"/>
    </row>
    <row r="759" spans="12:12" x14ac:dyDescent="0.35">
      <c r="L759" s="48"/>
    </row>
    <row r="760" spans="12:12" x14ac:dyDescent="0.35">
      <c r="L760" s="48"/>
    </row>
    <row r="761" spans="12:12" x14ac:dyDescent="0.35">
      <c r="L761" s="48"/>
    </row>
    <row r="762" spans="12:12" x14ac:dyDescent="0.35">
      <c r="L762" s="48"/>
    </row>
    <row r="763" spans="12:12" x14ac:dyDescent="0.35">
      <c r="L763" s="48"/>
    </row>
    <row r="764" spans="12:12" x14ac:dyDescent="0.35">
      <c r="L764" s="48"/>
    </row>
    <row r="765" spans="12:12" x14ac:dyDescent="0.35">
      <c r="L765" s="48"/>
    </row>
    <row r="766" spans="12:12" x14ac:dyDescent="0.35">
      <c r="L766" s="48"/>
    </row>
    <row r="767" spans="12:12" x14ac:dyDescent="0.35">
      <c r="L767" s="48"/>
    </row>
    <row r="772" spans="12:12" x14ac:dyDescent="0.35">
      <c r="L772" s="48"/>
    </row>
  </sheetData>
  <conditionalFormatting sqref="J643:J656 J2:J60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A8" sqref="A8:A9"/>
    </sheetView>
  </sheetViews>
  <sheetFormatPr baseColWidth="10" defaultColWidth="8.7265625" defaultRowHeight="14.5" x14ac:dyDescent="0.35"/>
  <cols>
    <col min="1" max="1" width="13.26953125" customWidth="1"/>
    <col min="2" max="2" width="18.26953125" customWidth="1"/>
    <col min="3" max="3" width="14.7265625" bestFit="1" customWidth="1"/>
    <col min="4" max="4" width="12" customWidth="1"/>
    <col min="7" max="7" width="23.26953125" bestFit="1" customWidth="1"/>
    <col min="8" max="8" width="15.453125" customWidth="1"/>
    <col min="9" max="9" width="18.54296875" customWidth="1"/>
  </cols>
  <sheetData>
    <row r="1" spans="1:9" x14ac:dyDescent="0.35">
      <c r="A1" t="s">
        <v>306</v>
      </c>
      <c r="B1" t="s">
        <v>307</v>
      </c>
      <c r="C1" t="s">
        <v>308</v>
      </c>
      <c r="D1" t="s">
        <v>309</v>
      </c>
      <c r="G1" s="67"/>
      <c r="H1" s="67"/>
    </row>
    <row r="2" spans="1:9" x14ac:dyDescent="0.35">
      <c r="A2" t="s">
        <v>310</v>
      </c>
      <c r="B2" s="40">
        <v>51536510.600000001</v>
      </c>
      <c r="C2" s="67">
        <f>21993145+12513921.21</f>
        <v>34507066.210000001</v>
      </c>
      <c r="D2" s="4">
        <f t="shared" ref="D2:D12" si="0">+C2/B2</f>
        <v>0.66956543639180721</v>
      </c>
      <c r="F2" s="106"/>
      <c r="G2" s="67"/>
      <c r="I2" s="43"/>
    </row>
    <row r="3" spans="1:9" x14ac:dyDescent="0.35">
      <c r="A3" t="s">
        <v>311</v>
      </c>
      <c r="B3" s="41">
        <v>120966634</v>
      </c>
      <c r="C3" s="67">
        <f>36865460.62+12513921.21</f>
        <v>49379381.829999998</v>
      </c>
      <c r="D3" s="4">
        <f t="shared" si="0"/>
        <v>0.4082066285319636</v>
      </c>
      <c r="G3" s="67"/>
      <c r="I3" s="43"/>
    </row>
    <row r="4" spans="1:9" x14ac:dyDescent="0.35">
      <c r="A4" t="s">
        <v>312</v>
      </c>
      <c r="B4" s="40">
        <v>154979070</v>
      </c>
      <c r="C4" s="67">
        <f>61638435.05+12513921.21</f>
        <v>74152356.25999999</v>
      </c>
      <c r="D4" s="4">
        <f t="shared" si="0"/>
        <v>0.47846690691846316</v>
      </c>
      <c r="G4" s="67"/>
      <c r="I4" s="43"/>
    </row>
    <row r="5" spans="1:9" x14ac:dyDescent="0.35">
      <c r="A5" t="s">
        <v>313</v>
      </c>
      <c r="B5" s="42">
        <v>83743950</v>
      </c>
      <c r="C5" s="67">
        <v>95296182.25</v>
      </c>
      <c r="D5" s="4">
        <f t="shared" si="0"/>
        <v>1.1379470666239173</v>
      </c>
      <c r="G5" s="67"/>
      <c r="I5" s="43"/>
    </row>
    <row r="6" spans="1:9" x14ac:dyDescent="0.35">
      <c r="A6" t="s">
        <v>314</v>
      </c>
      <c r="B6" s="42">
        <v>36377532.420000002</v>
      </c>
      <c r="C6" s="67">
        <v>61437120.039999999</v>
      </c>
      <c r="D6" s="4">
        <f t="shared" si="0"/>
        <v>1.6888754116324418</v>
      </c>
      <c r="G6" s="67"/>
      <c r="I6" s="43"/>
    </row>
    <row r="7" spans="1:9" x14ac:dyDescent="0.35">
      <c r="A7" t="s">
        <v>315</v>
      </c>
      <c r="B7" s="40">
        <v>124271038</v>
      </c>
      <c r="C7" s="67">
        <v>48919726</v>
      </c>
      <c r="D7" s="4">
        <f t="shared" si="0"/>
        <v>0.39365347539786383</v>
      </c>
      <c r="G7" s="67"/>
      <c r="I7" s="43"/>
    </row>
    <row r="8" spans="1:9" x14ac:dyDescent="0.35">
      <c r="A8" t="s">
        <v>316</v>
      </c>
      <c r="B8" s="40">
        <v>34473720</v>
      </c>
      <c r="C8" s="67">
        <v>618204</v>
      </c>
      <c r="D8" s="4">
        <f t="shared" si="0"/>
        <v>1.7932616497436309E-2</v>
      </c>
      <c r="G8" s="67"/>
      <c r="I8" s="43"/>
    </row>
    <row r="9" spans="1:9" x14ac:dyDescent="0.35">
      <c r="A9" t="s">
        <v>317</v>
      </c>
      <c r="B9" s="41">
        <v>104633000</v>
      </c>
      <c r="C9" s="67">
        <v>18900</v>
      </c>
      <c r="D9" s="4">
        <f t="shared" si="0"/>
        <v>1.8063134957422609E-4</v>
      </c>
      <c r="G9" s="67"/>
      <c r="I9" s="43"/>
    </row>
    <row r="10" spans="1:9" x14ac:dyDescent="0.35">
      <c r="A10" t="s">
        <v>318</v>
      </c>
      <c r="B10" s="40">
        <v>7672000</v>
      </c>
      <c r="C10" s="1"/>
      <c r="D10" s="4">
        <f t="shared" si="0"/>
        <v>0</v>
      </c>
      <c r="G10" s="67"/>
      <c r="H10" s="67"/>
      <c r="I10" s="43"/>
    </row>
    <row r="11" spans="1:9" x14ac:dyDescent="0.35">
      <c r="A11" t="s">
        <v>319</v>
      </c>
      <c r="B11" s="40">
        <v>71532000</v>
      </c>
      <c r="C11" s="1"/>
      <c r="D11" s="4">
        <f t="shared" si="0"/>
        <v>0</v>
      </c>
      <c r="G11" s="67"/>
      <c r="H11" s="67"/>
    </row>
    <row r="12" spans="1:9" x14ac:dyDescent="0.35">
      <c r="A12" t="s">
        <v>320</v>
      </c>
      <c r="B12" s="40">
        <v>7756000</v>
      </c>
      <c r="C12" s="1"/>
      <c r="D12" s="4">
        <f t="shared" si="0"/>
        <v>0</v>
      </c>
      <c r="G12" s="67"/>
      <c r="H12" s="48"/>
    </row>
    <row r="14" spans="1:9" x14ac:dyDescent="0.35">
      <c r="G14" s="81"/>
      <c r="H14" s="100"/>
    </row>
    <row r="15" spans="1:9" x14ac:dyDescent="0.35">
      <c r="G15" s="67"/>
      <c r="H15" s="67"/>
    </row>
    <row r="17" spans="1:9" x14ac:dyDescent="0.35">
      <c r="I17" s="67"/>
    </row>
    <row r="18" spans="1:9" x14ac:dyDescent="0.35">
      <c r="A18" s="101"/>
      <c r="B18" s="102"/>
      <c r="C18" s="67"/>
      <c r="D18" s="44"/>
      <c r="G18" s="67"/>
    </row>
    <row r="19" spans="1:9" x14ac:dyDescent="0.35">
      <c r="A19" s="101"/>
      <c r="B19" s="103"/>
      <c r="C19" s="67"/>
      <c r="D19" s="44"/>
      <c r="F19" s="106"/>
    </row>
    <row r="20" spans="1:9" x14ac:dyDescent="0.35">
      <c r="A20" s="101"/>
      <c r="B20" s="102"/>
      <c r="C20" s="67"/>
      <c r="D20" s="44"/>
      <c r="I20" s="67"/>
    </row>
    <row r="21" spans="1:9" x14ac:dyDescent="0.35">
      <c r="A21" s="101"/>
      <c r="B21" s="104"/>
      <c r="C21" s="67"/>
      <c r="D21" s="44"/>
      <c r="F21" s="106"/>
    </row>
    <row r="22" spans="1:9" x14ac:dyDescent="0.35">
      <c r="A22" s="101"/>
      <c r="B22" s="104"/>
      <c r="C22" s="67"/>
      <c r="D22" s="44"/>
    </row>
    <row r="23" spans="1:9" x14ac:dyDescent="0.35">
      <c r="A23" s="101"/>
      <c r="B23" s="105"/>
      <c r="C23" s="67"/>
      <c r="D23" s="44"/>
    </row>
    <row r="24" spans="1:9" x14ac:dyDescent="0.35">
      <c r="B24" s="102"/>
    </row>
    <row r="25" spans="1:9" x14ac:dyDescent="0.35">
      <c r="B25" s="103"/>
    </row>
    <row r="26" spans="1:9" x14ac:dyDescent="0.35">
      <c r="B26" s="102"/>
    </row>
    <row r="27" spans="1:9" x14ac:dyDescent="0.35">
      <c r="B27" s="105"/>
    </row>
    <row r="28" spans="1:9" x14ac:dyDescent="0.35">
      <c r="B28" s="102"/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6c6c803-0d12-4084-96d3-26b73f9b324d}" enabled="1" method="Privileged" siteId="{a67e2ede-b825-48b9-bbe8-1250eedec66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Acción</vt:lpstr>
      <vt:lpstr>Detalle Centro-Supra</vt:lpstr>
      <vt:lpstr>Ejecucion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 Peguero Reynoso</dc:creator>
  <cp:lastModifiedBy>Analia Peguero Reynoso</cp:lastModifiedBy>
  <dcterms:created xsi:type="dcterms:W3CDTF">2026-08-28T02:45:14Z</dcterms:created>
  <dcterms:modified xsi:type="dcterms:W3CDTF">2026-09-10T13:28:47Z</dcterms:modified>
</cp:coreProperties>
</file>