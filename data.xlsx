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gruporamos.sharepoint.com/sites/ComprayControldeActivos/Ger_Compras_Activos_Fijos/Equipo_Compras_de_Activos/AA - Analía Peguero/"/>
    </mc:Choice>
  </mc:AlternateContent>
  <xr:revisionPtr revIDLastSave="0" documentId="8_{6821073E-19F1-4308-A41B-5DE4CC4EB1E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lan de Acción" sheetId="12" r:id="rId1"/>
    <sheet name="Detalle Centro-Supra" sheetId="4" r:id="rId2"/>
    <sheet name="SAP" sheetId="16" r:id="rId3"/>
    <sheet name="Ejecucion mensual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35" i="4" l="1"/>
  <c r="I735" i="4" s="1"/>
  <c r="H654" i="4"/>
  <c r="I654" i="4" s="1"/>
  <c r="H630" i="4"/>
  <c r="I630" i="4" s="1"/>
  <c r="H550" i="4"/>
  <c r="I550" i="4" s="1"/>
  <c r="H401" i="4"/>
  <c r="J401" i="4" s="1"/>
  <c r="K401" i="4" s="1"/>
  <c r="H235" i="4"/>
  <c r="I235" i="4" s="1"/>
  <c r="H198" i="4"/>
  <c r="I198" i="4" s="1"/>
  <c r="H68" i="4"/>
  <c r="I68" i="4" s="1"/>
  <c r="H77" i="4"/>
  <c r="J77" i="4" s="1"/>
  <c r="H76" i="4"/>
  <c r="I76" i="4" s="1"/>
  <c r="H75" i="4"/>
  <c r="I75" i="4" s="1"/>
  <c r="H246" i="4"/>
  <c r="I246" i="4" s="1"/>
  <c r="H626" i="4"/>
  <c r="I626" i="4" s="1"/>
  <c r="H305" i="4"/>
  <c r="I305" i="4" s="1"/>
  <c r="H226" i="4"/>
  <c r="J226" i="4" s="1"/>
  <c r="H132" i="4"/>
  <c r="I132" i="4" s="1"/>
  <c r="H734" i="4"/>
  <c r="I734" i="4" s="1"/>
  <c r="H733" i="4"/>
  <c r="I733" i="4" s="1"/>
  <c r="H732" i="4"/>
  <c r="I732" i="4" s="1"/>
  <c r="H676" i="4"/>
  <c r="I676" i="4" s="1"/>
  <c r="H504" i="4"/>
  <c r="I504" i="4" s="1"/>
  <c r="H503" i="4"/>
  <c r="I503" i="4" s="1"/>
  <c r="H533" i="4"/>
  <c r="J533" i="4" s="1"/>
  <c r="H532" i="4"/>
  <c r="I532" i="4" s="1"/>
  <c r="H495" i="4"/>
  <c r="I495" i="4" s="1"/>
  <c r="H494" i="4"/>
  <c r="I494" i="4" s="1"/>
  <c r="H99" i="4"/>
  <c r="I99" i="4" s="1"/>
  <c r="H727" i="4"/>
  <c r="I727" i="4" s="1"/>
  <c r="H726" i="4"/>
  <c r="I726" i="4" s="1"/>
  <c r="H731" i="4"/>
  <c r="J731" i="4" s="1"/>
  <c r="H725" i="4"/>
  <c r="I725" i="4" s="1"/>
  <c r="H639" i="4"/>
  <c r="I639" i="4" s="1"/>
  <c r="H663" i="4"/>
  <c r="I663" i="4" s="1"/>
  <c r="H634" i="4"/>
  <c r="I634" i="4" s="1"/>
  <c r="H637" i="4"/>
  <c r="J637" i="4" s="1"/>
  <c r="H633" i="4"/>
  <c r="I633" i="4" s="1"/>
  <c r="H632" i="4"/>
  <c r="I632" i="4" s="1"/>
  <c r="H370" i="4"/>
  <c r="I370" i="4" s="1"/>
  <c r="H531" i="4"/>
  <c r="I531" i="4" s="1"/>
  <c r="H514" i="4"/>
  <c r="I514" i="4" s="1"/>
  <c r="H513" i="4"/>
  <c r="I513" i="4" s="1"/>
  <c r="H397" i="4"/>
  <c r="I397" i="4" s="1"/>
  <c r="H487" i="4"/>
  <c r="I487" i="4" s="1"/>
  <c r="H507" i="4"/>
  <c r="I507" i="4" s="1"/>
  <c r="H486" i="4"/>
  <c r="I486" i="4" s="1"/>
  <c r="H343" i="4"/>
  <c r="I343" i="4" s="1"/>
  <c r="H334" i="4"/>
  <c r="I334" i="4" s="1"/>
  <c r="H350" i="4"/>
  <c r="I350" i="4" s="1"/>
  <c r="H225" i="4"/>
  <c r="I225" i="4" s="1"/>
  <c r="H121" i="4"/>
  <c r="I121" i="4" s="1"/>
  <c r="H224" i="4"/>
  <c r="I224" i="4" s="1"/>
  <c r="H222" i="4"/>
  <c r="I222" i="4" s="1"/>
  <c r="H91" i="4"/>
  <c r="I91" i="4" s="1"/>
  <c r="H90" i="4"/>
  <c r="I90" i="4" s="1"/>
  <c r="H66" i="4"/>
  <c r="I66" i="4" s="1"/>
  <c r="H65" i="4"/>
  <c r="I65" i="4" s="1"/>
  <c r="H631" i="4"/>
  <c r="I631" i="4" s="1"/>
  <c r="H53" i="4"/>
  <c r="I53" i="4" s="1"/>
  <c r="H298" i="4"/>
  <c r="I298" i="4" s="1"/>
  <c r="H736" i="4"/>
  <c r="I736" i="4" s="1"/>
  <c r="H209" i="4"/>
  <c r="I209" i="4" s="1"/>
  <c r="H208" i="4"/>
  <c r="I208" i="4" s="1"/>
  <c r="H719" i="4"/>
  <c r="I719" i="4" s="1"/>
  <c r="H655" i="4"/>
  <c r="I655" i="4" s="1"/>
  <c r="H690" i="4"/>
  <c r="I690" i="4" s="1"/>
  <c r="H729" i="4"/>
  <c r="I729" i="4" s="1"/>
  <c r="H122" i="4"/>
  <c r="I122" i="4" s="1"/>
  <c r="H297" i="4"/>
  <c r="I297" i="4" s="1"/>
  <c r="H87" i="4"/>
  <c r="I87" i="4" s="1"/>
  <c r="H103" i="4"/>
  <c r="I103" i="4" s="1"/>
  <c r="H204" i="4"/>
  <c r="I204" i="4" s="1"/>
  <c r="H131" i="4"/>
  <c r="I131" i="4" s="1"/>
  <c r="H396" i="4"/>
  <c r="I396" i="4" s="1"/>
  <c r="H544" i="4"/>
  <c r="I544" i="4" s="1"/>
  <c r="H45" i="4"/>
  <c r="I45" i="4" s="1"/>
  <c r="H285" i="4"/>
  <c r="I285" i="4" s="1"/>
  <c r="H179" i="4"/>
  <c r="I179" i="4" s="1"/>
  <c r="H640" i="4"/>
  <c r="I640" i="4" s="1"/>
  <c r="H159" i="4"/>
  <c r="I159" i="4" s="1"/>
  <c r="H545" i="4"/>
  <c r="I545" i="4" s="1"/>
  <c r="H368" i="4"/>
  <c r="I368" i="4" s="1"/>
  <c r="H543" i="4"/>
  <c r="I543" i="4" s="1"/>
  <c r="H44" i="4"/>
  <c r="I44" i="4" s="1"/>
  <c r="H78" i="4"/>
  <c r="I78" i="4" s="1"/>
  <c r="H94" i="4"/>
  <c r="I94" i="4" s="1"/>
  <c r="H653" i="4"/>
  <c r="I653" i="4" s="1"/>
  <c r="H267" i="4"/>
  <c r="I267" i="4" s="1"/>
  <c r="H542" i="4"/>
  <c r="I542" i="4" s="1"/>
  <c r="H254" i="4"/>
  <c r="I254" i="4" s="1"/>
  <c r="H635" i="4"/>
  <c r="I635" i="4" s="1"/>
  <c r="H100" i="4"/>
  <c r="I100" i="4" s="1"/>
  <c r="H200" i="4"/>
  <c r="J200" i="4" s="1"/>
  <c r="H433" i="4"/>
  <c r="I433" i="4" s="1"/>
  <c r="H42" i="4"/>
  <c r="I42" i="4" s="1"/>
  <c r="H38" i="4"/>
  <c r="I38" i="4" s="1"/>
  <c r="H98" i="4"/>
  <c r="H651" i="4"/>
  <c r="I651" i="4" s="1"/>
  <c r="H728" i="4"/>
  <c r="I728" i="4" s="1"/>
  <c r="H554" i="4"/>
  <c r="I554" i="4" s="1"/>
  <c r="H398" i="4"/>
  <c r="I398" i="4" s="1"/>
  <c r="H79" i="4"/>
  <c r="I79" i="4" s="1"/>
  <c r="H37" i="4"/>
  <c r="I37" i="4" s="1"/>
  <c r="H105" i="4"/>
  <c r="I105" i="4" s="1"/>
  <c r="H539" i="4"/>
  <c r="I539" i="4" s="1"/>
  <c r="H553" i="4"/>
  <c r="J553" i="4" s="1"/>
  <c r="H717" i="4"/>
  <c r="I717" i="4" s="1"/>
  <c r="H506" i="4"/>
  <c r="I506" i="4" s="1"/>
  <c r="H134" i="4"/>
  <c r="I134" i="4" s="1"/>
  <c r="H118" i="4"/>
  <c r="I118" i="4" s="1"/>
  <c r="H538" i="4"/>
  <c r="I538" i="4" s="1"/>
  <c r="H410" i="4"/>
  <c r="I410" i="4" s="1"/>
  <c r="H31" i="4"/>
  <c r="I31" i="4" s="1"/>
  <c r="H232" i="4"/>
  <c r="I232" i="4" s="1"/>
  <c r="H537" i="4"/>
  <c r="I537" i="4" s="1"/>
  <c r="H552" i="4"/>
  <c r="J552" i="4" s="1"/>
  <c r="H536" i="4"/>
  <c r="I536" i="4" s="1"/>
  <c r="H551" i="4"/>
  <c r="I551" i="4" s="1"/>
  <c r="I737" i="4"/>
  <c r="J737" i="4"/>
  <c r="K737" i="4"/>
  <c r="J735" i="4"/>
  <c r="K735" i="4" s="1"/>
  <c r="F638" i="4"/>
  <c r="K731" i="4"/>
  <c r="G638" i="4"/>
  <c r="K728" i="4"/>
  <c r="K635" i="4"/>
  <c r="G555" i="4"/>
  <c r="H555" i="4" s="1"/>
  <c r="I555" i="4" s="1"/>
  <c r="K637" i="4"/>
  <c r="K551" i="4"/>
  <c r="K553" i="4"/>
  <c r="K552" i="4"/>
  <c r="G534" i="4"/>
  <c r="H534" i="4" s="1"/>
  <c r="I534" i="4" s="1"/>
  <c r="K532" i="4"/>
  <c r="K531" i="4"/>
  <c r="F515" i="4"/>
  <c r="H515" i="4" s="1"/>
  <c r="F406" i="4"/>
  <c r="H406" i="4" s="1"/>
  <c r="I406" i="4" s="1"/>
  <c r="K515" i="4"/>
  <c r="G327" i="4"/>
  <c r="H327" i="4" s="1"/>
  <c r="I327" i="4" s="1"/>
  <c r="K350" i="4"/>
  <c r="F248" i="4"/>
  <c r="H248" i="4" s="1"/>
  <c r="I248" i="4" s="1"/>
  <c r="G24" i="4"/>
  <c r="F412" i="4"/>
  <c r="I730" i="4"/>
  <c r="J730" i="4"/>
  <c r="K730" i="4" s="1"/>
  <c r="G104" i="4"/>
  <c r="G110" i="4"/>
  <c r="H110" i="4" s="1"/>
  <c r="I110" i="4" s="1"/>
  <c r="K222" i="4"/>
  <c r="G109" i="4"/>
  <c r="H109" i="4" s="1"/>
  <c r="I109" i="4" s="1"/>
  <c r="K200" i="4"/>
  <c r="K224" i="4"/>
  <c r="J225" i="4"/>
  <c r="K225" i="4"/>
  <c r="K226" i="4"/>
  <c r="K77" i="4"/>
  <c r="F28" i="4"/>
  <c r="H28" i="4" s="1"/>
  <c r="I28" i="4" s="1"/>
  <c r="F32" i="4"/>
  <c r="H32" i="4" s="1"/>
  <c r="I32" i="4" s="1"/>
  <c r="K75" i="4"/>
  <c r="K76" i="4"/>
  <c r="F62" i="4"/>
  <c r="F26" i="4"/>
  <c r="F15" i="4"/>
  <c r="I614" i="4"/>
  <c r="J614" i="4"/>
  <c r="K614" i="4" s="1"/>
  <c r="I387" i="4"/>
  <c r="J387" i="4"/>
  <c r="K387" i="4" s="1"/>
  <c r="I574" i="4"/>
  <c r="J574" i="4"/>
  <c r="K574" i="4"/>
  <c r="I723" i="4"/>
  <c r="J723" i="4"/>
  <c r="K723" i="4"/>
  <c r="H146" i="4"/>
  <c r="H145" i="4"/>
  <c r="H144" i="4"/>
  <c r="F144" i="4"/>
  <c r="I657" i="4"/>
  <c r="J657" i="4"/>
  <c r="K657" i="4" s="1"/>
  <c r="H141" i="4"/>
  <c r="F139" i="4"/>
  <c r="H139" i="4" s="1"/>
  <c r="F317" i="4"/>
  <c r="H317" i="4" s="1"/>
  <c r="I136" i="4"/>
  <c r="J136" i="4"/>
  <c r="K136" i="4"/>
  <c r="I189" i="4"/>
  <c r="J189" i="4"/>
  <c r="K189" i="4"/>
  <c r="I700" i="4"/>
  <c r="J700" i="4"/>
  <c r="K700" i="4" s="1"/>
  <c r="I703" i="4"/>
  <c r="J703" i="4"/>
  <c r="K703" i="4" s="1"/>
  <c r="I692" i="4"/>
  <c r="J692" i="4"/>
  <c r="K692" i="4"/>
  <c r="G30" i="4"/>
  <c r="I201" i="4"/>
  <c r="J201" i="4"/>
  <c r="K201" i="4"/>
  <c r="G48" i="4"/>
  <c r="I330" i="4"/>
  <c r="J330" i="4"/>
  <c r="K330" i="4"/>
  <c r="K533" i="4"/>
  <c r="J305" i="4"/>
  <c r="K305" i="4" s="1"/>
  <c r="I244" i="4"/>
  <c r="J244" i="4"/>
  <c r="K244" i="4" s="1"/>
  <c r="I698" i="4"/>
  <c r="J698" i="4"/>
  <c r="K698" i="4" s="1"/>
  <c r="I712" i="4"/>
  <c r="J712" i="4"/>
  <c r="K712" i="4" s="1"/>
  <c r="G517" i="4"/>
  <c r="I704" i="4"/>
  <c r="J704" i="4"/>
  <c r="K704" i="4" s="1"/>
  <c r="F96" i="4"/>
  <c r="I195" i="4"/>
  <c r="J195" i="4"/>
  <c r="K195" i="4" s="1"/>
  <c r="K725" i="4"/>
  <c r="K127" i="4"/>
  <c r="K139" i="4"/>
  <c r="K140" i="4"/>
  <c r="K141" i="4"/>
  <c r="K144" i="4"/>
  <c r="K148" i="4"/>
  <c r="K151" i="4"/>
  <c r="K168" i="4"/>
  <c r="K171" i="4"/>
  <c r="K185" i="4"/>
  <c r="K190" i="4"/>
  <c r="K191" i="4"/>
  <c r="K197" i="4"/>
  <c r="K206" i="4"/>
  <c r="K207" i="4"/>
  <c r="K217" i="4"/>
  <c r="K717" i="4"/>
  <c r="K242" i="4"/>
  <c r="K258" i="4"/>
  <c r="K261" i="4"/>
  <c r="K312" i="4"/>
  <c r="K313" i="4"/>
  <c r="K321" i="4"/>
  <c r="K336" i="4"/>
  <c r="K340" i="4"/>
  <c r="K347" i="4"/>
  <c r="K734" i="4"/>
  <c r="K361" i="4"/>
  <c r="K719" i="4"/>
  <c r="K390" i="4"/>
  <c r="K405" i="4"/>
  <c r="K415" i="4"/>
  <c r="K438" i="4"/>
  <c r="K439" i="4"/>
  <c r="K465" i="4"/>
  <c r="K466" i="4"/>
  <c r="K467" i="4"/>
  <c r="K468" i="4"/>
  <c r="K469" i="4"/>
  <c r="K470" i="4"/>
  <c r="J471" i="4"/>
  <c r="K471" i="4"/>
  <c r="J472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65" i="4"/>
  <c r="K66" i="4"/>
  <c r="K488" i="4"/>
  <c r="K489" i="4"/>
  <c r="K490" i="4"/>
  <c r="K493" i="4"/>
  <c r="K90" i="4"/>
  <c r="K91" i="4"/>
  <c r="K496" i="4"/>
  <c r="K497" i="4"/>
  <c r="K498" i="4"/>
  <c r="K499" i="4"/>
  <c r="K500" i="4"/>
  <c r="K501" i="4"/>
  <c r="K502" i="4"/>
  <c r="K134" i="4"/>
  <c r="K179" i="4"/>
  <c r="K159" i="4"/>
  <c r="K508" i="4"/>
  <c r="K509" i="4"/>
  <c r="K510" i="4"/>
  <c r="K511" i="4"/>
  <c r="K327" i="4"/>
  <c r="K334" i="4"/>
  <c r="K343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410" i="4"/>
  <c r="K433" i="4"/>
  <c r="K486" i="4"/>
  <c r="K487" i="4"/>
  <c r="K494" i="4"/>
  <c r="K495" i="4"/>
  <c r="K503" i="4"/>
  <c r="K504" i="4"/>
  <c r="K545" i="4"/>
  <c r="K541" i="4"/>
  <c r="K632" i="4"/>
  <c r="K633" i="4"/>
  <c r="K634" i="4"/>
  <c r="K546" i="4"/>
  <c r="K547" i="4"/>
  <c r="K548" i="4"/>
  <c r="K549" i="4"/>
  <c r="K729" i="4"/>
  <c r="K732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9" i="4"/>
  <c r="K570" i="4"/>
  <c r="K391" i="4"/>
  <c r="K572" i="4"/>
  <c r="K573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46" i="4"/>
  <c r="K606" i="4"/>
  <c r="K607" i="4"/>
  <c r="K608" i="4"/>
  <c r="K609" i="4"/>
  <c r="K610" i="4"/>
  <c r="K611" i="4"/>
  <c r="K612" i="4"/>
  <c r="K618" i="4"/>
  <c r="K623" i="4"/>
  <c r="K624" i="4"/>
  <c r="K208" i="4"/>
  <c r="K627" i="4"/>
  <c r="K135" i="4"/>
  <c r="K505" i="4"/>
  <c r="K506" i="4"/>
  <c r="K507" i="4"/>
  <c r="K514" i="4"/>
  <c r="K534" i="4"/>
  <c r="K535" i="4"/>
  <c r="K636" i="4"/>
  <c r="K727" i="4"/>
  <c r="K733" i="4"/>
  <c r="K726" i="4"/>
  <c r="K641" i="4"/>
  <c r="K642" i="4"/>
  <c r="K643" i="4"/>
  <c r="K645" i="4"/>
  <c r="K628" i="4"/>
  <c r="K647" i="4"/>
  <c r="K648" i="4"/>
  <c r="K649" i="4"/>
  <c r="K650" i="4"/>
  <c r="K513" i="4"/>
  <c r="K652" i="4"/>
  <c r="K209" i="4"/>
  <c r="K204" i="4"/>
  <c r="K656" i="4"/>
  <c r="K664" i="4"/>
  <c r="K665" i="4"/>
  <c r="K669" i="4"/>
  <c r="K670" i="4"/>
  <c r="K675" i="4"/>
  <c r="K686" i="4"/>
  <c r="K687" i="4"/>
  <c r="K693" i="4"/>
  <c r="J701" i="4"/>
  <c r="K701" i="4" s="1"/>
  <c r="J705" i="4"/>
  <c r="K705" i="4" s="1"/>
  <c r="J709" i="4"/>
  <c r="K709" i="4" s="1"/>
  <c r="K14" i="4"/>
  <c r="K74" i="4"/>
  <c r="I716" i="4"/>
  <c r="G4" i="4"/>
  <c r="I403" i="4"/>
  <c r="H380" i="4"/>
  <c r="H192" i="4"/>
  <c r="H349" i="4"/>
  <c r="I349" i="4" s="1"/>
  <c r="H152" i="4"/>
  <c r="H102" i="4"/>
  <c r="H477" i="4"/>
  <c r="I477" i="4" s="1"/>
  <c r="H247" i="4"/>
  <c r="J247" i="4" s="1"/>
  <c r="K247" i="4" s="1"/>
  <c r="H170" i="4"/>
  <c r="J170" i="4" s="1"/>
  <c r="K170" i="4" s="1"/>
  <c r="H95" i="4"/>
  <c r="J95" i="4" s="1"/>
  <c r="K95" i="4" s="1"/>
  <c r="H5" i="4"/>
  <c r="J5" i="4" s="1"/>
  <c r="K5" i="4" s="1"/>
  <c r="F478" i="4"/>
  <c r="H478" i="4" s="1"/>
  <c r="J478" i="4" s="1"/>
  <c r="G478" i="4"/>
  <c r="G3" i="4"/>
  <c r="I186" i="4"/>
  <c r="I568" i="4"/>
  <c r="I709" i="4"/>
  <c r="I699" i="4"/>
  <c r="I705" i="4"/>
  <c r="I472" i="4"/>
  <c r="I471" i="4"/>
  <c r="I715" i="4"/>
  <c r="H238" i="4"/>
  <c r="I238" i="4" s="1"/>
  <c r="H215" i="4"/>
  <c r="J215" i="4" s="1"/>
  <c r="K215" i="4" s="1"/>
  <c r="I701" i="4"/>
  <c r="I720" i="4"/>
  <c r="H36" i="4"/>
  <c r="J36" i="4" s="1"/>
  <c r="K36" i="4" s="1"/>
  <c r="J630" i="4" l="1"/>
  <c r="K630" i="4" s="1"/>
  <c r="J224" i="4"/>
  <c r="H638" i="4"/>
  <c r="I638" i="4" s="1"/>
  <c r="J68" i="4"/>
  <c r="K68" i="4" s="1"/>
  <c r="J198" i="4"/>
  <c r="K198" i="4" s="1"/>
  <c r="J550" i="4"/>
  <c r="K550" i="4" s="1"/>
  <c r="J350" i="4"/>
  <c r="J532" i="4"/>
  <c r="I533" i="4"/>
  <c r="J235" i="4"/>
  <c r="K235" i="4" s="1"/>
  <c r="J222" i="4"/>
  <c r="I553" i="4"/>
  <c r="J531" i="4"/>
  <c r="J635" i="4"/>
  <c r="J654" i="4"/>
  <c r="K654" i="4" s="1"/>
  <c r="I552" i="4"/>
  <c r="I77" i="4"/>
  <c r="I637" i="4"/>
  <c r="I515" i="4"/>
  <c r="J515" i="4"/>
  <c r="I401" i="4"/>
  <c r="J75" i="4"/>
  <c r="I226" i="4"/>
  <c r="J728" i="4"/>
  <c r="I731" i="4"/>
  <c r="I200" i="4"/>
  <c r="J551" i="4"/>
  <c r="J76" i="4"/>
  <c r="J238" i="4"/>
  <c r="K238" i="4" s="1"/>
  <c r="J477" i="4"/>
  <c r="I192" i="4"/>
  <c r="I152" i="4"/>
  <c r="C4" i="10"/>
  <c r="D4" i="10" s="1"/>
  <c r="C3" i="10"/>
  <c r="C2" i="10"/>
  <c r="D2" i="10" s="1"/>
  <c r="D5" i="10"/>
  <c r="D6" i="10"/>
  <c r="D7" i="10"/>
  <c r="D8" i="10"/>
  <c r="D9" i="10"/>
  <c r="I102" i="4"/>
  <c r="H711" i="4"/>
  <c r="H702" i="4"/>
  <c r="H673" i="4"/>
  <c r="H621" i="4"/>
  <c r="H693" i="4"/>
  <c r="H710" i="4"/>
  <c r="H687" i="4"/>
  <c r="H686" i="4"/>
  <c r="H416" i="4"/>
  <c r="H721" i="4"/>
  <c r="H683" i="4"/>
  <c r="H722" i="4"/>
  <c r="H682" i="4"/>
  <c r="H675" i="4"/>
  <c r="H706" i="4"/>
  <c r="H718" i="4"/>
  <c r="H724" i="4"/>
  <c r="H688" i="4"/>
  <c r="H656" i="4"/>
  <c r="H652" i="4"/>
  <c r="H647" i="4"/>
  <c r="H414" i="4"/>
  <c r="H695" i="4"/>
  <c r="H629" i="4"/>
  <c r="H12" i="4"/>
  <c r="H13" i="4"/>
  <c r="H14" i="4"/>
  <c r="H11" i="4"/>
  <c r="H17" i="4"/>
  <c r="H62" i="4"/>
  <c r="H8" i="4"/>
  <c r="H15" i="4"/>
  <c r="H9" i="4"/>
  <c r="H20" i="4"/>
  <c r="H22" i="4"/>
  <c r="H399" i="4"/>
  <c r="H24" i="4"/>
  <c r="H25" i="4"/>
  <c r="H27" i="4"/>
  <c r="H29" i="4"/>
  <c r="H30" i="4"/>
  <c r="H512" i="4"/>
  <c r="H93" i="4"/>
  <c r="H35" i="4"/>
  <c r="I36" i="4"/>
  <c r="H39" i="4"/>
  <c r="H40" i="4"/>
  <c r="H41" i="4"/>
  <c r="H43" i="4"/>
  <c r="H46" i="4"/>
  <c r="H47" i="4"/>
  <c r="H48" i="4"/>
  <c r="H49" i="4"/>
  <c r="H50" i="4"/>
  <c r="H51" i="4"/>
  <c r="H52" i="4"/>
  <c r="J52" i="4" s="1"/>
  <c r="K52" i="4" s="1"/>
  <c r="H54" i="4"/>
  <c r="H55" i="4"/>
  <c r="H57" i="4"/>
  <c r="H58" i="4"/>
  <c r="H59" i="4"/>
  <c r="H60" i="4"/>
  <c r="H61" i="4"/>
  <c r="H34" i="4"/>
  <c r="H63" i="4"/>
  <c r="H64" i="4"/>
  <c r="H67" i="4"/>
  <c r="H69" i="4"/>
  <c r="H70" i="4"/>
  <c r="H71" i="4"/>
  <c r="H72" i="4"/>
  <c r="H73" i="4"/>
  <c r="H74" i="4"/>
  <c r="H80" i="4"/>
  <c r="H81" i="4"/>
  <c r="H82" i="4"/>
  <c r="H83" i="4"/>
  <c r="H84" i="4"/>
  <c r="H85" i="4"/>
  <c r="H16" i="4"/>
  <c r="J16" i="4" s="1"/>
  <c r="K16" i="4" s="1"/>
  <c r="H18" i="4"/>
  <c r="H19" i="4"/>
  <c r="H23" i="4"/>
  <c r="H26" i="4"/>
  <c r="H86" i="4"/>
  <c r="H88" i="4"/>
  <c r="H89" i="4"/>
  <c r="H101" i="4"/>
  <c r="H713" i="4"/>
  <c r="H106" i="4"/>
  <c r="H107" i="4"/>
  <c r="H137" i="4"/>
  <c r="H92" i="4"/>
  <c r="H111" i="4"/>
  <c r="H112" i="4"/>
  <c r="H114" i="4"/>
  <c r="H115" i="4"/>
  <c r="H116" i="4"/>
  <c r="H117" i="4"/>
  <c r="H120" i="4"/>
  <c r="H104" i="4"/>
  <c r="H123" i="4"/>
  <c r="H124" i="4"/>
  <c r="H125" i="4"/>
  <c r="H126" i="4"/>
  <c r="H127" i="4"/>
  <c r="H128" i="4"/>
  <c r="H129" i="4"/>
  <c r="H130" i="4"/>
  <c r="I95" i="4"/>
  <c r="H138" i="4"/>
  <c r="H140" i="4"/>
  <c r="H142" i="4"/>
  <c r="H143" i="4"/>
  <c r="H147" i="4"/>
  <c r="H148" i="4"/>
  <c r="H150" i="4"/>
  <c r="H151" i="4"/>
  <c r="H437" i="4"/>
  <c r="H153" i="4"/>
  <c r="H154" i="4"/>
  <c r="H155" i="4"/>
  <c r="H156" i="4"/>
  <c r="H157" i="4"/>
  <c r="H158" i="4"/>
  <c r="H160" i="4"/>
  <c r="H161" i="4"/>
  <c r="H163" i="4"/>
  <c r="H164" i="4"/>
  <c r="H165" i="4"/>
  <c r="H166" i="4"/>
  <c r="H167" i="4"/>
  <c r="H168" i="4"/>
  <c r="H169" i="4"/>
  <c r="I170" i="4"/>
  <c r="H171" i="4"/>
  <c r="H173" i="4"/>
  <c r="H174" i="4"/>
  <c r="H175" i="4"/>
  <c r="H176" i="4"/>
  <c r="H177" i="4"/>
  <c r="H178" i="4"/>
  <c r="H180" i="4"/>
  <c r="H181" i="4"/>
  <c r="H182" i="4"/>
  <c r="H183" i="4"/>
  <c r="H184" i="4"/>
  <c r="H185" i="4"/>
  <c r="H644" i="4"/>
  <c r="H187" i="4"/>
  <c r="H188" i="4"/>
  <c r="H190" i="4"/>
  <c r="H191" i="4"/>
  <c r="H689" i="4"/>
  <c r="H193" i="4"/>
  <c r="H194" i="4"/>
  <c r="H707" i="4"/>
  <c r="H196" i="4"/>
  <c r="H197" i="4"/>
  <c r="H199" i="4"/>
  <c r="H202" i="4"/>
  <c r="H203" i="4"/>
  <c r="H205" i="4"/>
  <c r="H206" i="4"/>
  <c r="H207" i="4"/>
  <c r="J207" i="4" s="1"/>
  <c r="H210" i="4"/>
  <c r="H212" i="4"/>
  <c r="H213" i="4"/>
  <c r="I215" i="4"/>
  <c r="H216" i="4"/>
  <c r="H217" i="4"/>
  <c r="H218" i="4"/>
  <c r="H219" i="4"/>
  <c r="H220" i="4"/>
  <c r="H221" i="4"/>
  <c r="H540" i="4"/>
  <c r="H571" i="4"/>
  <c r="H227" i="4"/>
  <c r="H228" i="4"/>
  <c r="H229" i="4"/>
  <c r="H230" i="4"/>
  <c r="H231" i="4"/>
  <c r="H233" i="4"/>
  <c r="H234" i="4"/>
  <c r="H236" i="4"/>
  <c r="H237" i="4"/>
  <c r="H239" i="4"/>
  <c r="H240" i="4"/>
  <c r="H241" i="4"/>
  <c r="H242" i="4"/>
  <c r="H243" i="4"/>
  <c r="H245" i="4"/>
  <c r="I247" i="4"/>
  <c r="H250" i="4"/>
  <c r="H251" i="4"/>
  <c r="H252" i="4"/>
  <c r="H253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6" i="4"/>
  <c r="H287" i="4"/>
  <c r="H288" i="4"/>
  <c r="H289" i="4"/>
  <c r="H290" i="4"/>
  <c r="H291" i="4"/>
  <c r="H292" i="4"/>
  <c r="H293" i="4"/>
  <c r="H294" i="4"/>
  <c r="H295" i="4"/>
  <c r="H296" i="4"/>
  <c r="H299" i="4"/>
  <c r="H300" i="4"/>
  <c r="H302" i="4"/>
  <c r="H303" i="4"/>
  <c r="H304" i="4"/>
  <c r="H306" i="4"/>
  <c r="H307" i="4"/>
  <c r="H308" i="4"/>
  <c r="H309" i="4"/>
  <c r="H310" i="4"/>
  <c r="H311" i="4"/>
  <c r="H312" i="4"/>
  <c r="H313" i="4"/>
  <c r="H314" i="4"/>
  <c r="H315" i="4"/>
  <c r="H316" i="4"/>
  <c r="H318" i="4"/>
  <c r="H319" i="4"/>
  <c r="H320" i="4"/>
  <c r="H321" i="4"/>
  <c r="H322" i="4"/>
  <c r="H323" i="4"/>
  <c r="H324" i="4"/>
  <c r="H325" i="4"/>
  <c r="H326" i="4"/>
  <c r="H328" i="4"/>
  <c r="H329" i="4"/>
  <c r="H331" i="4"/>
  <c r="H332" i="4"/>
  <c r="H333" i="4"/>
  <c r="H335" i="4"/>
  <c r="H336" i="4"/>
  <c r="H337" i="4"/>
  <c r="H338" i="4"/>
  <c r="H339" i="4"/>
  <c r="H340" i="4"/>
  <c r="H341" i="4"/>
  <c r="H342" i="4"/>
  <c r="H344" i="4"/>
  <c r="H345" i="4"/>
  <c r="H346" i="4"/>
  <c r="H347" i="4"/>
  <c r="H348" i="4"/>
  <c r="H708" i="4"/>
  <c r="H351" i="4"/>
  <c r="H352" i="4"/>
  <c r="H353" i="4"/>
  <c r="H354" i="4"/>
  <c r="H355" i="4"/>
  <c r="H356" i="4"/>
  <c r="H357" i="4"/>
  <c r="H358" i="4"/>
  <c r="H359" i="4"/>
  <c r="H56" i="4"/>
  <c r="J56" i="4" s="1"/>
  <c r="K56" i="4" s="1"/>
  <c r="H361" i="4"/>
  <c r="J361" i="4" s="1"/>
  <c r="H362" i="4"/>
  <c r="H363" i="4"/>
  <c r="H365" i="4"/>
  <c r="H366" i="4"/>
  <c r="H367" i="4"/>
  <c r="H369" i="4"/>
  <c r="H113" i="4"/>
  <c r="H371" i="4"/>
  <c r="H372" i="4"/>
  <c r="H373" i="4"/>
  <c r="H374" i="4"/>
  <c r="H375" i="4"/>
  <c r="H376" i="4"/>
  <c r="H377" i="4"/>
  <c r="H378" i="4"/>
  <c r="H379" i="4"/>
  <c r="H694" i="4"/>
  <c r="H381" i="4"/>
  <c r="H382" i="4"/>
  <c r="H383" i="4"/>
  <c r="H384" i="4"/>
  <c r="H385" i="4"/>
  <c r="H386" i="4"/>
  <c r="H696" i="4"/>
  <c r="H388" i="4"/>
  <c r="H389" i="4"/>
  <c r="H390" i="4"/>
  <c r="H133" i="4"/>
  <c r="H392" i="4"/>
  <c r="H393" i="4"/>
  <c r="H394" i="4"/>
  <c r="H395" i="4"/>
  <c r="H605" i="4"/>
  <c r="H400" i="4"/>
  <c r="H402" i="4"/>
  <c r="H697" i="4"/>
  <c r="H404" i="4"/>
  <c r="H405" i="4"/>
  <c r="H407" i="4"/>
  <c r="H408" i="4"/>
  <c r="H409" i="4"/>
  <c r="H411" i="4"/>
  <c r="H412" i="4"/>
  <c r="H413" i="4"/>
  <c r="H415" i="4"/>
  <c r="H691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4" i="4"/>
  <c r="H435" i="4"/>
  <c r="H436" i="4"/>
  <c r="H672" i="4"/>
  <c r="H438" i="4"/>
  <c r="H439" i="4"/>
  <c r="J439" i="4" s="1"/>
  <c r="H440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3" i="4"/>
  <c r="H474" i="4"/>
  <c r="H475" i="4"/>
  <c r="H476" i="4"/>
  <c r="I478" i="4"/>
  <c r="H479" i="4"/>
  <c r="H480" i="4"/>
  <c r="H481" i="4"/>
  <c r="H482" i="4"/>
  <c r="H483" i="4"/>
  <c r="H484" i="4"/>
  <c r="H485" i="4"/>
  <c r="H488" i="4"/>
  <c r="H489" i="4"/>
  <c r="H490" i="4"/>
  <c r="H491" i="4"/>
  <c r="H492" i="4"/>
  <c r="H493" i="4"/>
  <c r="H496" i="4"/>
  <c r="H497" i="4"/>
  <c r="H498" i="4"/>
  <c r="H499" i="4"/>
  <c r="H500" i="4"/>
  <c r="H501" i="4"/>
  <c r="H502" i="4"/>
  <c r="H508" i="4"/>
  <c r="H509" i="4"/>
  <c r="H510" i="4"/>
  <c r="H511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41" i="4"/>
  <c r="H546" i="4"/>
  <c r="H547" i="4"/>
  <c r="H548" i="4"/>
  <c r="H549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714" i="4"/>
  <c r="H569" i="4"/>
  <c r="H570" i="4"/>
  <c r="H391" i="4"/>
  <c r="H573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J590" i="4" s="1"/>
  <c r="K590" i="4" s="1"/>
  <c r="H591" i="4"/>
  <c r="H592" i="4"/>
  <c r="H593" i="4"/>
  <c r="H595" i="4"/>
  <c r="H596" i="4"/>
  <c r="H597" i="4"/>
  <c r="H598" i="4"/>
  <c r="H599" i="4"/>
  <c r="H600" i="4"/>
  <c r="H601" i="4"/>
  <c r="H602" i="4"/>
  <c r="H603" i="4"/>
  <c r="H604" i="4"/>
  <c r="H646" i="4"/>
  <c r="H606" i="4"/>
  <c r="H607" i="4"/>
  <c r="H608" i="4"/>
  <c r="H609" i="4"/>
  <c r="H610" i="4"/>
  <c r="H612" i="4"/>
  <c r="H613" i="4"/>
  <c r="H684" i="4"/>
  <c r="H615" i="4"/>
  <c r="J615" i="4" s="1"/>
  <c r="K615" i="4" s="1"/>
  <c r="H616" i="4"/>
  <c r="H617" i="4"/>
  <c r="H618" i="4"/>
  <c r="H619" i="4"/>
  <c r="H620" i="4"/>
  <c r="J620" i="4" s="1"/>
  <c r="K620" i="4" s="1"/>
  <c r="H659" i="4"/>
  <c r="H622" i="4"/>
  <c r="H623" i="4"/>
  <c r="J623" i="4" s="1"/>
  <c r="H624" i="4"/>
  <c r="J624" i="4" s="1"/>
  <c r="H625" i="4"/>
  <c r="J625" i="4" s="1"/>
  <c r="K625" i="4" s="1"/>
  <c r="J208" i="4"/>
  <c r="H627" i="4"/>
  <c r="J627" i="4" s="1"/>
  <c r="H135" i="4"/>
  <c r="J135" i="4" s="1"/>
  <c r="J506" i="4"/>
  <c r="J507" i="4"/>
  <c r="J514" i="4"/>
  <c r="H636" i="4"/>
  <c r="J636" i="4" s="1"/>
  <c r="J690" i="4"/>
  <c r="K690" i="4" s="1"/>
  <c r="J727" i="4"/>
  <c r="J726" i="4"/>
  <c r="H642" i="4"/>
  <c r="J642" i="4" s="1"/>
  <c r="H643" i="4"/>
  <c r="J643" i="4" s="1"/>
  <c r="H645" i="4"/>
  <c r="J645" i="4" s="1"/>
  <c r="H648" i="4"/>
  <c r="J648" i="4" s="1"/>
  <c r="H649" i="4"/>
  <c r="J649" i="4" s="1"/>
  <c r="H650" i="4"/>
  <c r="J650" i="4" s="1"/>
  <c r="J513" i="4"/>
  <c r="H658" i="4"/>
  <c r="H685" i="4"/>
  <c r="H660" i="4"/>
  <c r="H661" i="4"/>
  <c r="H662" i="4"/>
  <c r="H674" i="4"/>
  <c r="H664" i="4"/>
  <c r="J664" i="4" s="1"/>
  <c r="H665" i="4"/>
  <c r="H666" i="4"/>
  <c r="H667" i="4"/>
  <c r="H668" i="4"/>
  <c r="H669" i="4"/>
  <c r="H670" i="4"/>
  <c r="H671" i="4"/>
  <c r="H677" i="4"/>
  <c r="H678" i="4"/>
  <c r="H679" i="4"/>
  <c r="H680" i="4"/>
  <c r="H681" i="4"/>
  <c r="F2" i="4"/>
  <c r="G611" i="4"/>
  <c r="H611" i="4" s="1"/>
  <c r="F628" i="4"/>
  <c r="H628" i="4" s="1"/>
  <c r="J628" i="4" s="1"/>
  <c r="F10" i="4"/>
  <c r="H10" i="4" s="1"/>
  <c r="E9" i="4"/>
  <c r="G301" i="4"/>
  <c r="H301" i="4" s="1"/>
  <c r="F33" i="4"/>
  <c r="H33" i="4" s="1"/>
  <c r="H3" i="4"/>
  <c r="H4" i="4"/>
  <c r="I5" i="4"/>
  <c r="H360" i="4"/>
  <c r="H223" i="4"/>
  <c r="E98" i="4"/>
  <c r="I98" i="4" s="1"/>
  <c r="G572" i="4"/>
  <c r="H572" i="4" s="1"/>
  <c r="E738" i="4" l="1"/>
  <c r="J9" i="4"/>
  <c r="K9" i="4" s="1"/>
  <c r="J98" i="4"/>
  <c r="K98" i="4" s="1"/>
  <c r="I400" i="4"/>
  <c r="J400" i="4"/>
  <c r="K400" i="4" s="1"/>
  <c r="I337" i="4"/>
  <c r="J337" i="4"/>
  <c r="K337" i="4" s="1"/>
  <c r="I274" i="4"/>
  <c r="J274" i="4"/>
  <c r="K274" i="4" s="1"/>
  <c r="J44" i="4"/>
  <c r="K44" i="4" s="1"/>
  <c r="I128" i="4"/>
  <c r="J128" i="4"/>
  <c r="K128" i="4" s="1"/>
  <c r="I39" i="4"/>
  <c r="J39" i="4"/>
  <c r="K39" i="4" s="1"/>
  <c r="J66" i="4"/>
  <c r="I411" i="4"/>
  <c r="J411" i="4"/>
  <c r="K411" i="4" s="1"/>
  <c r="I374" i="4"/>
  <c r="J374" i="4"/>
  <c r="K374" i="4" s="1"/>
  <c r="J121" i="4"/>
  <c r="K121" i="4" s="1"/>
  <c r="I707" i="4"/>
  <c r="I25" i="4"/>
  <c r="J25" i="4"/>
  <c r="K25" i="4" s="1"/>
  <c r="I562" i="4"/>
  <c r="J562" i="4"/>
  <c r="J65" i="4"/>
  <c r="J132" i="4"/>
  <c r="K132" i="4" s="1"/>
  <c r="I272" i="4"/>
  <c r="J272" i="4"/>
  <c r="K272" i="4" s="1"/>
  <c r="I194" i="4"/>
  <c r="J194" i="4"/>
  <c r="K194" i="4" s="1"/>
  <c r="I34" i="4"/>
  <c r="J34" i="4"/>
  <c r="K34" i="4" s="1"/>
  <c r="I706" i="4"/>
  <c r="I662" i="4"/>
  <c r="J662" i="4"/>
  <c r="K662" i="4" s="1"/>
  <c r="J495" i="4"/>
  <c r="I497" i="4"/>
  <c r="J497" i="4"/>
  <c r="I470" i="4"/>
  <c r="J470" i="4"/>
  <c r="I458" i="4"/>
  <c r="J458" i="4"/>
  <c r="K458" i="4" s="1"/>
  <c r="I446" i="4"/>
  <c r="J446" i="4"/>
  <c r="K446" i="4" s="1"/>
  <c r="I434" i="4"/>
  <c r="J434" i="4"/>
  <c r="K434" i="4" s="1"/>
  <c r="I422" i="4"/>
  <c r="J422" i="4"/>
  <c r="K422" i="4" s="1"/>
  <c r="I409" i="4"/>
  <c r="J409" i="4"/>
  <c r="K409" i="4" s="1"/>
  <c r="J640" i="4"/>
  <c r="K640" i="4" s="1"/>
  <c r="I384" i="4"/>
  <c r="J384" i="4"/>
  <c r="K384" i="4" s="1"/>
  <c r="I372" i="4"/>
  <c r="J372" i="4"/>
  <c r="K372" i="4" s="1"/>
  <c r="I358" i="4"/>
  <c r="J358" i="4"/>
  <c r="K358" i="4" s="1"/>
  <c r="I346" i="4"/>
  <c r="J346" i="4"/>
  <c r="K346" i="4" s="1"/>
  <c r="J297" i="4"/>
  <c r="K297" i="4" s="1"/>
  <c r="I321" i="4"/>
  <c r="J321" i="4"/>
  <c r="I309" i="4"/>
  <c r="J309" i="4"/>
  <c r="K309" i="4" s="1"/>
  <c r="I295" i="4"/>
  <c r="J295" i="4"/>
  <c r="K295" i="4" s="1"/>
  <c r="I283" i="4"/>
  <c r="J283" i="4"/>
  <c r="K283" i="4" s="1"/>
  <c r="I271" i="4"/>
  <c r="J271" i="4"/>
  <c r="K271" i="4" s="1"/>
  <c r="I259" i="4"/>
  <c r="J259" i="4"/>
  <c r="K259" i="4" s="1"/>
  <c r="I245" i="4"/>
  <c r="J245" i="4"/>
  <c r="K245" i="4" s="1"/>
  <c r="I231" i="4"/>
  <c r="J231" i="4"/>
  <c r="K231" i="4" s="1"/>
  <c r="I219" i="4"/>
  <c r="J219" i="4"/>
  <c r="K219" i="4" s="1"/>
  <c r="I205" i="4"/>
  <c r="J205" i="4"/>
  <c r="K205" i="4" s="1"/>
  <c r="I193" i="4"/>
  <c r="J193" i="4"/>
  <c r="K193" i="4" s="1"/>
  <c r="I180" i="4"/>
  <c r="J180" i="4"/>
  <c r="K180" i="4" s="1"/>
  <c r="I167" i="4"/>
  <c r="J167" i="4"/>
  <c r="K167" i="4" s="1"/>
  <c r="I154" i="4"/>
  <c r="J154" i="4"/>
  <c r="K154" i="4" s="1"/>
  <c r="I140" i="4"/>
  <c r="J140" i="4"/>
  <c r="I125" i="4"/>
  <c r="J125" i="4"/>
  <c r="K125" i="4" s="1"/>
  <c r="I111" i="4"/>
  <c r="J111" i="4"/>
  <c r="K111" i="4" s="1"/>
  <c r="J37" i="4"/>
  <c r="K37" i="4" s="1"/>
  <c r="I84" i="4"/>
  <c r="J84" i="4"/>
  <c r="K84" i="4" s="1"/>
  <c r="I72" i="4"/>
  <c r="J72" i="4"/>
  <c r="K72" i="4" s="1"/>
  <c r="I61" i="4"/>
  <c r="J61" i="4"/>
  <c r="K61" i="4" s="1"/>
  <c r="I48" i="4"/>
  <c r="J48" i="4"/>
  <c r="K48" i="4" s="1"/>
  <c r="I35" i="4"/>
  <c r="J35" i="4"/>
  <c r="K35" i="4" s="1"/>
  <c r="I399" i="4"/>
  <c r="J399" i="4"/>
  <c r="K399" i="4" s="1"/>
  <c r="I629" i="4"/>
  <c r="J629" i="4"/>
  <c r="K629" i="4" s="1"/>
  <c r="I675" i="4"/>
  <c r="J675" i="4"/>
  <c r="I693" i="4"/>
  <c r="J693" i="4"/>
  <c r="I33" i="4"/>
  <c r="J33" i="4"/>
  <c r="K33" i="4" s="1"/>
  <c r="I678" i="4"/>
  <c r="J678" i="4"/>
  <c r="K678" i="4" s="1"/>
  <c r="I661" i="4"/>
  <c r="J661" i="4"/>
  <c r="K661" i="4" s="1"/>
  <c r="I612" i="4"/>
  <c r="J612" i="4"/>
  <c r="I599" i="4"/>
  <c r="J599" i="4"/>
  <c r="I586" i="4"/>
  <c r="J586" i="4"/>
  <c r="I573" i="4"/>
  <c r="J573" i="4"/>
  <c r="I560" i="4"/>
  <c r="J560" i="4"/>
  <c r="I548" i="4"/>
  <c r="J548" i="4"/>
  <c r="J494" i="4"/>
  <c r="I523" i="4"/>
  <c r="J523" i="4"/>
  <c r="I509" i="4"/>
  <c r="J509" i="4"/>
  <c r="I496" i="4"/>
  <c r="J496" i="4"/>
  <c r="I484" i="4"/>
  <c r="J484" i="4"/>
  <c r="K484" i="4" s="1"/>
  <c r="I469" i="4"/>
  <c r="J469" i="4"/>
  <c r="I457" i="4"/>
  <c r="J457" i="4"/>
  <c r="K457" i="4" s="1"/>
  <c r="I445" i="4"/>
  <c r="J445" i="4"/>
  <c r="K445" i="4" s="1"/>
  <c r="J631" i="4"/>
  <c r="K631" i="4" s="1"/>
  <c r="I421" i="4"/>
  <c r="J421" i="4"/>
  <c r="K421" i="4" s="1"/>
  <c r="I408" i="4"/>
  <c r="J408" i="4"/>
  <c r="K408" i="4" s="1"/>
  <c r="I395" i="4"/>
  <c r="J395" i="4"/>
  <c r="K395" i="4" s="1"/>
  <c r="I383" i="4"/>
  <c r="J383" i="4"/>
  <c r="K383" i="4" s="1"/>
  <c r="I371" i="4"/>
  <c r="J371" i="4"/>
  <c r="K371" i="4" s="1"/>
  <c r="I357" i="4"/>
  <c r="J357" i="4"/>
  <c r="K357" i="4" s="1"/>
  <c r="I345" i="4"/>
  <c r="J345" i="4"/>
  <c r="K345" i="4" s="1"/>
  <c r="I333" i="4"/>
  <c r="J333" i="4"/>
  <c r="K333" i="4" s="1"/>
  <c r="I320" i="4"/>
  <c r="J320" i="4"/>
  <c r="K320" i="4" s="1"/>
  <c r="I308" i="4"/>
  <c r="J308" i="4"/>
  <c r="K308" i="4" s="1"/>
  <c r="I294" i="4"/>
  <c r="J294" i="4"/>
  <c r="K294" i="4" s="1"/>
  <c r="I282" i="4"/>
  <c r="J282" i="4"/>
  <c r="K282" i="4" s="1"/>
  <c r="I270" i="4"/>
  <c r="J270" i="4"/>
  <c r="K270" i="4" s="1"/>
  <c r="I258" i="4"/>
  <c r="J258" i="4"/>
  <c r="I243" i="4"/>
  <c r="J243" i="4"/>
  <c r="K243" i="4" s="1"/>
  <c r="I230" i="4"/>
  <c r="J230" i="4"/>
  <c r="K230" i="4" s="1"/>
  <c r="I218" i="4"/>
  <c r="J218" i="4"/>
  <c r="K218" i="4" s="1"/>
  <c r="J109" i="4"/>
  <c r="K109" i="4" s="1"/>
  <c r="I689" i="4"/>
  <c r="J542" i="4"/>
  <c r="K542" i="4" s="1"/>
  <c r="I166" i="4"/>
  <c r="J166" i="4"/>
  <c r="K166" i="4" s="1"/>
  <c r="I153" i="4"/>
  <c r="J153" i="4"/>
  <c r="K153" i="4" s="1"/>
  <c r="I139" i="4"/>
  <c r="J139" i="4"/>
  <c r="I124" i="4"/>
  <c r="J124" i="4"/>
  <c r="K124" i="4" s="1"/>
  <c r="J38" i="4"/>
  <c r="K38" i="4" s="1"/>
  <c r="I88" i="4"/>
  <c r="J88" i="4"/>
  <c r="K88" i="4" s="1"/>
  <c r="I83" i="4"/>
  <c r="J83" i="4"/>
  <c r="K83" i="4" s="1"/>
  <c r="I71" i="4"/>
  <c r="J71" i="4"/>
  <c r="K71" i="4" s="1"/>
  <c r="I60" i="4"/>
  <c r="J60" i="4"/>
  <c r="K60" i="4" s="1"/>
  <c r="I47" i="4"/>
  <c r="J47" i="4"/>
  <c r="K47" i="4" s="1"/>
  <c r="I93" i="4"/>
  <c r="J93" i="4"/>
  <c r="K93" i="4" s="1"/>
  <c r="I22" i="4"/>
  <c r="J22" i="4"/>
  <c r="K22" i="4" s="1"/>
  <c r="I695" i="4"/>
  <c r="I682" i="4"/>
  <c r="I621" i="4"/>
  <c r="I603" i="4"/>
  <c r="J603" i="4"/>
  <c r="I500" i="4"/>
  <c r="J500" i="4"/>
  <c r="I461" i="4"/>
  <c r="J461" i="4"/>
  <c r="K461" i="4" s="1"/>
  <c r="I375" i="4"/>
  <c r="J375" i="4"/>
  <c r="K375" i="4" s="1"/>
  <c r="I324" i="4"/>
  <c r="J324" i="4"/>
  <c r="K324" i="4" s="1"/>
  <c r="I234" i="4"/>
  <c r="J234" i="4"/>
  <c r="K234" i="4" s="1"/>
  <c r="I196" i="4"/>
  <c r="J196" i="4"/>
  <c r="K196" i="4" s="1"/>
  <c r="I157" i="4"/>
  <c r="J157" i="4"/>
  <c r="K157" i="4" s="1"/>
  <c r="I64" i="4"/>
  <c r="J64" i="4"/>
  <c r="K64" i="4" s="1"/>
  <c r="I681" i="4"/>
  <c r="J681" i="4"/>
  <c r="K681" i="4" s="1"/>
  <c r="I563" i="4"/>
  <c r="J563" i="4"/>
  <c r="I460" i="4"/>
  <c r="J460" i="4"/>
  <c r="K460" i="4" s="1"/>
  <c r="J285" i="4"/>
  <c r="K285" i="4" s="1"/>
  <c r="J397" i="4"/>
  <c r="K397" i="4" s="1"/>
  <c r="J537" i="4"/>
  <c r="K537" i="4" s="1"/>
  <c r="I680" i="4"/>
  <c r="J680" i="4"/>
  <c r="K680" i="4" s="1"/>
  <c r="J655" i="4"/>
  <c r="K655" i="4" s="1"/>
  <c r="I423" i="4"/>
  <c r="J423" i="4"/>
  <c r="K423" i="4" s="1"/>
  <c r="I561" i="4"/>
  <c r="J561" i="4"/>
  <c r="J487" i="4"/>
  <c r="I522" i="4"/>
  <c r="J522" i="4"/>
  <c r="J91" i="4"/>
  <c r="I483" i="4"/>
  <c r="J483" i="4"/>
  <c r="I468" i="4"/>
  <c r="J468" i="4"/>
  <c r="I456" i="4"/>
  <c r="J456" i="4"/>
  <c r="K456" i="4" s="1"/>
  <c r="I407" i="4"/>
  <c r="J407" i="4"/>
  <c r="K407" i="4" s="1"/>
  <c r="I319" i="4"/>
  <c r="J319" i="4"/>
  <c r="K319" i="4" s="1"/>
  <c r="I257" i="4"/>
  <c r="J257" i="4"/>
  <c r="K257" i="4" s="1"/>
  <c r="I242" i="4"/>
  <c r="J242" i="4"/>
  <c r="I229" i="4"/>
  <c r="J229" i="4"/>
  <c r="K229" i="4" s="1"/>
  <c r="I217" i="4"/>
  <c r="J217" i="4"/>
  <c r="I203" i="4"/>
  <c r="J203" i="4"/>
  <c r="K203" i="4" s="1"/>
  <c r="I191" i="4"/>
  <c r="J191" i="4"/>
  <c r="I178" i="4"/>
  <c r="J178" i="4"/>
  <c r="K178" i="4" s="1"/>
  <c r="I165" i="4"/>
  <c r="J165" i="4"/>
  <c r="K165" i="4" s="1"/>
  <c r="I437" i="4"/>
  <c r="I138" i="4"/>
  <c r="J138" i="4"/>
  <c r="K138" i="4" s="1"/>
  <c r="I123" i="4"/>
  <c r="J123" i="4"/>
  <c r="K123" i="4" s="1"/>
  <c r="I92" i="4"/>
  <c r="J92" i="4"/>
  <c r="K92" i="4" s="1"/>
  <c r="I86" i="4"/>
  <c r="J86" i="4"/>
  <c r="K86" i="4" s="1"/>
  <c r="I82" i="4"/>
  <c r="J82" i="4"/>
  <c r="K82" i="4" s="1"/>
  <c r="I70" i="4"/>
  <c r="J70" i="4"/>
  <c r="K70" i="4" s="1"/>
  <c r="I59" i="4"/>
  <c r="J59" i="4"/>
  <c r="K59" i="4" s="1"/>
  <c r="I46" i="4"/>
  <c r="J46" i="4"/>
  <c r="K46" i="4" s="1"/>
  <c r="I512" i="4"/>
  <c r="J512" i="4"/>
  <c r="K512" i="4" s="1"/>
  <c r="I20" i="4"/>
  <c r="J20" i="4"/>
  <c r="K20" i="4" s="1"/>
  <c r="I414" i="4"/>
  <c r="J414" i="4"/>
  <c r="K414" i="4" s="1"/>
  <c r="I722" i="4"/>
  <c r="I673" i="4"/>
  <c r="I665" i="4"/>
  <c r="J665" i="4"/>
  <c r="I616" i="4"/>
  <c r="J616" i="4"/>
  <c r="K616" i="4" s="1"/>
  <c r="I564" i="4"/>
  <c r="J564" i="4"/>
  <c r="J545" i="4"/>
  <c r="I475" i="4"/>
  <c r="J475" i="4"/>
  <c r="I436" i="4"/>
  <c r="J436" i="4"/>
  <c r="K436" i="4" s="1"/>
  <c r="I312" i="4"/>
  <c r="J312" i="4"/>
  <c r="I115" i="4"/>
  <c r="J115" i="4"/>
  <c r="K115" i="4" s="1"/>
  <c r="J99" i="4"/>
  <c r="K99" i="4" s="1"/>
  <c r="I14" i="4"/>
  <c r="J14" i="4"/>
  <c r="I589" i="4"/>
  <c r="J589" i="4"/>
  <c r="K589" i="4" s="1"/>
  <c r="J729" i="4"/>
  <c r="I499" i="4"/>
  <c r="J499" i="4"/>
  <c r="I386" i="4"/>
  <c r="J386" i="4"/>
  <c r="K386" i="4" s="1"/>
  <c r="I323" i="4"/>
  <c r="J323" i="4"/>
  <c r="K323" i="4" s="1"/>
  <c r="I221" i="4"/>
  <c r="J221" i="4"/>
  <c r="K221" i="4" s="1"/>
  <c r="I169" i="4"/>
  <c r="J169" i="4"/>
  <c r="K169" i="4" s="1"/>
  <c r="I127" i="4"/>
  <c r="J127" i="4"/>
  <c r="I63" i="4"/>
  <c r="J63" i="4"/>
  <c r="K63" i="4" s="1"/>
  <c r="I576" i="4"/>
  <c r="J576" i="4"/>
  <c r="I435" i="4"/>
  <c r="J435" i="4"/>
  <c r="K435" i="4" s="1"/>
  <c r="I347" i="4"/>
  <c r="J347" i="4"/>
  <c r="I168" i="4"/>
  <c r="J168" i="4"/>
  <c r="I10" i="4"/>
  <c r="J10" i="4"/>
  <c r="K10" i="4" s="1"/>
  <c r="I670" i="4"/>
  <c r="J670" i="4"/>
  <c r="I658" i="4"/>
  <c r="J658" i="4"/>
  <c r="K658" i="4" s="1"/>
  <c r="I659" i="4"/>
  <c r="I608" i="4"/>
  <c r="J608" i="4"/>
  <c r="I596" i="4"/>
  <c r="J596" i="4"/>
  <c r="I583" i="4"/>
  <c r="J583" i="4"/>
  <c r="I569" i="4"/>
  <c r="J569" i="4"/>
  <c r="I557" i="4"/>
  <c r="J557" i="4"/>
  <c r="J634" i="4"/>
  <c r="J433" i="4"/>
  <c r="I520" i="4"/>
  <c r="J520" i="4"/>
  <c r="I493" i="4"/>
  <c r="J493" i="4"/>
  <c r="I481" i="4"/>
  <c r="J481" i="4"/>
  <c r="I466" i="4"/>
  <c r="J466" i="4"/>
  <c r="I454" i="4"/>
  <c r="J454" i="4"/>
  <c r="K454" i="4" s="1"/>
  <c r="I442" i="4"/>
  <c r="J442" i="4"/>
  <c r="K442" i="4" s="1"/>
  <c r="I430" i="4"/>
  <c r="J430" i="4"/>
  <c r="K430" i="4" s="1"/>
  <c r="I418" i="4"/>
  <c r="J418" i="4"/>
  <c r="K418" i="4" s="1"/>
  <c r="I405" i="4"/>
  <c r="J405" i="4"/>
  <c r="I392" i="4"/>
  <c r="J392" i="4"/>
  <c r="K392" i="4" s="1"/>
  <c r="I694" i="4"/>
  <c r="I367" i="4"/>
  <c r="J367" i="4"/>
  <c r="K367" i="4" s="1"/>
  <c r="I354" i="4"/>
  <c r="J354" i="4"/>
  <c r="K354" i="4" s="1"/>
  <c r="I342" i="4"/>
  <c r="J342" i="4"/>
  <c r="K342" i="4" s="1"/>
  <c r="I329" i="4"/>
  <c r="J329" i="4"/>
  <c r="K329" i="4" s="1"/>
  <c r="I317" i="4"/>
  <c r="J317" i="4"/>
  <c r="K317" i="4" s="1"/>
  <c r="J122" i="4"/>
  <c r="K122" i="4" s="1"/>
  <c r="I291" i="4"/>
  <c r="J291" i="4"/>
  <c r="K291" i="4" s="1"/>
  <c r="I279" i="4"/>
  <c r="J279" i="4"/>
  <c r="K279" i="4" s="1"/>
  <c r="J544" i="4"/>
  <c r="K544" i="4" s="1"/>
  <c r="I255" i="4"/>
  <c r="J255" i="4"/>
  <c r="K255" i="4" s="1"/>
  <c r="I240" i="4"/>
  <c r="J240" i="4"/>
  <c r="K240" i="4" s="1"/>
  <c r="I227" i="4"/>
  <c r="J227" i="4"/>
  <c r="K227" i="4" s="1"/>
  <c r="J653" i="4"/>
  <c r="K653" i="4" s="1"/>
  <c r="I188" i="4"/>
  <c r="J188" i="4"/>
  <c r="K188" i="4" s="1"/>
  <c r="I176" i="4"/>
  <c r="J176" i="4"/>
  <c r="K176" i="4" s="1"/>
  <c r="I163" i="4"/>
  <c r="J163" i="4"/>
  <c r="K163" i="4" s="1"/>
  <c r="I150" i="4"/>
  <c r="J150" i="4"/>
  <c r="K150" i="4" s="1"/>
  <c r="I120" i="4"/>
  <c r="J120" i="4"/>
  <c r="K120" i="4" s="1"/>
  <c r="I107" i="4"/>
  <c r="J107" i="4"/>
  <c r="K107" i="4" s="1"/>
  <c r="J103" i="4"/>
  <c r="K103" i="4" s="1"/>
  <c r="I80" i="4"/>
  <c r="J80" i="4"/>
  <c r="K80" i="4" s="1"/>
  <c r="I69" i="4"/>
  <c r="J69" i="4"/>
  <c r="K69" i="4" s="1"/>
  <c r="I57" i="4"/>
  <c r="J57" i="4"/>
  <c r="K57" i="4" s="1"/>
  <c r="J638" i="4"/>
  <c r="K638" i="4" s="1"/>
  <c r="I30" i="4"/>
  <c r="J30" i="4"/>
  <c r="K30" i="4" s="1"/>
  <c r="I15" i="4"/>
  <c r="J15" i="4"/>
  <c r="K15" i="4" s="1"/>
  <c r="I652" i="4"/>
  <c r="J652" i="4"/>
  <c r="I721" i="4"/>
  <c r="I711" i="4"/>
  <c r="I527" i="4"/>
  <c r="J527" i="4"/>
  <c r="I696" i="4"/>
  <c r="I724" i="4"/>
  <c r="I602" i="4"/>
  <c r="J602" i="4"/>
  <c r="J334" i="4"/>
  <c r="I448" i="4"/>
  <c r="J448" i="4"/>
  <c r="K448" i="4" s="1"/>
  <c r="I605" i="4"/>
  <c r="J605" i="4"/>
  <c r="K605" i="4" s="1"/>
  <c r="J406" i="4"/>
  <c r="K406" i="4" s="1"/>
  <c r="I114" i="4"/>
  <c r="J114" i="4"/>
  <c r="K114" i="4" s="1"/>
  <c r="I684" i="4"/>
  <c r="J503" i="4"/>
  <c r="I473" i="4"/>
  <c r="J473" i="4"/>
  <c r="I310" i="4"/>
  <c r="J310" i="4"/>
  <c r="K310" i="4" s="1"/>
  <c r="I260" i="4"/>
  <c r="J260" i="4"/>
  <c r="K260" i="4" s="1"/>
  <c r="I220" i="4"/>
  <c r="J220" i="4"/>
  <c r="K220" i="4" s="1"/>
  <c r="I155" i="4"/>
  <c r="J155" i="4"/>
  <c r="K155" i="4" s="1"/>
  <c r="I112" i="4"/>
  <c r="J112" i="4"/>
  <c r="K112" i="4" s="1"/>
  <c r="I85" i="4"/>
  <c r="J85" i="4"/>
  <c r="K85" i="4" s="1"/>
  <c r="I24" i="4"/>
  <c r="J24" i="4"/>
  <c r="K24" i="4" s="1"/>
  <c r="I600" i="4"/>
  <c r="J600" i="4"/>
  <c r="I549" i="4"/>
  <c r="J549" i="4"/>
  <c r="I524" i="4"/>
  <c r="J524" i="4"/>
  <c r="I677" i="4"/>
  <c r="J677" i="4"/>
  <c r="K677" i="4" s="1"/>
  <c r="I610" i="4"/>
  <c r="J610" i="4"/>
  <c r="I432" i="4"/>
  <c r="J432" i="4"/>
  <c r="K432" i="4" s="1"/>
  <c r="I420" i="4"/>
  <c r="J420" i="4"/>
  <c r="K420" i="4" s="1"/>
  <c r="I394" i="4"/>
  <c r="J394" i="4"/>
  <c r="K394" i="4" s="1"/>
  <c r="I113" i="4"/>
  <c r="J113" i="4"/>
  <c r="K113" i="4" s="1"/>
  <c r="I344" i="4"/>
  <c r="J344" i="4"/>
  <c r="K344" i="4" s="1"/>
  <c r="I332" i="4"/>
  <c r="J332" i="4"/>
  <c r="K332" i="4" s="1"/>
  <c r="I269" i="4"/>
  <c r="J269" i="4"/>
  <c r="K269" i="4" s="1"/>
  <c r="I671" i="4"/>
  <c r="J671" i="4"/>
  <c r="K671" i="4" s="1"/>
  <c r="I597" i="4"/>
  <c r="J597" i="4"/>
  <c r="I558" i="4"/>
  <c r="J558" i="4"/>
  <c r="J159" i="4"/>
  <c r="J90" i="4"/>
  <c r="I482" i="4"/>
  <c r="J482" i="4"/>
  <c r="I467" i="4"/>
  <c r="J467" i="4"/>
  <c r="I443" i="4"/>
  <c r="J443" i="4"/>
  <c r="K443" i="4" s="1"/>
  <c r="I431" i="4"/>
  <c r="J431" i="4"/>
  <c r="K431" i="4" s="1"/>
  <c r="I393" i="4"/>
  <c r="J393" i="4"/>
  <c r="K393" i="4" s="1"/>
  <c r="I355" i="4"/>
  <c r="J355" i="4"/>
  <c r="K355" i="4" s="1"/>
  <c r="J131" i="4"/>
  <c r="K131" i="4" s="1"/>
  <c r="I331" i="4"/>
  <c r="J331" i="4"/>
  <c r="K331" i="4" s="1"/>
  <c r="I306" i="4"/>
  <c r="J306" i="4"/>
  <c r="K306" i="4" s="1"/>
  <c r="I292" i="4"/>
  <c r="J292" i="4"/>
  <c r="K292" i="4" s="1"/>
  <c r="I268" i="4"/>
  <c r="J268" i="4"/>
  <c r="K268" i="4" s="1"/>
  <c r="I241" i="4"/>
  <c r="J241" i="4"/>
  <c r="K241" i="4" s="1"/>
  <c r="I202" i="4"/>
  <c r="J202" i="4"/>
  <c r="K202" i="4" s="1"/>
  <c r="I177" i="4"/>
  <c r="J177" i="4"/>
  <c r="K177" i="4" s="1"/>
  <c r="J28" i="4"/>
  <c r="K28" i="4" s="1"/>
  <c r="I647" i="4"/>
  <c r="J647" i="4"/>
  <c r="I669" i="4"/>
  <c r="J669" i="4"/>
  <c r="I607" i="4"/>
  <c r="J607" i="4"/>
  <c r="I595" i="4"/>
  <c r="J595" i="4"/>
  <c r="I582" i="4"/>
  <c r="J582" i="4"/>
  <c r="I714" i="4"/>
  <c r="I556" i="4"/>
  <c r="J556" i="4"/>
  <c r="J633" i="4"/>
  <c r="J410" i="4"/>
  <c r="I519" i="4"/>
  <c r="J519" i="4"/>
  <c r="J179" i="4"/>
  <c r="I492" i="4"/>
  <c r="J492" i="4"/>
  <c r="K492" i="4" s="1"/>
  <c r="I480" i="4"/>
  <c r="J480" i="4"/>
  <c r="I465" i="4"/>
  <c r="J465" i="4"/>
  <c r="I453" i="4"/>
  <c r="J453" i="4"/>
  <c r="K453" i="4" s="1"/>
  <c r="I440" i="4"/>
  <c r="J440" i="4"/>
  <c r="K440" i="4" s="1"/>
  <c r="I429" i="4"/>
  <c r="J429" i="4"/>
  <c r="K429" i="4" s="1"/>
  <c r="I417" i="4"/>
  <c r="J417" i="4"/>
  <c r="K417" i="4" s="1"/>
  <c r="I404" i="4"/>
  <c r="J404" i="4"/>
  <c r="K404" i="4" s="1"/>
  <c r="I133" i="4"/>
  <c r="J133" i="4"/>
  <c r="K133" i="4" s="1"/>
  <c r="I379" i="4"/>
  <c r="J379" i="4"/>
  <c r="K379" i="4" s="1"/>
  <c r="I366" i="4"/>
  <c r="J366" i="4"/>
  <c r="K366" i="4" s="1"/>
  <c r="I353" i="4"/>
  <c r="J353" i="4"/>
  <c r="K353" i="4" s="1"/>
  <c r="I341" i="4"/>
  <c r="J341" i="4"/>
  <c r="K341" i="4" s="1"/>
  <c r="I328" i="4"/>
  <c r="J328" i="4"/>
  <c r="K328" i="4" s="1"/>
  <c r="I316" i="4"/>
  <c r="J316" i="4"/>
  <c r="K316" i="4" s="1"/>
  <c r="I304" i="4"/>
  <c r="J304" i="4"/>
  <c r="K304" i="4" s="1"/>
  <c r="I290" i="4"/>
  <c r="J290" i="4"/>
  <c r="K290" i="4" s="1"/>
  <c r="I278" i="4"/>
  <c r="J278" i="4"/>
  <c r="K278" i="4" s="1"/>
  <c r="I266" i="4"/>
  <c r="J266" i="4"/>
  <c r="K266" i="4" s="1"/>
  <c r="J45" i="4"/>
  <c r="K45" i="4" s="1"/>
  <c r="I239" i="4"/>
  <c r="J239" i="4"/>
  <c r="K239" i="4" s="1"/>
  <c r="I571" i="4"/>
  <c r="J571" i="4"/>
  <c r="K571" i="4" s="1"/>
  <c r="I213" i="4"/>
  <c r="J213" i="4"/>
  <c r="K213" i="4" s="1"/>
  <c r="I199" i="4"/>
  <c r="J199" i="4"/>
  <c r="K199" i="4" s="1"/>
  <c r="I187" i="4"/>
  <c r="J187" i="4"/>
  <c r="K187" i="4" s="1"/>
  <c r="I175" i="4"/>
  <c r="J175" i="4"/>
  <c r="K175" i="4" s="1"/>
  <c r="I161" i="4"/>
  <c r="J161" i="4"/>
  <c r="K161" i="4" s="1"/>
  <c r="I148" i="4"/>
  <c r="J148" i="4"/>
  <c r="J398" i="4"/>
  <c r="K398" i="4" s="1"/>
  <c r="I106" i="4"/>
  <c r="J106" i="4"/>
  <c r="K106" i="4" s="1"/>
  <c r="I23" i="4"/>
  <c r="J23" i="4"/>
  <c r="K23" i="4" s="1"/>
  <c r="J663" i="4"/>
  <c r="K663" i="4" s="1"/>
  <c r="J538" i="4"/>
  <c r="K538" i="4" s="1"/>
  <c r="I55" i="4"/>
  <c r="J55" i="4"/>
  <c r="K55" i="4" s="1"/>
  <c r="I43" i="4"/>
  <c r="J43" i="4"/>
  <c r="K43" i="4" s="1"/>
  <c r="I29" i="4"/>
  <c r="J29" i="4"/>
  <c r="K29" i="4" s="1"/>
  <c r="I8" i="4"/>
  <c r="J8" i="4"/>
  <c r="K8" i="4" s="1"/>
  <c r="J209" i="4"/>
  <c r="I416" i="4"/>
  <c r="I360" i="4"/>
  <c r="J360" i="4"/>
  <c r="K360" i="4" s="1"/>
  <c r="I578" i="4"/>
  <c r="J578" i="4"/>
  <c r="J343" i="4"/>
  <c r="I412" i="4"/>
  <c r="J412" i="4"/>
  <c r="K412" i="4" s="1"/>
  <c r="I708" i="4"/>
  <c r="I250" i="4"/>
  <c r="J250" i="4"/>
  <c r="K250" i="4" s="1"/>
  <c r="I183" i="4"/>
  <c r="J183" i="4"/>
  <c r="K183" i="4" s="1"/>
  <c r="I51" i="4"/>
  <c r="J51" i="4"/>
  <c r="K51" i="4" s="1"/>
  <c r="I336" i="4"/>
  <c r="J336" i="4"/>
  <c r="I311" i="4"/>
  <c r="J311" i="4"/>
  <c r="K311" i="4" s="1"/>
  <c r="I273" i="4"/>
  <c r="J273" i="4"/>
  <c r="K273" i="4" s="1"/>
  <c r="I233" i="4"/>
  <c r="J233" i="4"/>
  <c r="K233" i="4" s="1"/>
  <c r="I182" i="4"/>
  <c r="J182" i="4"/>
  <c r="K182" i="4" s="1"/>
  <c r="I156" i="4"/>
  <c r="J156" i="4"/>
  <c r="K156" i="4" s="1"/>
  <c r="I74" i="4"/>
  <c r="J74" i="4"/>
  <c r="I13" i="4"/>
  <c r="J13" i="4"/>
  <c r="K13" i="4" s="1"/>
  <c r="I601" i="4"/>
  <c r="J601" i="4"/>
  <c r="I511" i="4"/>
  <c r="J511" i="4"/>
  <c r="I459" i="4"/>
  <c r="J459" i="4"/>
  <c r="K459" i="4" s="1"/>
  <c r="I335" i="4"/>
  <c r="J335" i="4"/>
  <c r="K335" i="4" s="1"/>
  <c r="I12" i="4"/>
  <c r="J12" i="4"/>
  <c r="K12" i="4" s="1"/>
  <c r="I3" i="4"/>
  <c r="J3" i="4"/>
  <c r="K3" i="4" s="1"/>
  <c r="I587" i="4"/>
  <c r="J587" i="4"/>
  <c r="I485" i="4"/>
  <c r="J485" i="4"/>
  <c r="K485" i="4" s="1"/>
  <c r="I301" i="4"/>
  <c r="J301" i="4"/>
  <c r="K301" i="4" s="1"/>
  <c r="I660" i="4"/>
  <c r="J660" i="4"/>
  <c r="K660" i="4" s="1"/>
  <c r="I598" i="4"/>
  <c r="J598" i="4"/>
  <c r="I585" i="4"/>
  <c r="J585" i="4"/>
  <c r="I391" i="4"/>
  <c r="J391" i="4"/>
  <c r="I559" i="4"/>
  <c r="J559" i="4"/>
  <c r="I444" i="4"/>
  <c r="J444" i="4"/>
  <c r="K444" i="4" s="1"/>
  <c r="I281" i="4"/>
  <c r="J281" i="4"/>
  <c r="K281" i="4" s="1"/>
  <c r="I685" i="4"/>
  <c r="J486" i="4"/>
  <c r="I419" i="4"/>
  <c r="J419" i="4"/>
  <c r="K419" i="4" s="1"/>
  <c r="I369" i="4"/>
  <c r="J369" i="4"/>
  <c r="K369" i="4" s="1"/>
  <c r="I318" i="4"/>
  <c r="J318" i="4"/>
  <c r="K318" i="4" s="1"/>
  <c r="I216" i="4"/>
  <c r="J216" i="4"/>
  <c r="K216" i="4" s="1"/>
  <c r="I702" i="4"/>
  <c r="I572" i="4"/>
  <c r="J572" i="4"/>
  <c r="I668" i="4"/>
  <c r="J668" i="4"/>
  <c r="K668" i="4" s="1"/>
  <c r="I619" i="4"/>
  <c r="J619" i="4"/>
  <c r="K619" i="4" s="1"/>
  <c r="I606" i="4"/>
  <c r="J606" i="4"/>
  <c r="I593" i="4"/>
  <c r="J593" i="4"/>
  <c r="I581" i="4"/>
  <c r="J581" i="4"/>
  <c r="I567" i="4"/>
  <c r="J567" i="4"/>
  <c r="J651" i="4"/>
  <c r="K651" i="4" s="1"/>
  <c r="I530" i="4"/>
  <c r="J530" i="4"/>
  <c r="I518" i="4"/>
  <c r="J518" i="4"/>
  <c r="J134" i="4"/>
  <c r="I491" i="4"/>
  <c r="J491" i="4"/>
  <c r="K491" i="4" s="1"/>
  <c r="I479" i="4"/>
  <c r="J479" i="4"/>
  <c r="I464" i="4"/>
  <c r="J464" i="4"/>
  <c r="K464" i="4" s="1"/>
  <c r="I452" i="4"/>
  <c r="J452" i="4"/>
  <c r="K452" i="4" s="1"/>
  <c r="I428" i="4"/>
  <c r="J428" i="4"/>
  <c r="K428" i="4" s="1"/>
  <c r="I691" i="4"/>
  <c r="I697" i="4"/>
  <c r="I390" i="4"/>
  <c r="J390" i="4"/>
  <c r="I378" i="4"/>
  <c r="J378" i="4"/>
  <c r="K378" i="4" s="1"/>
  <c r="I365" i="4"/>
  <c r="J365" i="4"/>
  <c r="K365" i="4" s="1"/>
  <c r="I352" i="4"/>
  <c r="J352" i="4"/>
  <c r="K352" i="4" s="1"/>
  <c r="I340" i="4"/>
  <c r="J340" i="4"/>
  <c r="J87" i="4"/>
  <c r="K87" i="4" s="1"/>
  <c r="I315" i="4"/>
  <c r="J315" i="4"/>
  <c r="K315" i="4" s="1"/>
  <c r="I303" i="4"/>
  <c r="J303" i="4"/>
  <c r="K303" i="4" s="1"/>
  <c r="I289" i="4"/>
  <c r="J289" i="4"/>
  <c r="K289" i="4" s="1"/>
  <c r="I277" i="4"/>
  <c r="J277" i="4"/>
  <c r="K277" i="4" s="1"/>
  <c r="I265" i="4"/>
  <c r="J265" i="4"/>
  <c r="K265" i="4" s="1"/>
  <c r="I253" i="4"/>
  <c r="J253" i="4"/>
  <c r="K253" i="4" s="1"/>
  <c r="I237" i="4"/>
  <c r="J237" i="4"/>
  <c r="K237" i="4" s="1"/>
  <c r="I540" i="4"/>
  <c r="J540" i="4"/>
  <c r="K540" i="4" s="1"/>
  <c r="I212" i="4"/>
  <c r="J212" i="4"/>
  <c r="K212" i="4" s="1"/>
  <c r="J267" i="4"/>
  <c r="K267" i="4" s="1"/>
  <c r="I644" i="4"/>
  <c r="I174" i="4"/>
  <c r="J174" i="4"/>
  <c r="K174" i="4" s="1"/>
  <c r="I160" i="4"/>
  <c r="J160" i="4"/>
  <c r="K160" i="4" s="1"/>
  <c r="I147" i="4"/>
  <c r="J147" i="4"/>
  <c r="K147" i="4" s="1"/>
  <c r="J555" i="4"/>
  <c r="K555" i="4" s="1"/>
  <c r="J42" i="4"/>
  <c r="K42" i="4" s="1"/>
  <c r="J725" i="4"/>
  <c r="I19" i="4"/>
  <c r="J19" i="4"/>
  <c r="K19" i="4" s="1"/>
  <c r="J396" i="4"/>
  <c r="K396" i="4" s="1"/>
  <c r="I67" i="4"/>
  <c r="J67" i="4"/>
  <c r="K67" i="4" s="1"/>
  <c r="I54" i="4"/>
  <c r="J54" i="4"/>
  <c r="K54" i="4" s="1"/>
  <c r="J232" i="4"/>
  <c r="K232" i="4" s="1"/>
  <c r="I62" i="4"/>
  <c r="J62" i="4"/>
  <c r="K62" i="4" s="1"/>
  <c r="J204" i="4"/>
  <c r="I686" i="4"/>
  <c r="J686" i="4"/>
  <c r="I449" i="4"/>
  <c r="J449" i="4"/>
  <c r="K449" i="4" s="1"/>
  <c r="I299" i="4"/>
  <c r="J299" i="4"/>
  <c r="K299" i="4" s="1"/>
  <c r="I262" i="4"/>
  <c r="J262" i="4"/>
  <c r="K262" i="4" s="1"/>
  <c r="J78" i="4"/>
  <c r="K78" i="4" s="1"/>
  <c r="I143" i="4"/>
  <c r="J143" i="4"/>
  <c r="K143" i="4" s="1"/>
  <c r="J639" i="4"/>
  <c r="K639" i="4" s="1"/>
  <c r="J504" i="4"/>
  <c r="I261" i="4"/>
  <c r="J261" i="4"/>
  <c r="I142" i="4"/>
  <c r="J142" i="4"/>
  <c r="K142" i="4" s="1"/>
  <c r="I718" i="4"/>
  <c r="I674" i="4"/>
  <c r="I588" i="4"/>
  <c r="J588" i="4"/>
  <c r="K588" i="4" s="1"/>
  <c r="I498" i="4"/>
  <c r="J498" i="4"/>
  <c r="I447" i="4"/>
  <c r="J447" i="4"/>
  <c r="K447" i="4" s="1"/>
  <c r="J53" i="4"/>
  <c r="K53" i="4" s="1"/>
  <c r="I385" i="4"/>
  <c r="J385" i="4"/>
  <c r="K385" i="4" s="1"/>
  <c r="I373" i="4"/>
  <c r="J373" i="4"/>
  <c r="K373" i="4" s="1"/>
  <c r="I359" i="4"/>
  <c r="J359" i="4"/>
  <c r="K359" i="4" s="1"/>
  <c r="I322" i="4"/>
  <c r="J322" i="4"/>
  <c r="K322" i="4" s="1"/>
  <c r="I284" i="4"/>
  <c r="J284" i="4"/>
  <c r="K284" i="4" s="1"/>
  <c r="J118" i="4"/>
  <c r="K118" i="4" s="1"/>
  <c r="I181" i="4"/>
  <c r="J181" i="4"/>
  <c r="K181" i="4" s="1"/>
  <c r="I126" i="4"/>
  <c r="J126" i="4"/>
  <c r="K126" i="4" s="1"/>
  <c r="I73" i="4"/>
  <c r="J73" i="4"/>
  <c r="K73" i="4" s="1"/>
  <c r="I307" i="4"/>
  <c r="J307" i="4"/>
  <c r="K307" i="4" s="1"/>
  <c r="I622" i="4"/>
  <c r="J622" i="4"/>
  <c r="K622" i="4" s="1"/>
  <c r="I584" i="4"/>
  <c r="J584" i="4"/>
  <c r="I455" i="4"/>
  <c r="J455" i="4"/>
  <c r="K455" i="4" s="1"/>
  <c r="I381" i="4"/>
  <c r="J381" i="4"/>
  <c r="K381" i="4" s="1"/>
  <c r="I256" i="4"/>
  <c r="J256" i="4"/>
  <c r="K256" i="4" s="1"/>
  <c r="I228" i="4"/>
  <c r="J228" i="4"/>
  <c r="K228" i="4" s="1"/>
  <c r="I190" i="4"/>
  <c r="J190" i="4"/>
  <c r="I164" i="4"/>
  <c r="J164" i="4"/>
  <c r="K164" i="4" s="1"/>
  <c r="I151" i="4"/>
  <c r="J151" i="4"/>
  <c r="I137" i="4"/>
  <c r="J137" i="4"/>
  <c r="K137" i="4" s="1"/>
  <c r="I26" i="4"/>
  <c r="J26" i="4"/>
  <c r="K26" i="4" s="1"/>
  <c r="I81" i="4"/>
  <c r="J81" i="4"/>
  <c r="K81" i="4" s="1"/>
  <c r="I58" i="4"/>
  <c r="J58" i="4"/>
  <c r="K58" i="4" s="1"/>
  <c r="J536" i="4"/>
  <c r="K536" i="4" s="1"/>
  <c r="I683" i="4"/>
  <c r="J683" i="4"/>
  <c r="K683" i="4" s="1"/>
  <c r="I611" i="4"/>
  <c r="J611" i="4"/>
  <c r="I667" i="4"/>
  <c r="J667" i="4"/>
  <c r="K667" i="4" s="1"/>
  <c r="I618" i="4"/>
  <c r="J618" i="4"/>
  <c r="I646" i="4"/>
  <c r="J646" i="4"/>
  <c r="I592" i="4"/>
  <c r="J592" i="4"/>
  <c r="I580" i="4"/>
  <c r="J580" i="4"/>
  <c r="I566" i="4"/>
  <c r="J566" i="4"/>
  <c r="J732" i="4"/>
  <c r="J632" i="4"/>
  <c r="I529" i="4"/>
  <c r="J529" i="4"/>
  <c r="I517" i="4"/>
  <c r="J517" i="4"/>
  <c r="I502" i="4"/>
  <c r="J502" i="4"/>
  <c r="I490" i="4"/>
  <c r="J490" i="4"/>
  <c r="I463" i="4"/>
  <c r="J463" i="4"/>
  <c r="K463" i="4" s="1"/>
  <c r="I451" i="4"/>
  <c r="J451" i="4"/>
  <c r="K451" i="4" s="1"/>
  <c r="I438" i="4"/>
  <c r="J438" i="4"/>
  <c r="I427" i="4"/>
  <c r="J427" i="4"/>
  <c r="K427" i="4" s="1"/>
  <c r="I415" i="4"/>
  <c r="J415" i="4"/>
  <c r="I402" i="4"/>
  <c r="J402" i="4"/>
  <c r="K402" i="4" s="1"/>
  <c r="I389" i="4"/>
  <c r="J389" i="4"/>
  <c r="K389" i="4" s="1"/>
  <c r="I377" i="4"/>
  <c r="J377" i="4"/>
  <c r="K377" i="4" s="1"/>
  <c r="I363" i="4"/>
  <c r="J363" i="4"/>
  <c r="K363" i="4" s="1"/>
  <c r="I351" i="4"/>
  <c r="J351" i="4"/>
  <c r="K351" i="4" s="1"/>
  <c r="I339" i="4"/>
  <c r="J339" i="4"/>
  <c r="K339" i="4" s="1"/>
  <c r="I326" i="4"/>
  <c r="J326" i="4"/>
  <c r="K326" i="4" s="1"/>
  <c r="I314" i="4"/>
  <c r="J314" i="4"/>
  <c r="K314" i="4" s="1"/>
  <c r="I302" i="4"/>
  <c r="J302" i="4"/>
  <c r="K302" i="4" s="1"/>
  <c r="I288" i="4"/>
  <c r="J288" i="4"/>
  <c r="K288" i="4" s="1"/>
  <c r="I276" i="4"/>
  <c r="J276" i="4"/>
  <c r="K276" i="4" s="1"/>
  <c r="I264" i="4"/>
  <c r="J264" i="4"/>
  <c r="K264" i="4" s="1"/>
  <c r="I252" i="4"/>
  <c r="J252" i="4"/>
  <c r="K252" i="4" s="1"/>
  <c r="I236" i="4"/>
  <c r="J236" i="4"/>
  <c r="K236" i="4" s="1"/>
  <c r="J543" i="4"/>
  <c r="K543" i="4" s="1"/>
  <c r="I210" i="4"/>
  <c r="J210" i="4"/>
  <c r="K210" i="4" s="1"/>
  <c r="J105" i="4"/>
  <c r="K105" i="4" s="1"/>
  <c r="I185" i="4"/>
  <c r="J185" i="4"/>
  <c r="I173" i="4"/>
  <c r="J173" i="4"/>
  <c r="K173" i="4" s="1"/>
  <c r="J254" i="4"/>
  <c r="K254" i="4" s="1"/>
  <c r="I146" i="4"/>
  <c r="J146" i="4"/>
  <c r="K146" i="4" s="1"/>
  <c r="I130" i="4"/>
  <c r="J130" i="4"/>
  <c r="K130" i="4" s="1"/>
  <c r="I117" i="4"/>
  <c r="J117" i="4"/>
  <c r="K117" i="4" s="1"/>
  <c r="J554" i="4"/>
  <c r="K554" i="4" s="1"/>
  <c r="J539" i="4"/>
  <c r="K539" i="4" s="1"/>
  <c r="J100" i="4"/>
  <c r="K100" i="4" s="1"/>
  <c r="J370" i="4"/>
  <c r="K370" i="4" s="1"/>
  <c r="J368" i="4"/>
  <c r="K368" i="4" s="1"/>
  <c r="I41" i="4"/>
  <c r="J41" i="4"/>
  <c r="K41" i="4" s="1"/>
  <c r="J94" i="4"/>
  <c r="K94" i="4" s="1"/>
  <c r="I17" i="4"/>
  <c r="J17" i="4"/>
  <c r="K17" i="4" s="1"/>
  <c r="I656" i="4"/>
  <c r="J656" i="4"/>
  <c r="I687" i="4"/>
  <c r="J687" i="4"/>
  <c r="I488" i="4"/>
  <c r="J488" i="4"/>
  <c r="I425" i="4"/>
  <c r="J425" i="4"/>
  <c r="K425" i="4" s="1"/>
  <c r="I286" i="4"/>
  <c r="J286" i="4"/>
  <c r="K286" i="4" s="1"/>
  <c r="I101" i="4"/>
  <c r="J101" i="4"/>
  <c r="K101" i="4" s="1"/>
  <c r="I577" i="4"/>
  <c r="J577" i="4"/>
  <c r="I526" i="4"/>
  <c r="J526" i="4"/>
  <c r="I474" i="4"/>
  <c r="J474" i="4"/>
  <c r="I424" i="4"/>
  <c r="J424" i="4"/>
  <c r="K424" i="4" s="1"/>
  <c r="I348" i="4"/>
  <c r="J348" i="4"/>
  <c r="K348" i="4" s="1"/>
  <c r="J248" i="4"/>
  <c r="K248" i="4" s="1"/>
  <c r="I50" i="4"/>
  <c r="J50" i="4"/>
  <c r="K50" i="4" s="1"/>
  <c r="I4" i="4"/>
  <c r="J4" i="4"/>
  <c r="K4" i="4" s="1"/>
  <c r="I525" i="4"/>
  <c r="J525" i="4"/>
  <c r="I296" i="4"/>
  <c r="J296" i="4"/>
  <c r="K296" i="4" s="1"/>
  <c r="I206" i="4"/>
  <c r="J206" i="4"/>
  <c r="I141" i="4"/>
  <c r="J141" i="4"/>
  <c r="I89" i="4"/>
  <c r="J89" i="4"/>
  <c r="K89" i="4" s="1"/>
  <c r="I49" i="4"/>
  <c r="J49" i="4"/>
  <c r="K49" i="4" s="1"/>
  <c r="I679" i="4"/>
  <c r="J679" i="4"/>
  <c r="K679" i="4" s="1"/>
  <c r="I613" i="4"/>
  <c r="J613" i="4"/>
  <c r="K613" i="4" s="1"/>
  <c r="I575" i="4"/>
  <c r="J575" i="4"/>
  <c r="I510" i="4"/>
  <c r="J510" i="4"/>
  <c r="J733" i="4"/>
  <c r="I547" i="4"/>
  <c r="J547" i="4"/>
  <c r="I508" i="4"/>
  <c r="J508" i="4"/>
  <c r="I382" i="4"/>
  <c r="J382" i="4"/>
  <c r="K382" i="4" s="1"/>
  <c r="I356" i="4"/>
  <c r="J356" i="4"/>
  <c r="K356" i="4" s="1"/>
  <c r="I293" i="4"/>
  <c r="J293" i="4"/>
  <c r="K293" i="4" s="1"/>
  <c r="I609" i="4"/>
  <c r="J609" i="4"/>
  <c r="I570" i="4"/>
  <c r="J570" i="4"/>
  <c r="I546" i="4"/>
  <c r="J546" i="4"/>
  <c r="I521" i="4"/>
  <c r="J521" i="4"/>
  <c r="J298" i="4"/>
  <c r="K298" i="4" s="1"/>
  <c r="I280" i="4"/>
  <c r="J280" i="4"/>
  <c r="K280" i="4" s="1"/>
  <c r="I104" i="4"/>
  <c r="J104" i="4"/>
  <c r="K104" i="4" s="1"/>
  <c r="I223" i="4"/>
  <c r="J223" i="4"/>
  <c r="K223" i="4" s="1"/>
  <c r="J719" i="4"/>
  <c r="I666" i="4"/>
  <c r="J666" i="4"/>
  <c r="K666" i="4" s="1"/>
  <c r="I617" i="4"/>
  <c r="J617" i="4"/>
  <c r="K617" i="4" s="1"/>
  <c r="I604" i="4"/>
  <c r="J604" i="4"/>
  <c r="I591" i="4"/>
  <c r="J591" i="4"/>
  <c r="I579" i="4"/>
  <c r="J579" i="4"/>
  <c r="I565" i="4"/>
  <c r="J565" i="4"/>
  <c r="J676" i="4"/>
  <c r="K676" i="4" s="1"/>
  <c r="I541" i="4"/>
  <c r="J541" i="4"/>
  <c r="I528" i="4"/>
  <c r="J528" i="4"/>
  <c r="I516" i="4"/>
  <c r="J516" i="4"/>
  <c r="I501" i="4"/>
  <c r="J501" i="4"/>
  <c r="I489" i="4"/>
  <c r="J489" i="4"/>
  <c r="I476" i="4"/>
  <c r="J476" i="4"/>
  <c r="I462" i="4"/>
  <c r="J462" i="4"/>
  <c r="K462" i="4" s="1"/>
  <c r="I450" i="4"/>
  <c r="J450" i="4"/>
  <c r="K450" i="4" s="1"/>
  <c r="I672" i="4"/>
  <c r="I426" i="4"/>
  <c r="J426" i="4"/>
  <c r="K426" i="4" s="1"/>
  <c r="I413" i="4"/>
  <c r="J413" i="4"/>
  <c r="K413" i="4" s="1"/>
  <c r="J736" i="4"/>
  <c r="K736" i="4" s="1"/>
  <c r="I388" i="4"/>
  <c r="J388" i="4"/>
  <c r="K388" i="4" s="1"/>
  <c r="I376" i="4"/>
  <c r="J376" i="4"/>
  <c r="K376" i="4" s="1"/>
  <c r="I362" i="4"/>
  <c r="J362" i="4"/>
  <c r="K362" i="4" s="1"/>
  <c r="J734" i="4"/>
  <c r="I338" i="4"/>
  <c r="J338" i="4"/>
  <c r="K338" i="4" s="1"/>
  <c r="I325" i="4"/>
  <c r="J325" i="4"/>
  <c r="K325" i="4" s="1"/>
  <c r="I313" i="4"/>
  <c r="J313" i="4"/>
  <c r="I300" i="4"/>
  <c r="J300" i="4"/>
  <c r="K300" i="4" s="1"/>
  <c r="I287" i="4"/>
  <c r="J287" i="4"/>
  <c r="K287" i="4" s="1"/>
  <c r="I275" i="4"/>
  <c r="J275" i="4"/>
  <c r="K275" i="4" s="1"/>
  <c r="I263" i="4"/>
  <c r="J263" i="4"/>
  <c r="K263" i="4" s="1"/>
  <c r="I251" i="4"/>
  <c r="J251" i="4"/>
  <c r="K251" i="4" s="1"/>
  <c r="J717" i="4"/>
  <c r="J79" i="4"/>
  <c r="K79" i="4" s="1"/>
  <c r="J110" i="4"/>
  <c r="K110" i="4" s="1"/>
  <c r="I197" i="4"/>
  <c r="J197" i="4"/>
  <c r="I184" i="4"/>
  <c r="J184" i="4"/>
  <c r="K184" i="4" s="1"/>
  <c r="I171" i="4"/>
  <c r="J171" i="4"/>
  <c r="I158" i="4"/>
  <c r="J158" i="4"/>
  <c r="K158" i="4" s="1"/>
  <c r="I145" i="4"/>
  <c r="J145" i="4"/>
  <c r="K145" i="4" s="1"/>
  <c r="I129" i="4"/>
  <c r="J129" i="4"/>
  <c r="K129" i="4" s="1"/>
  <c r="I116" i="4"/>
  <c r="J116" i="4"/>
  <c r="K116" i="4" s="1"/>
  <c r="I713" i="4"/>
  <c r="I18" i="4"/>
  <c r="J18" i="4"/>
  <c r="K18" i="4" s="1"/>
  <c r="J32" i="4"/>
  <c r="K32" i="4" s="1"/>
  <c r="J31" i="4"/>
  <c r="K31" i="4" s="1"/>
  <c r="I40" i="4"/>
  <c r="J40" i="4"/>
  <c r="K40" i="4" s="1"/>
  <c r="I27" i="4"/>
  <c r="J27" i="4"/>
  <c r="K27" i="4" s="1"/>
  <c r="I11" i="4"/>
  <c r="J11" i="4"/>
  <c r="K11" i="4" s="1"/>
  <c r="I688" i="4"/>
  <c r="I710" i="4"/>
  <c r="I52" i="4"/>
  <c r="I590" i="4"/>
  <c r="D3" i="10"/>
  <c r="I9" i="4"/>
  <c r="I207" i="4"/>
  <c r="I615" i="4"/>
  <c r="I56" i="4"/>
  <c r="I439" i="4"/>
  <c r="I16" i="4"/>
  <c r="I361" i="4"/>
  <c r="I620" i="4"/>
  <c r="I650" i="4" l="1"/>
  <c r="F594" i="4"/>
  <c r="H2" i="4"/>
  <c r="I2" i="4" s="1"/>
  <c r="I643" i="4"/>
  <c r="G172" i="4"/>
  <c r="F641" i="4"/>
  <c r="H641" i="4" s="1"/>
  <c r="I636" i="4"/>
  <c r="F535" i="4"/>
  <c r="H535" i="4" s="1"/>
  <c r="I535" i="4" s="1"/>
  <c r="F505" i="4"/>
  <c r="H505" i="4" s="1"/>
  <c r="F211" i="4"/>
  <c r="H211" i="4" s="1"/>
  <c r="I135" i="4"/>
  <c r="F162" i="4"/>
  <c r="H162" i="4" s="1"/>
  <c r="I627" i="4"/>
  <c r="F119" i="4"/>
  <c r="H119" i="4" s="1"/>
  <c r="I119" i="4" s="1"/>
  <c r="I625" i="4"/>
  <c r="F214" i="4"/>
  <c r="H214" i="4" s="1"/>
  <c r="F108" i="4"/>
  <c r="H108" i="4" s="1"/>
  <c r="H364" i="4"/>
  <c r="G249" i="4"/>
  <c r="H249" i="4" s="1"/>
  <c r="J249" i="4" s="1"/>
  <c r="K249" i="4" s="1"/>
  <c r="F21" i="4"/>
  <c r="H21" i="4" s="1"/>
  <c r="F441" i="4"/>
  <c r="H441" i="4" s="1"/>
  <c r="F149" i="4"/>
  <c r="H149" i="4" s="1"/>
  <c r="F7" i="4"/>
  <c r="H7" i="4" s="1"/>
  <c r="F6" i="4"/>
  <c r="H6" i="4" s="1"/>
  <c r="I505" i="4" l="1"/>
  <c r="H738" i="4"/>
  <c r="F738" i="4"/>
  <c r="H97" i="4"/>
  <c r="J97" i="4" s="1"/>
  <c r="K97" i="4" s="1"/>
  <c r="G738" i="4"/>
  <c r="I7" i="4"/>
  <c r="J7" i="4"/>
  <c r="K7" i="4" s="1"/>
  <c r="J534" i="4"/>
  <c r="I144" i="4"/>
  <c r="J144" i="4"/>
  <c r="I149" i="4"/>
  <c r="J149" i="4"/>
  <c r="K149" i="4" s="1"/>
  <c r="I441" i="4"/>
  <c r="J441" i="4"/>
  <c r="K441" i="4" s="1"/>
  <c r="I162" i="4"/>
  <c r="J162" i="4"/>
  <c r="K162" i="4" s="1"/>
  <c r="I108" i="4"/>
  <c r="J108" i="4"/>
  <c r="K108" i="4" s="1"/>
  <c r="I641" i="4"/>
  <c r="J641" i="4"/>
  <c r="I21" i="4"/>
  <c r="J21" i="4"/>
  <c r="K21" i="4" s="1"/>
  <c r="I211" i="4"/>
  <c r="J211" i="4"/>
  <c r="K211" i="4" s="1"/>
  <c r="I214" i="4"/>
  <c r="J214" i="4"/>
  <c r="K214" i="4" s="1"/>
  <c r="I6" i="4"/>
  <c r="J6" i="4"/>
  <c r="K6" i="4" s="1"/>
  <c r="I364" i="4"/>
  <c r="J364" i="4"/>
  <c r="K364" i="4" s="1"/>
  <c r="I249" i="4"/>
  <c r="H172" i="4"/>
  <c r="H594" i="4"/>
  <c r="I664" i="4"/>
  <c r="H96" i="4"/>
  <c r="J2" i="4"/>
  <c r="K2" i="4" s="1"/>
  <c r="J119" i="4" l="1"/>
  <c r="K119" i="4" s="1"/>
  <c r="I97" i="4"/>
  <c r="J505" i="4"/>
  <c r="I96" i="4"/>
  <c r="J96" i="4"/>
  <c r="K96" i="4" s="1"/>
  <c r="J327" i="4"/>
  <c r="I594" i="4"/>
  <c r="J594" i="4"/>
  <c r="I172" i="4"/>
  <c r="J172" i="4"/>
  <c r="K172" i="4" s="1"/>
  <c r="J535" i="4"/>
  <c r="D10" i="10" l="1"/>
  <c r="D11" i="10" l="1"/>
  <c r="D12" i="10" l="1"/>
  <c r="I380" i="4"/>
</calcChain>
</file>

<file path=xl/sharedStrings.xml><?xml version="1.0" encoding="utf-8"?>
<sst xmlns="http://schemas.openxmlformats.org/spreadsheetml/2006/main" count="4204" uniqueCount="403">
  <si>
    <t>Centro</t>
  </si>
  <si>
    <t>Formato</t>
  </si>
  <si>
    <t>Supranumero</t>
  </si>
  <si>
    <t>Descripcion</t>
  </si>
  <si>
    <t>Plan (RD$)</t>
  </si>
  <si>
    <t>Real (RD$)</t>
  </si>
  <si>
    <t>Comprometido (RD$)</t>
  </si>
  <si>
    <t>Ejecutado Total (RD$)</t>
  </si>
  <si>
    <t>Pendiente (RD$)</t>
  </si>
  <si>
    <t>% Ejecucion</t>
  </si>
  <si>
    <t>Estatus</t>
  </si>
  <si>
    <t>A001</t>
  </si>
  <si>
    <t>Aires Acondicionados</t>
  </si>
  <si>
    <t>13.01.10</t>
  </si>
  <si>
    <t>Decoración de tienda</t>
  </si>
  <si>
    <t>02.03.01</t>
  </si>
  <si>
    <t>Edificios y mejoras arrendados</t>
  </si>
  <si>
    <t>14.03.01</t>
  </si>
  <si>
    <t>Estantes de cuartos fríos</t>
  </si>
  <si>
    <t>10.02.02</t>
  </si>
  <si>
    <t>Evaporadores</t>
  </si>
  <si>
    <t>08.03.04</t>
  </si>
  <si>
    <t>Instalaciones Electricas</t>
  </si>
  <si>
    <t>08.02.01</t>
  </si>
  <si>
    <t>Luminarias</t>
  </si>
  <si>
    <t>13.01.04</t>
  </si>
  <si>
    <t>Muebles de panaderia</t>
  </si>
  <si>
    <t>10.01.01</t>
  </si>
  <si>
    <t>Neveras</t>
  </si>
  <si>
    <t>14.01.03</t>
  </si>
  <si>
    <t>Pallet Jack</t>
  </si>
  <si>
    <t>10.02.05</t>
  </si>
  <si>
    <t>Puertas vaivén</t>
  </si>
  <si>
    <t>10.02.03</t>
  </si>
  <si>
    <t>Racks de refrigeración y chillers</t>
  </si>
  <si>
    <t>A002</t>
  </si>
  <si>
    <t>A003</t>
  </si>
  <si>
    <t>09.01.01</t>
  </si>
  <si>
    <t>Aires acondicionados</t>
  </si>
  <si>
    <t>02.01.02</t>
  </si>
  <si>
    <t>Mejoras a Tiendas y Áreas de Apoyo</t>
  </si>
  <si>
    <t>A004</t>
  </si>
  <si>
    <t>A005</t>
  </si>
  <si>
    <t>Balanzas</t>
  </si>
  <si>
    <t>03.02.06</t>
  </si>
  <si>
    <t>Impresoras y Multifuncionales</t>
  </si>
  <si>
    <t>A006</t>
  </si>
  <si>
    <t>07.03.01</t>
  </si>
  <si>
    <t>Montacargas y plataformas</t>
  </si>
  <si>
    <t>A007</t>
  </si>
  <si>
    <t>09.01.03</t>
  </si>
  <si>
    <t>Aire Acondicionado split</t>
  </si>
  <si>
    <t>A008</t>
  </si>
  <si>
    <t>12.02.01</t>
  </si>
  <si>
    <t>Rapeadoras</t>
  </si>
  <si>
    <t>03.04.02</t>
  </si>
  <si>
    <t>Scanners de Checkout y de mesa</t>
  </si>
  <si>
    <t>A009</t>
  </si>
  <si>
    <t>08.03.02</t>
  </si>
  <si>
    <t>Paneles Electricos</t>
  </si>
  <si>
    <t>08.03.01</t>
  </si>
  <si>
    <t>Transformadores</t>
  </si>
  <si>
    <t>A010</t>
  </si>
  <si>
    <t>08.01.01</t>
  </si>
  <si>
    <t>Plantas eléctricas y sub estaciones</t>
  </si>
  <si>
    <t>A011</t>
  </si>
  <si>
    <t>13.02.01</t>
  </si>
  <si>
    <t>Carritos de tienda</t>
  </si>
  <si>
    <t>05.02.01</t>
  </si>
  <si>
    <t>Contadora de billetes y monedas</t>
  </si>
  <si>
    <t>A012</t>
  </si>
  <si>
    <t>05.01.03</t>
  </si>
  <si>
    <t>Mesas</t>
  </si>
  <si>
    <t>A013</t>
  </si>
  <si>
    <t>A014</t>
  </si>
  <si>
    <t>Canastas de tienda</t>
  </si>
  <si>
    <t>A015</t>
  </si>
  <si>
    <t>A016</t>
  </si>
  <si>
    <t>13.03.07</t>
  </si>
  <si>
    <t>Lockers de empleados</t>
  </si>
  <si>
    <t>A018</t>
  </si>
  <si>
    <t>A019</t>
  </si>
  <si>
    <t>A020</t>
  </si>
  <si>
    <t>13.03.08</t>
  </si>
  <si>
    <t>Bombas de agua</t>
  </si>
  <si>
    <t>Ventiladores</t>
  </si>
  <si>
    <t>A021</t>
  </si>
  <si>
    <t>A022</t>
  </si>
  <si>
    <t>A023</t>
  </si>
  <si>
    <t>A024</t>
  </si>
  <si>
    <t>13.01.13</t>
  </si>
  <si>
    <t>Muebles de tienda</t>
  </si>
  <si>
    <t>02.01.01</t>
  </si>
  <si>
    <t>Tiendas</t>
  </si>
  <si>
    <t>A025</t>
  </si>
  <si>
    <t>13.02.02</t>
  </si>
  <si>
    <t>13.03.05</t>
  </si>
  <si>
    <t>Equipos de tienda</t>
  </si>
  <si>
    <t>A026</t>
  </si>
  <si>
    <t>11.01.02</t>
  </si>
  <si>
    <t>Camaras de seguridad y CCTV</t>
  </si>
  <si>
    <t>03.04.05</t>
  </si>
  <si>
    <t>HandHelds y accesorios</t>
  </si>
  <si>
    <t xml:space="preserve">Paneles    </t>
  </si>
  <si>
    <t>A027</t>
  </si>
  <si>
    <t>A028</t>
  </si>
  <si>
    <t>17.01.25</t>
  </si>
  <si>
    <t>Equipos de panaderia</t>
  </si>
  <si>
    <t>A029</t>
  </si>
  <si>
    <t>A030</t>
  </si>
  <si>
    <t>A031</t>
  </si>
  <si>
    <t>A032</t>
  </si>
  <si>
    <t>A033</t>
  </si>
  <si>
    <t>A034</t>
  </si>
  <si>
    <t>Paneles</t>
  </si>
  <si>
    <t>A035</t>
  </si>
  <si>
    <t>A036</t>
  </si>
  <si>
    <t>A037</t>
  </si>
  <si>
    <t>A038</t>
  </si>
  <si>
    <t>A039</t>
  </si>
  <si>
    <t>A040</t>
  </si>
  <si>
    <t>A041</t>
  </si>
  <si>
    <t>A042</t>
  </si>
  <si>
    <t>A044</t>
  </si>
  <si>
    <t>AF01</t>
  </si>
  <si>
    <t>09.02.01</t>
  </si>
  <si>
    <t>Extractores e inyectores</t>
  </si>
  <si>
    <t>CD01</t>
  </si>
  <si>
    <t>Logistica</t>
  </si>
  <si>
    <t>13.03.02</t>
  </si>
  <si>
    <t>Bumpers de tienda</t>
  </si>
  <si>
    <t>11.01.04</t>
  </si>
  <si>
    <t>Equipos de Seguridad</t>
  </si>
  <si>
    <t>13.03.03</t>
  </si>
  <si>
    <t>Escaleras electricas y rampas</t>
  </si>
  <si>
    <t>03.03.09</t>
  </si>
  <si>
    <t>Radios de Comunicacion</t>
  </si>
  <si>
    <t>05.01.02</t>
  </si>
  <si>
    <t>Sillas</t>
  </si>
  <si>
    <t>SIN SUPRA</t>
  </si>
  <si>
    <t>Sin plan / sin clasificar</t>
  </si>
  <si>
    <t>14.03.02</t>
  </si>
  <si>
    <t>Tramerías de almacén</t>
  </si>
  <si>
    <t>CFV1</t>
  </si>
  <si>
    <t>11.02.05</t>
  </si>
  <si>
    <t>Sistema de supresion de incendios</t>
  </si>
  <si>
    <t>CO01</t>
  </si>
  <si>
    <t>Formato de Apoyo</t>
  </si>
  <si>
    <t>06.02.01</t>
  </si>
  <si>
    <t>Carros</t>
  </si>
  <si>
    <t>06.02.03</t>
  </si>
  <si>
    <t>Furgoneta</t>
  </si>
  <si>
    <t>Imprevisto</t>
  </si>
  <si>
    <t>CPT1</t>
  </si>
  <si>
    <t>CT01</t>
  </si>
  <si>
    <t>CT02</t>
  </si>
  <si>
    <t>GA01</t>
  </si>
  <si>
    <t>14.01.02</t>
  </si>
  <si>
    <t>Compactadora de cartón</t>
  </si>
  <si>
    <t>LS01</t>
  </si>
  <si>
    <t>13.03.04</t>
  </si>
  <si>
    <t>Ascensores de tienda</t>
  </si>
  <si>
    <t>11.01.01</t>
  </si>
  <si>
    <t>Cajas fuertes</t>
  </si>
  <si>
    <t>17.02.01</t>
  </si>
  <si>
    <t>Carros de carniceria</t>
  </si>
  <si>
    <t>17.01.06</t>
  </si>
  <si>
    <t>Hornos Rostizador</t>
  </si>
  <si>
    <t>LS02</t>
  </si>
  <si>
    <t>Ls02</t>
  </si>
  <si>
    <t>14.02.06</t>
  </si>
  <si>
    <t>Carritos de gondoleros</t>
  </si>
  <si>
    <t>13.01.08</t>
  </si>
  <si>
    <t>Góndolas</t>
  </si>
  <si>
    <t>17.01.05</t>
  </si>
  <si>
    <t>Rebanadoras</t>
  </si>
  <si>
    <t>17.01.22</t>
  </si>
  <si>
    <t>Tenderizadoras</t>
  </si>
  <si>
    <t>MC01</t>
  </si>
  <si>
    <t>17.01.21</t>
  </si>
  <si>
    <t>Equipos y utensilios de cocina</t>
  </si>
  <si>
    <t>17.01.02</t>
  </si>
  <si>
    <t>Molinos de carnes</t>
  </si>
  <si>
    <t>17.01.04</t>
  </si>
  <si>
    <t>Sierras de carne</t>
  </si>
  <si>
    <t>MC02</t>
  </si>
  <si>
    <t>17.01.07</t>
  </si>
  <si>
    <t>Hornos de pan</t>
  </si>
  <si>
    <t>17.01.03</t>
  </si>
  <si>
    <t>Molinos ralladores de pan</t>
  </si>
  <si>
    <t xml:space="preserve">Tanque de presion </t>
  </si>
  <si>
    <t>MC03</t>
  </si>
  <si>
    <t>11.01.03</t>
  </si>
  <si>
    <t>Candados de seguridad</t>
  </si>
  <si>
    <t>12.03.29</t>
  </si>
  <si>
    <t>Lavadora/secadora industrial</t>
  </si>
  <si>
    <t>13.02.03</t>
  </si>
  <si>
    <t>Sillas de ruedas para compras</t>
  </si>
  <si>
    <t>MC04</t>
  </si>
  <si>
    <t>08.01.03</t>
  </si>
  <si>
    <t>Inversor</t>
  </si>
  <si>
    <t>MC05</t>
  </si>
  <si>
    <t>12.01.01</t>
  </si>
  <si>
    <t>Microondas</t>
  </si>
  <si>
    <t>MC06</t>
  </si>
  <si>
    <t>Sirena</t>
  </si>
  <si>
    <t>Paneles de control</t>
  </si>
  <si>
    <t>MC07</t>
  </si>
  <si>
    <t>Evaporador</t>
  </si>
  <si>
    <t>MC08</t>
  </si>
  <si>
    <t>MC09</t>
  </si>
  <si>
    <t>12.02.02</t>
  </si>
  <si>
    <t>Empacadoras al vacio</t>
  </si>
  <si>
    <t>14.03.03</t>
  </si>
  <si>
    <t>Muelles niveladores</t>
  </si>
  <si>
    <t>10.02.01</t>
  </si>
  <si>
    <t>Paneles de cuarto frio</t>
  </si>
  <si>
    <t>17.01.24</t>
  </si>
  <si>
    <t>Purificadores de aguas</t>
  </si>
  <si>
    <t>MC10</t>
  </si>
  <si>
    <t>09.01.02</t>
  </si>
  <si>
    <t>Cortinas de aire</t>
  </si>
  <si>
    <t>MC11</t>
  </si>
  <si>
    <t>07.01.01</t>
  </si>
  <si>
    <t>Camiones</t>
  </si>
  <si>
    <t>MC12</t>
  </si>
  <si>
    <t>MC13</t>
  </si>
  <si>
    <t>MC14</t>
  </si>
  <si>
    <t>MC15</t>
  </si>
  <si>
    <t>MC16</t>
  </si>
  <si>
    <t>Calderos</t>
  </si>
  <si>
    <t>14.01.01</t>
  </si>
  <si>
    <t>Compactadora de basura</t>
  </si>
  <si>
    <t>Dispensador de funda</t>
  </si>
  <si>
    <t>05.01.01</t>
  </si>
  <si>
    <t>Handhelds</t>
  </si>
  <si>
    <t>MC17</t>
  </si>
  <si>
    <t>17.01.15</t>
  </si>
  <si>
    <t>Fermentadoras</t>
  </si>
  <si>
    <t>MC18</t>
  </si>
  <si>
    <t>MC19</t>
  </si>
  <si>
    <t>MC20</t>
  </si>
  <si>
    <t>MC21</t>
  </si>
  <si>
    <t>17.02.02</t>
  </si>
  <si>
    <t>Carros de panaderia</t>
  </si>
  <si>
    <t>Compactadora rieles</t>
  </si>
  <si>
    <t>Recogida de basura</t>
  </si>
  <si>
    <t xml:space="preserve">Scanner de tecnologia </t>
  </si>
  <si>
    <t>MC22</t>
  </si>
  <si>
    <t>11.02.04</t>
  </si>
  <si>
    <t>Bomba jockey</t>
  </si>
  <si>
    <t>Carros de compra</t>
  </si>
  <si>
    <t>Zafacon</t>
  </si>
  <si>
    <t>MC23</t>
  </si>
  <si>
    <t>11.02.03</t>
  </si>
  <si>
    <t>Motobomba SCI</t>
  </si>
  <si>
    <t>MC24</t>
  </si>
  <si>
    <t>MC25</t>
  </si>
  <si>
    <t>13.01.05</t>
  </si>
  <si>
    <t>Muebles de vegetales</t>
  </si>
  <si>
    <t>MC26</t>
  </si>
  <si>
    <t>MC27</t>
  </si>
  <si>
    <t>MC31</t>
  </si>
  <si>
    <t>MP03</t>
  </si>
  <si>
    <t>Multiplaza</t>
  </si>
  <si>
    <t>PA01</t>
  </si>
  <si>
    <t>Planta Panificadora</t>
  </si>
  <si>
    <t>PL01</t>
  </si>
  <si>
    <t>07.01.02</t>
  </si>
  <si>
    <t>Cabezotes</t>
  </si>
  <si>
    <t>07.02.02</t>
  </si>
  <si>
    <t>Furgones secos</t>
  </si>
  <si>
    <t>PR02</t>
  </si>
  <si>
    <t>Lavanderia Pressto</t>
  </si>
  <si>
    <t>12.03.33</t>
  </si>
  <si>
    <t>Planchas Industriales y accesorios</t>
  </si>
  <si>
    <t>PR03</t>
  </si>
  <si>
    <t>PR05</t>
  </si>
  <si>
    <t>PR08</t>
  </si>
  <si>
    <t>PR11</t>
  </si>
  <si>
    <t>PR13</t>
  </si>
  <si>
    <t>SP01</t>
  </si>
  <si>
    <t>SP02</t>
  </si>
  <si>
    <t>11.02.01</t>
  </si>
  <si>
    <t>Sistemas contra incendio</t>
  </si>
  <si>
    <t>SP03</t>
  </si>
  <si>
    <t>Instalacion de hornos</t>
  </si>
  <si>
    <t>SP04</t>
  </si>
  <si>
    <t>17.01.19</t>
  </si>
  <si>
    <t>Procesador de alimentos y vegetales</t>
  </si>
  <si>
    <t>SP05</t>
  </si>
  <si>
    <t>Accesorios para hornos</t>
  </si>
  <si>
    <t>SP06</t>
  </si>
  <si>
    <t>SP07</t>
  </si>
  <si>
    <t>Montacargas</t>
  </si>
  <si>
    <t>SP08</t>
  </si>
  <si>
    <t>SP09</t>
  </si>
  <si>
    <t>Hornos</t>
  </si>
  <si>
    <t>SP10</t>
  </si>
  <si>
    <t>SP13</t>
  </si>
  <si>
    <t xml:space="preserve">Pintura </t>
  </si>
  <si>
    <t>Mes</t>
  </si>
  <si>
    <t>Plan</t>
  </si>
  <si>
    <t>Ejecutado</t>
  </si>
  <si>
    <t>% Avance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</si>
  <si>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</si>
  <si>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</si>
  <si>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</si>
  <si>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</si>
  <si>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</si>
  <si>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</si>
  <si>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</si>
  <si>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</si>
  <si>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</si>
  <si>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</si>
  <si>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</si>
  <si>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Responsable</t>
  </si>
  <si>
    <t>Tipo de Match</t>
  </si>
  <si>
    <t>Sin match</t>
  </si>
  <si>
    <t>Aprezio</t>
  </si>
  <si>
    <t>Centro + Supranumero</t>
  </si>
  <si>
    <t>Mantenimiento</t>
  </si>
  <si>
    <t>Centro + Descripcion</t>
  </si>
  <si>
    <t>Operaciones</t>
  </si>
  <si>
    <t>Plataforma de metal</t>
  </si>
  <si>
    <t>TRANSFERENCIA DE FONDOS</t>
  </si>
  <si>
    <t>Lockers de tienda</t>
  </si>
  <si>
    <t>Remodelacion Sirena Go</t>
  </si>
  <si>
    <t xml:space="preserve">Muebles de flores </t>
  </si>
  <si>
    <t xml:space="preserve">Fregadora de piso </t>
  </si>
  <si>
    <t xml:space="preserve">Mueble de merma </t>
  </si>
  <si>
    <t>Carros pequeños de tienda</t>
  </si>
  <si>
    <t>Hidrolavadora</t>
  </si>
  <si>
    <t xml:space="preserve">Secador de manos </t>
  </si>
  <si>
    <t>Ventilador industrial</t>
  </si>
  <si>
    <t>Banco de capacitores</t>
  </si>
  <si>
    <t>Silla de compra</t>
  </si>
  <si>
    <t>Nevera</t>
  </si>
  <si>
    <t>Mobiliario</t>
  </si>
  <si>
    <t xml:space="preserve">Paneles  </t>
  </si>
  <si>
    <t>Rep. Fermentadora</t>
  </si>
  <si>
    <t>Pendiente</t>
  </si>
  <si>
    <t>T4</t>
  </si>
  <si>
    <t>Media</t>
  </si>
  <si>
    <t>En proceso</t>
  </si>
  <si>
    <t>PA-004</t>
  </si>
  <si>
    <t>Alta</t>
  </si>
  <si>
    <t>15/10/2026</t>
  </si>
  <si>
    <t>PA-003</t>
  </si>
  <si>
    <t>T3</t>
  </si>
  <si>
    <t>PA-002</t>
  </si>
  <si>
    <t>Climatización</t>
  </si>
  <si>
    <t>PA-001</t>
  </si>
  <si>
    <t>Comentario</t>
  </si>
  <si>
    <t>Última actualización</t>
  </si>
  <si>
    <t>Próximo paso</t>
  </si>
  <si>
    <t>Impacto RD$</t>
  </si>
  <si>
    <t>Prioridad</t>
  </si>
  <si>
    <t>Fecha compromiso</t>
  </si>
  <si>
    <t>Acción</t>
  </si>
  <si>
    <t>Situación / Desviación</t>
  </si>
  <si>
    <t>Tema</t>
  </si>
  <si>
    <t>Trimestre</t>
  </si>
  <si>
    <t>Área</t>
  </si>
  <si>
    <t>ID</t>
  </si>
  <si>
    <t>Hornos de panaderia</t>
  </si>
  <si>
    <t xml:space="preserve">Equipos en transito </t>
  </si>
  <si>
    <t>Analia Peguero</t>
  </si>
  <si>
    <t>Recibir para proceder con el despachoa las tiendas</t>
  </si>
  <si>
    <t>Multicabezal</t>
  </si>
  <si>
    <t xml:space="preserve">Detector de metales </t>
  </si>
  <si>
    <t>Equipo en fabrica</t>
  </si>
  <si>
    <t>No se habia creado el proveedor</t>
  </si>
  <si>
    <t>Crear orden de compra</t>
  </si>
  <si>
    <t>Emitir saldo</t>
  </si>
  <si>
    <t xml:space="preserve">Puertas vaiven </t>
  </si>
  <si>
    <t>Ruta de evacuacion</t>
  </si>
  <si>
    <t>PR04</t>
  </si>
  <si>
    <t xml:space="preserve">Letrero de fachada </t>
  </si>
  <si>
    <t>PR12</t>
  </si>
  <si>
    <t>Ipad</t>
  </si>
  <si>
    <t>Monitores</t>
  </si>
  <si>
    <t>Mobiliario Sirena Go</t>
  </si>
  <si>
    <t>Detector de metales</t>
  </si>
  <si>
    <t xml:space="preserve">Taburetes para cajeros </t>
  </si>
  <si>
    <t>Sillas de oficinas</t>
  </si>
  <si>
    <t>Termometros de temperatura</t>
  </si>
  <si>
    <t>Desinstalacion plataformas de carga</t>
  </si>
  <si>
    <t>Sillas de cajeros</t>
  </si>
  <si>
    <t>Sillas gerenciales</t>
  </si>
  <si>
    <t>Mesas de temporada</t>
  </si>
  <si>
    <t>Remocion de piso preparacion de carnes</t>
  </si>
  <si>
    <t xml:space="preserve">Sillas de cajeros </t>
  </si>
  <si>
    <t>Check outs</t>
  </si>
  <si>
    <t>Escritoriosy sillas</t>
  </si>
  <si>
    <t xml:space="preserve">Hornos de pan </t>
  </si>
  <si>
    <t>Muebles de flores</t>
  </si>
  <si>
    <t>Horno de rosticeria</t>
  </si>
  <si>
    <t>Tablet Samsung</t>
  </si>
  <si>
    <t>Nevera Vision Autocontenida</t>
  </si>
  <si>
    <t>Construccion de drenaje horno Rational</t>
  </si>
  <si>
    <t>Printer Citaq V8</t>
  </si>
  <si>
    <t>Instalacion de 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</si>
</sst>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%"/>
    <numFmt numFmtId="165" formatCode="\$#,##0;&quot;($&quot;#,##0\);\-"/>
  </numFmts>
  <fonts count="7" x14ac:knownFonts="1">
    <font>
      <sz val="11"/>
      <color theme="1"/>
      <name val="Calibri"/>
    </font>
    <font>
      <sz val="10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 Light"/>
      <family val="2"/>
      <scheme val="major"/>
    </font>
    <font>
      <sz val="10"/>
      <name val="Arial"/>
    </font>
  </fonts>
  <fills count="2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theme="7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rgb="FFFFFF00"/>
      </patternFill>
    </fill>
    <fill>
      <patternFill patternType="solid">
        <fgColor rgb="FF174A8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92D050"/>
      </patternFill>
    </fill>
    <fill>
      <patternFill patternType="solid">
        <fgColor rgb="FF92D050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6">
    <xf numFmtId="0" fontId="0" fillId="0" borderId="0"/>
    <xf numFmtId="44" fontId="1" fillId="0" borderId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</cellStyleXfs>
  <cellXfs count="115">
    <xf numFmtId="0" fontId="0" fillId="0" borderId="0" xfId="0"/>
    <xf numFmtId="44" fontId="1" fillId="0" borderId="0" xfId="1"/>
    <xf numFmtId="0" fontId="0" fillId="4" borderId="0" xfId="0" applyFill="1"/>
    <xf numFmtId="0" fontId="0" fillId="6" borderId="0" xfId="0" applyFill="1"/>
    <xf numFmtId="9" fontId="0" fillId="0" borderId="0" xfId="2" applyFont="1"/>
    <xf numFmtId="0" fontId="4" fillId="8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0" fillId="5" borderId="0" xfId="0" applyFill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3" borderId="2" xfId="0" applyFont="1" applyFill="1" applyBorder="1"/>
    <xf numFmtId="0" fontId="0" fillId="9" borderId="2" xfId="0" applyFill="1" applyBorder="1"/>
    <xf numFmtId="44" fontId="1" fillId="9" borderId="2" xfId="1" applyFill="1" applyBorder="1"/>
    <xf numFmtId="44" fontId="1" fillId="0" borderId="2" xfId="1" applyBorder="1"/>
    <xf numFmtId="44" fontId="1" fillId="7" borderId="2" xfId="1" applyFill="1" applyBorder="1"/>
    <xf numFmtId="165" fontId="1" fillId="3" borderId="2" xfId="0" applyNumberFormat="1" applyFont="1" applyFill="1" applyBorder="1"/>
    <xf numFmtId="164" fontId="1" fillId="3" borderId="2" xfId="0" applyNumberFormat="1" applyFont="1" applyFill="1" applyBorder="1"/>
    <xf numFmtId="0" fontId="1" fillId="3" borderId="3" xfId="0" applyFont="1" applyFill="1" applyBorder="1"/>
    <xf numFmtId="0" fontId="1" fillId="9" borderId="2" xfId="0" applyFont="1" applyFill="1" applyBorder="1"/>
    <xf numFmtId="0" fontId="1" fillId="0" borderId="2" xfId="0" applyFont="1" applyBorder="1"/>
    <xf numFmtId="165" fontId="1" fillId="0" borderId="2" xfId="0" applyNumberFormat="1" applyFont="1" applyBorder="1"/>
    <xf numFmtId="0" fontId="0" fillId="0" borderId="2" xfId="0" applyBorder="1"/>
    <xf numFmtId="4" fontId="0" fillId="0" borderId="2" xfId="0" applyNumberFormat="1" applyBorder="1"/>
    <xf numFmtId="4" fontId="0" fillId="9" borderId="2" xfId="0" applyNumberFormat="1" applyFill="1" applyBorder="1"/>
    <xf numFmtId="44" fontId="1" fillId="6" borderId="2" xfId="1" applyFill="1" applyBorder="1"/>
    <xf numFmtId="0" fontId="1" fillId="4" borderId="2" xfId="0" applyFont="1" applyFill="1" applyBorder="1"/>
    <xf numFmtId="0" fontId="0" fillId="4" borderId="2" xfId="0" applyFill="1" applyBorder="1"/>
    <xf numFmtId="0" fontId="1" fillId="7" borderId="2" xfId="0" applyFont="1" applyFill="1" applyBorder="1"/>
    <xf numFmtId="0" fontId="1" fillId="6" borderId="2" xfId="0" applyFont="1" applyFill="1" applyBorder="1"/>
    <xf numFmtId="43" fontId="5" fillId="0" borderId="0" xfId="0" applyNumberFormat="1" applyFont="1"/>
    <xf numFmtId="43" fontId="5" fillId="10" borderId="0" xfId="0" applyNumberFormat="1" applyFont="1" applyFill="1"/>
    <xf numFmtId="43" fontId="5" fillId="11" borderId="0" xfId="0" applyNumberFormat="1" applyFont="1" applyFill="1"/>
    <xf numFmtId="44" fontId="0" fillId="0" borderId="0" xfId="0" applyNumberFormat="1"/>
    <xf numFmtId="9" fontId="0" fillId="0" borderId="0" xfId="3" applyFont="1"/>
    <xf numFmtId="44" fontId="1" fillId="12" borderId="2" xfId="1" applyFill="1" applyBorder="1"/>
    <xf numFmtId="44" fontId="1" fillId="13" borderId="2" xfId="1" applyFill="1" applyBorder="1"/>
    <xf numFmtId="165" fontId="1" fillId="14" borderId="2" xfId="0" applyNumberFormat="1" applyFont="1" applyFill="1" applyBorder="1"/>
    <xf numFmtId="4" fontId="0" fillId="0" borderId="0" xfId="0" applyNumberFormat="1"/>
    <xf numFmtId="0" fontId="1" fillId="3" borderId="0" xfId="0" applyFont="1" applyFill="1"/>
    <xf numFmtId="44" fontId="1" fillId="15" borderId="2" xfId="1" applyFill="1" applyBorder="1"/>
    <xf numFmtId="44" fontId="1" fillId="16" borderId="2" xfId="1" applyFill="1" applyBorder="1"/>
    <xf numFmtId="0" fontId="1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44" fontId="1" fillId="9" borderId="1" xfId="1" applyFill="1" applyBorder="1"/>
    <xf numFmtId="165" fontId="1" fillId="4" borderId="1" xfId="0" applyNumberFormat="1" applyFont="1" applyFill="1" applyBorder="1"/>
    <xf numFmtId="165" fontId="1" fillId="6" borderId="2" xfId="0" applyNumberFormat="1" applyFont="1" applyFill="1" applyBorder="1"/>
    <xf numFmtId="0" fontId="1" fillId="16" borderId="2" xfId="0" applyFont="1" applyFill="1" applyBorder="1"/>
    <xf numFmtId="0" fontId="1" fillId="15" borderId="2" xfId="0" applyFont="1" applyFill="1" applyBorder="1"/>
    <xf numFmtId="4" fontId="0" fillId="16" borderId="2" xfId="0" applyNumberFormat="1" applyFill="1" applyBorder="1"/>
    <xf numFmtId="0" fontId="1" fillId="6" borderId="0" xfId="0" applyFont="1" applyFill="1"/>
    <xf numFmtId="0" fontId="0" fillId="16" borderId="0" xfId="0" applyFill="1"/>
    <xf numFmtId="44" fontId="0" fillId="0" borderId="0" xfId="4" applyFont="1"/>
    <xf numFmtId="0" fontId="1" fillId="10" borderId="2" xfId="0" applyFont="1" applyFill="1" applyBorder="1"/>
    <xf numFmtId="0" fontId="1" fillId="17" borderId="2" xfId="0" applyFont="1" applyFill="1" applyBorder="1"/>
    <xf numFmtId="0" fontId="1" fillId="18" borderId="2" xfId="0" applyFont="1" applyFill="1" applyBorder="1"/>
    <xf numFmtId="0" fontId="1" fillId="17" borderId="0" xfId="0" applyFont="1" applyFill="1"/>
    <xf numFmtId="0" fontId="1" fillId="9" borderId="0" xfId="0" applyFont="1" applyFill="1"/>
    <xf numFmtId="0" fontId="1" fillId="16" borderId="0" xfId="0" applyFont="1" applyFill="1"/>
    <xf numFmtId="0" fontId="0" fillId="16" borderId="2" xfId="0" applyFill="1" applyBorder="1"/>
    <xf numFmtId="0" fontId="1" fillId="13" borderId="2" xfId="0" applyFont="1" applyFill="1" applyBorder="1"/>
    <xf numFmtId="0" fontId="0" fillId="13" borderId="0" xfId="0" applyFill="1" applyAlignment="1">
      <alignment wrapText="1"/>
    </xf>
    <xf numFmtId="0" fontId="0" fillId="13" borderId="0" xfId="0" applyFill="1"/>
    <xf numFmtId="0" fontId="1" fillId="12" borderId="2" xfId="0" applyFont="1" applyFill="1" applyBorder="1"/>
    <xf numFmtId="0" fontId="1" fillId="13" borderId="0" xfId="0" applyFont="1" applyFill="1"/>
    <xf numFmtId="0" fontId="1" fillId="7" borderId="0" xfId="0" applyFont="1" applyFill="1"/>
    <xf numFmtId="0" fontId="1" fillId="12" borderId="0" xfId="0" applyFont="1" applyFill="1"/>
    <xf numFmtId="0" fontId="0" fillId="9" borderId="0" xfId="0" applyFill="1"/>
    <xf numFmtId="4" fontId="0" fillId="9" borderId="0" xfId="0" applyNumberFormat="1" applyFill="1"/>
    <xf numFmtId="0" fontId="0" fillId="19" borderId="0" xfId="0" applyFill="1" applyAlignment="1">
      <alignment wrapText="1"/>
    </xf>
    <xf numFmtId="0" fontId="0" fillId="20" borderId="0" xfId="0" applyFill="1" applyAlignment="1">
      <alignment wrapText="1"/>
    </xf>
    <xf numFmtId="44" fontId="1" fillId="21" borderId="2" xfId="1" applyFill="1" applyBorder="1"/>
    <xf numFmtId="44" fontId="1" fillId="22" borderId="2" xfId="1" applyFill="1" applyBorder="1"/>
    <xf numFmtId="44" fontId="0" fillId="13" borderId="0" xfId="0" applyNumberFormat="1" applyFill="1"/>
    <xf numFmtId="16" fontId="0" fillId="0" borderId="0" xfId="0" applyNumberFormat="1"/>
    <xf numFmtId="43" fontId="5" fillId="9" borderId="1" xfId="0" applyNumberFormat="1" applyFont="1" applyFill="1" applyBorder="1"/>
    <xf numFmtId="43" fontId="5" fillId="10" borderId="1" xfId="0" applyNumberFormat="1" applyFont="1" applyFill="1" applyBorder="1"/>
    <xf numFmtId="43" fontId="5" fillId="11" borderId="1" xfId="0" applyNumberFormat="1" applyFont="1" applyFill="1" applyBorder="1"/>
    <xf numFmtId="43" fontId="5" fillId="0" borderId="1" xfId="0" applyNumberFormat="1" applyFont="1" applyBorder="1"/>
    <xf numFmtId="9" fontId="0" fillId="0" borderId="0" xfId="0" applyNumberFormat="1"/>
    <xf numFmtId="0" fontId="3" fillId="0" borderId="0" xfId="0" applyFont="1" applyAlignment="1">
      <alignment wrapText="1"/>
    </xf>
    <xf numFmtId="0" fontId="3" fillId="0" borderId="0" xfId="0" applyFont="1"/>
    <xf numFmtId="4" fontId="3" fillId="0" borderId="0" xfId="0" applyNumberFormat="1" applyFont="1"/>
    <xf numFmtId="0" fontId="3" fillId="0" borderId="0" xfId="5"/>
    <xf numFmtId="14" fontId="3" fillId="0" borderId="0" xfId="5" applyNumberFormat="1"/>
    <xf numFmtId="9" fontId="3" fillId="0" borderId="0" xfId="5" applyNumberFormat="1"/>
    <xf numFmtId="4" fontId="3" fillId="0" borderId="0" xfId="5" applyNumberFormat="1"/>
    <xf numFmtId="44" fontId="3" fillId="0" borderId="0" xfId="4"/>
    <xf numFmtId="44" fontId="6" fillId="0" borderId="2" xfId="1" applyFont="1" applyBorder="1"/>
    <xf numFmtId="164" fontId="1" fillId="3" borderId="0" xfId="0" applyNumberFormat="1" applyFont="1" applyFill="1"/>
    <xf numFmtId="44" fontId="6" fillId="13" borderId="2" xfId="1" applyFont="1" applyFill="1" applyBorder="1"/>
    <xf numFmtId="0" fontId="3" fillId="0" borderId="2" xfId="0" applyFont="1" applyBorder="1"/>
    <xf numFmtId="0" fontId="0" fillId="0" borderId="0" xfId="0" applyBorder="1"/>
    <xf numFmtId="44" fontId="1" fillId="0" borderId="2" xfId="0" applyNumberFormat="1" applyFont="1" applyBorder="1"/>
    <xf numFmtId="0" fontId="3" fillId="0" borderId="0" xfId="0" applyFont="1" applyBorder="1"/>
    <xf numFmtId="44" fontId="1" fillId="0" borderId="2" xfId="1" applyNumberFormat="1" applyFont="1" applyBorder="1"/>
    <xf numFmtId="0" fontId="1" fillId="0" borderId="0" xfId="0" applyFont="1" applyBorder="1"/>
    <xf numFmtId="44" fontId="1" fillId="13" borderId="2" xfId="1" applyNumberFormat="1" applyFont="1" applyFill="1" applyBorder="1"/>
    <xf numFmtId="0" fontId="1" fillId="9" borderId="0" xfId="0" applyFont="1" applyFill="1" applyBorder="1"/>
    <xf numFmtId="44" fontId="1" fillId="0" borderId="2" xfId="1" applyFill="1" applyBorder="1"/>
    <xf numFmtId="44" fontId="6" fillId="0" borderId="2" xfId="1" applyFont="1" applyFill="1" applyBorder="1"/>
    <xf numFmtId="0" fontId="1" fillId="3" borderId="0" xfId="0" applyFont="1" applyFill="1" applyBorder="1"/>
    <xf numFmtId="164" fontId="1" fillId="3" borderId="0" xfId="0" applyNumberFormat="1" applyFont="1" applyFill="1" applyBorder="1"/>
    <xf numFmtId="0" fontId="3" fillId="9" borderId="2" xfId="0" applyFont="1" applyFill="1" applyBorder="1"/>
    <xf numFmtId="44" fontId="1" fillId="0" borderId="2" xfId="1" applyNumberFormat="1" applyFont="1" applyFill="1" applyBorder="1"/>
    <xf numFmtId="44" fontId="1" fillId="0" borderId="2" xfId="0" applyNumberFormat="1" applyFont="1" applyFill="1" applyBorder="1"/>
    <xf numFmtId="0" fontId="1" fillId="0" borderId="2" xfId="0" applyFont="1" applyFill="1" applyBorder="1"/>
    <xf numFmtId="4" fontId="0" fillId="0" borderId="2" xfId="0" applyNumberFormat="1" applyFill="1" applyBorder="1"/>
    <xf numFmtId="0" fontId="3" fillId="0" borderId="0" xfId="0" applyFont="1" applyFill="1" applyBorder="1"/>
    <xf numFmtId="0" fontId="1" fillId="0" borderId="0" xfId="0" applyFont="1" applyFill="1" applyBorder="1"/>
    <xf numFmtId="0" fontId="1" fillId="7" borderId="0" xfId="0" applyFont="1" applyFill="1" applyBorder="1"/>
    <xf numFmtId="0" fontId="0" fillId="7" borderId="0" xfId="0" applyFill="1" applyBorder="1"/>
    <xf numFmtId="4" fontId="0" fillId="0" borderId="0" xfId="0" applyNumberFormat="1" applyFill="1" applyBorder="1"/>
    <xf numFmtId="44" fontId="1" fillId="13" borderId="0" xfId="1" applyFill="1" applyBorder="1"/>
  </cellXfs>
  <cellStyles count="6">
    <cellStyle name="Currency" xfId="1" xr:uid="{00000000-0005-0000-0000-000000000000}"/>
    <cellStyle name="Moneda" xfId="4" builtinId="4"/>
    <cellStyle name="Normal" xfId="0" builtinId="0"/>
    <cellStyle name="Normal 2" xfId="5" xr:uid="{1F04CC4C-9A8C-4618-8853-F3C5533A4D58}"/>
    <cellStyle name="Percent" xfId="2" xr:uid="{00000000-0005-0000-0000-000002000000}"/>
    <cellStyle name="Porcentaje" xfId="3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&quot;$&quot;* #,##0.00_-;\-&quot;$&quot;* #,##0.00_-;_-&quot;$&quot;* &quot;-&quot;??_-;_-@_-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&quot;$&quot;* #,##0.00_-;\-&quot;$&quot;* #,##0.00_-;_-&quot;$&quot;* &quot;-&quot;??_-;_-@_-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\$#,##0;&quot;($&quot;#,##0\);\-"/>
      <fill>
        <patternFill patternType="solid">
          <fgColor indexed="64"/>
          <bgColor rgb="FFF2F2F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&quot;$&quot;* #,##0.00_-;\-&quot;$&quot;* #,##0.00_-;_-&quot;$&quot;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&quot;$&quot;* #,##0.00_-;\-&quot;$&quot;* #,##0.00_-;_-&quot;$&quot;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u val="none"/>
        <sz val="11"/>
        <color theme="1"/>
        <name val="Calibri"/>
        <family val="2"/>
        <scheme val="none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$#,##0;&quot;($&quot;#,##0\);\-"/>
      <fill>
        <patternFill patternType="solid">
          <fgColor indexed="64"/>
          <bgColor rgb="FFF2F2F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&quot;$&quot;* #,##0.00_-;\-&quot;$&quot;* #,##0.00_-;_-&quot;$&quot;* &quot;-&quot;??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&quot;$&quot;* #,##0.00_-;\-&quot;$&quot;* #,##0.00_-;_-&quot;$&quot;* &quot;-&quot;??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&quot;$&quot;* #,##0.00_-;\-&quot;$&quot;* #,##0.00_-;_-&quot;$&quot;* &quot;-&quot;??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&quot;$&quot;* #,##0.00_-;\-&quot;$&quot;* #,##0.00_-;_-&quot;$&quot;* &quot;-&quot;??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D4A017"/>
      <rgbColor rgb="FFFF6600"/>
      <rgbColor rgb="FF666699"/>
      <rgbColor rgb="FF969696"/>
      <rgbColor rgb="FF1F3864"/>
      <rgbColor rgb="FF2E7D32"/>
      <rgbColor rgb="FF003300"/>
      <rgbColor rgb="FF333300"/>
      <rgbColor rgb="FFC628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3</xdr:row>
      <xdr:rowOff>54047</xdr:rowOff>
    </xdr:from>
    <xdr:to>
      <xdr:col>13</xdr:col>
      <xdr:colOff>665791</xdr:colOff>
      <xdr:row>32</xdr:row>
      <xdr:rowOff>115462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9E37D36-5F29-B1F9-99B7-658838353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596972"/>
          <a:ext cx="10124116" cy="530969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B4A9B1-93EC-4EED-8676-389C741B5BCD}" name="Table2" displayName="Table2" ref="A1:M738" totalsRowCount="1" headerRowDxfId="19" tableBorderDxfId="18">
  <autoFilter ref="A1:M737" xr:uid="{6CB4A9B1-93EC-4EED-8676-389C741B5BCD}">
    <filterColumn colId="0">
      <filters>
        <filter val="LS01"/>
        <filter val="MC03"/>
        <filter val="MC06"/>
        <filter val="MC10"/>
        <filter val="MC16"/>
        <filter val="MC17"/>
        <filter val="MC19"/>
        <filter val="MC21"/>
        <filter val="MC27"/>
      </filters>
    </filterColumn>
  </autoFilter>
  <sortState xmlns:xlrd2="http://schemas.microsoft.com/office/spreadsheetml/2017/richdata2" ref="A28:M737">
    <sortCondition ref="A1:A737"/>
  </sortState>
  <tableColumns count="13">
    <tableColumn id="1" xr3:uid="{8AC0A2DD-0C1A-4FCA-B819-ADF08F0E1153}" name="Centro"/>
    <tableColumn id="2" xr3:uid="{20E7D352-5C57-4B37-ACD3-35B64EB01EA1}" name="Formato" dataDxfId="17" totalsRowDxfId="5"/>
    <tableColumn id="3" xr3:uid="{B2F2E5D8-43B5-43A4-9FEB-A28FA2CC54FC}" name="Supranumero"/>
    <tableColumn id="4" xr3:uid="{94A9E106-20B9-4AC0-888E-3ABF496978B7}" name="Descripcion" totalsRowDxfId="16"/>
    <tableColumn id="5" xr3:uid="{89DF095A-ACCD-4999-805E-52E1C35EC87D}" name="Plan (RD$)" totalsRowFunction="sum" dataDxfId="15" totalsRowDxfId="4" dataCellStyle="Currency"/>
    <tableColumn id="6" xr3:uid="{E674E612-59B5-4FB6-9D32-F2347C393AF5}" name="Real (RD$)" totalsRowFunction="sum" dataDxfId="14" totalsRowDxfId="1" dataCellStyle="Currency"/>
    <tableColumn id="7" xr3:uid="{91333904-24DD-4457-8ECB-970E8151ED53}" name="Comprometido (RD$)" totalsRowFunction="sum" dataDxfId="13" totalsRowDxfId="0" dataCellStyle="Currency"/>
    <tableColumn id="8" xr3:uid="{C8C6B389-5D6A-4F2D-A800-ADD423E421ED}" name="Ejecutado Total (RD$)" totalsRowFunction="sum" dataDxfId="12" totalsRowDxfId="3" dataCellStyle="Currency"/>
    <tableColumn id="9" xr3:uid="{94256958-09A6-4DAC-8EA1-539981BD02CA}" name="Pendiente (RD$)" dataDxfId="11" totalsRowDxfId="2">
      <calculatedColumnFormula>E2-H2</calculatedColumnFormula>
    </tableColumn>
    <tableColumn id="10" xr3:uid="{3CC536C0-115A-46F1-8ED0-3BC7E81DCB70}" name="% Ejecucion">
      <calculatedColumnFormula>IFERROR(H2/E2,0)</calculatedColumnFormula>
    </tableColumn>
    <tableColumn id="11" xr3:uid="{A1D2E4D4-C81A-4EDB-BB42-30DEBC7713EA}" name="Estatus">
      <calculatedColumnFormula>IF(E2=0,"Sin Plan",IF(J2&gt;=1,"Completado",IF(J2&gt;0.001,"En Progreso","Pendiente de ejecutar")))</calculatedColumnFormula>
    </tableColumn>
    <tableColumn id="12" xr3:uid="{FDD485DD-F89D-4475-A5E2-66DB744CB1F7}" name="Responsable" dataDxfId="10" totalsRowDxfId="7"/>
    <tableColumn id="13" xr3:uid="{30D2EA82-1FA5-4B65-B618-265D9A3BEB45}" name="Tipo de Match" dataDxfId="9" totalsRow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D12" totalsRowShown="0">
  <autoFilter ref="A1:D12" xr:uid="{00000000-0009-0000-0100-000001000000}"/>
  <tableColumns count="4">
    <tableColumn id="1" xr3:uid="{00000000-0010-0000-0100-000001000000}" name="Mes"/>
    <tableColumn id="2" xr3:uid="{00000000-0010-0000-0100-000002000000}" name="Plan">
      <calculatedColumnFormula>+B1/2</calculatedColumnFormula>
    </tableColumn>
    <tableColumn id="3" xr3:uid="{00000000-0010-0000-0100-000003000000}" name="Ejecutado"/>
    <tableColumn id="4" xr3:uid="{00000000-0010-0000-0100-000004000000}" name="% Avance" dataDxfId="8">
      <calculatedColumnFormula>+#REF!/B2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98152-77F6-49B7-950E-ED1EC26A6F36}">
  <dimension ref="A1:P23"/>
  <sheetViews>
    <sheetView workbookViewId="0">
      <selection activeCell="F11" sqref="F11"/>
    </sheetView>
  </sheetViews>
  <sheetFormatPr baseColWidth="10" defaultColWidth="8.7265625" defaultRowHeight="14.5" x14ac:dyDescent="0.35"/>
  <cols>
    <col min="1" max="1" width="10.08984375" style="84" customWidth="1"/>
    <col min="2" max="2" width="14.1796875" style="84" bestFit="1" customWidth="1"/>
    <col min="3" max="4" width="8.7265625" style="84"/>
    <col min="5" max="5" width="20.453125" style="84" customWidth="1"/>
    <col min="6" max="6" width="33.6328125" style="84" customWidth="1"/>
    <col min="7" max="7" width="30.26953125" style="84" bestFit="1" customWidth="1"/>
    <col min="8" max="8" width="13.7265625" style="84" bestFit="1" customWidth="1"/>
    <col min="9" max="9" width="16.90625" style="84" bestFit="1" customWidth="1"/>
    <col min="10" max="10" width="10.08984375" style="84" bestFit="1" customWidth="1"/>
    <col min="11" max="11" width="8.7265625" style="84"/>
    <col min="12" max="12" width="13.54296875" style="84" bestFit="1" customWidth="1"/>
    <col min="13" max="13" width="9" style="84" bestFit="1" customWidth="1"/>
    <col min="14" max="14" width="44" style="84" bestFit="1" customWidth="1"/>
    <col min="15" max="15" width="18" style="84" bestFit="1" customWidth="1"/>
    <col min="16" max="16" width="36.1796875" style="84" bestFit="1" customWidth="1"/>
    <col min="17" max="16384" width="8.7265625" style="84"/>
  </cols>
  <sheetData>
    <row r="1" spans="1:16" x14ac:dyDescent="0.35">
      <c r="A1" s="84" t="s">
        <v>364</v>
      </c>
      <c r="B1" s="84" t="s">
        <v>363</v>
      </c>
      <c r="C1" s="84" t="s">
        <v>0</v>
      </c>
      <c r="D1" s="84" t="s">
        <v>362</v>
      </c>
      <c r="E1" s="84" t="s">
        <v>361</v>
      </c>
      <c r="F1" s="84" t="s">
        <v>360</v>
      </c>
      <c r="G1" s="84" t="s">
        <v>359</v>
      </c>
      <c r="H1" s="84" t="s">
        <v>316</v>
      </c>
      <c r="I1" s="84" t="s">
        <v>358</v>
      </c>
      <c r="J1" s="84" t="s">
        <v>10</v>
      </c>
      <c r="K1" s="84" t="s">
        <v>357</v>
      </c>
      <c r="L1" s="84" t="s">
        <v>356</v>
      </c>
      <c r="M1" s="84" t="s">
        <v>304</v>
      </c>
      <c r="N1" s="84" t="s">
        <v>355</v>
      </c>
      <c r="O1" s="84" t="s">
        <v>354</v>
      </c>
      <c r="P1" s="84" t="s">
        <v>353</v>
      </c>
    </row>
    <row r="2" spans="1:16" x14ac:dyDescent="0.35">
      <c r="A2" s="84" t="s">
        <v>352</v>
      </c>
      <c r="B2" s="84" t="s">
        <v>323</v>
      </c>
      <c r="C2" s="84" t="s">
        <v>205</v>
      </c>
      <c r="D2" s="84" t="s">
        <v>349</v>
      </c>
      <c r="E2" s="84" t="s">
        <v>365</v>
      </c>
      <c r="F2" s="84" t="s">
        <v>366</v>
      </c>
      <c r="H2" s="84" t="s">
        <v>367</v>
      </c>
      <c r="I2" s="85">
        <v>46310</v>
      </c>
      <c r="J2" s="84" t="s">
        <v>344</v>
      </c>
      <c r="K2" s="84" t="s">
        <v>343</v>
      </c>
      <c r="L2" s="88">
        <v>7441608.0000000009</v>
      </c>
      <c r="M2" s="86">
        <v>0.8</v>
      </c>
      <c r="N2" s="84" t="s">
        <v>368</v>
      </c>
      <c r="O2" s="85">
        <v>46275</v>
      </c>
    </row>
    <row r="3" spans="1:16" x14ac:dyDescent="0.35">
      <c r="A3" s="84" t="s">
        <v>350</v>
      </c>
      <c r="B3" s="84" t="s">
        <v>323</v>
      </c>
      <c r="C3" s="84" t="s">
        <v>205</v>
      </c>
      <c r="D3" s="84" t="s">
        <v>349</v>
      </c>
      <c r="E3" s="84" t="s">
        <v>351</v>
      </c>
      <c r="F3" s="84" t="s">
        <v>366</v>
      </c>
      <c r="H3" s="84" t="s">
        <v>367</v>
      </c>
      <c r="I3" s="85">
        <v>46325</v>
      </c>
      <c r="J3" s="84" t="s">
        <v>344</v>
      </c>
      <c r="K3" s="84" t="s">
        <v>343</v>
      </c>
      <c r="L3" s="88">
        <v>5367900</v>
      </c>
      <c r="M3" s="86">
        <v>0.6</v>
      </c>
      <c r="N3" s="84" t="s">
        <v>368</v>
      </c>
      <c r="O3" s="85">
        <v>46275</v>
      </c>
    </row>
    <row r="4" spans="1:16" x14ac:dyDescent="0.35">
      <c r="A4" s="84" t="s">
        <v>348</v>
      </c>
      <c r="B4" s="84" t="s">
        <v>321</v>
      </c>
      <c r="C4" s="84" t="s">
        <v>265</v>
      </c>
      <c r="D4" s="84" t="s">
        <v>342</v>
      </c>
      <c r="E4" s="84" t="s">
        <v>369</v>
      </c>
      <c r="F4" s="84" t="s">
        <v>371</v>
      </c>
      <c r="G4" s="84" t="s">
        <v>374</v>
      </c>
      <c r="H4" s="84" t="s">
        <v>367</v>
      </c>
      <c r="I4" s="84" t="s">
        <v>347</v>
      </c>
      <c r="J4" s="84" t="s">
        <v>341</v>
      </c>
      <c r="K4" s="84" t="s">
        <v>346</v>
      </c>
      <c r="L4" s="88">
        <v>4246398</v>
      </c>
      <c r="M4" s="86">
        <v>0.4</v>
      </c>
      <c r="N4" s="84" t="s">
        <v>374</v>
      </c>
      <c r="O4" s="85">
        <v>46275</v>
      </c>
    </row>
    <row r="5" spans="1:16" x14ac:dyDescent="0.35">
      <c r="A5" s="84" t="s">
        <v>345</v>
      </c>
      <c r="B5" s="84" t="s">
        <v>323</v>
      </c>
      <c r="C5" s="84" t="s">
        <v>265</v>
      </c>
      <c r="D5" s="84" t="s">
        <v>342</v>
      </c>
      <c r="E5" s="84" t="s">
        <v>370</v>
      </c>
      <c r="F5" s="84" t="s">
        <v>372</v>
      </c>
      <c r="G5" s="84" t="s">
        <v>373</v>
      </c>
      <c r="H5" s="84" t="s">
        <v>367</v>
      </c>
      <c r="I5" s="85">
        <v>46276</v>
      </c>
      <c r="J5" s="84" t="s">
        <v>341</v>
      </c>
      <c r="K5" s="84" t="s">
        <v>346</v>
      </c>
      <c r="L5" s="88">
        <v>2607720</v>
      </c>
      <c r="M5" s="86">
        <v>0.3</v>
      </c>
      <c r="N5" s="84" t="s">
        <v>373</v>
      </c>
      <c r="O5" s="85">
        <v>46275</v>
      </c>
    </row>
    <row r="13" spans="1:16" x14ac:dyDescent="0.35">
      <c r="G13" s="87"/>
    </row>
    <row r="14" spans="1:16" x14ac:dyDescent="0.35">
      <c r="G14" s="87"/>
    </row>
    <row r="15" spans="1:16" x14ac:dyDescent="0.35">
      <c r="G15" s="87"/>
    </row>
    <row r="16" spans="1:16" x14ac:dyDescent="0.35">
      <c r="H16" s="87"/>
    </row>
    <row r="17" spans="6:9" x14ac:dyDescent="0.35">
      <c r="G17" s="87"/>
      <c r="H17" s="87"/>
    </row>
    <row r="18" spans="6:9" x14ac:dyDescent="0.35">
      <c r="H18" s="87"/>
      <c r="I18" s="88"/>
    </row>
    <row r="19" spans="6:9" x14ac:dyDescent="0.35">
      <c r="G19" s="87"/>
      <c r="H19" s="87"/>
    </row>
    <row r="20" spans="6:9" x14ac:dyDescent="0.35">
      <c r="G20" s="87"/>
      <c r="H20" s="87"/>
    </row>
    <row r="23" spans="6:9" x14ac:dyDescent="0.35">
      <c r="F23" s="87"/>
      <c r="H23" s="8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</sheetPr>
  <dimension ref="A1:W823"/>
  <sheetViews>
    <sheetView showGridLines="0" tabSelected="1" topLeftCell="A553" workbookViewId="0">
      <selection activeCell="D639" sqref="D639"/>
    </sheetView>
  </sheetViews>
  <sheetFormatPr baseColWidth="10" defaultColWidth="8.6328125" defaultRowHeight="14.5" x14ac:dyDescent="0.35"/>
  <cols>
    <col min="1" max="1" width="14" customWidth="1"/>
    <col min="2" max="2" width="26.453125" customWidth="1"/>
    <col min="3" max="3" width="14.81640625" hidden="1" customWidth="1"/>
    <col min="4" max="4" width="35" customWidth="1"/>
    <col min="5" max="6" width="16" style="1" customWidth="1"/>
    <col min="7" max="7" width="21.36328125" style="1" customWidth="1"/>
    <col min="8" max="8" width="22" style="1" customWidth="1"/>
    <col min="9" max="9" width="17.08984375" customWidth="1"/>
    <col min="10" max="10" width="13.6328125" customWidth="1"/>
    <col min="11" max="11" width="23.1796875" customWidth="1"/>
    <col min="12" max="12" width="24.453125" customWidth="1"/>
    <col min="13" max="13" width="22" customWidth="1"/>
    <col min="14" max="14" width="24.1796875" customWidth="1"/>
    <col min="15" max="15" width="9.81640625" bestFit="1" customWidth="1"/>
  </cols>
  <sheetData>
    <row r="1" spans="1:13" ht="25" customHeigh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5" t="s">
        <v>316</v>
      </c>
      <c r="M1" s="5" t="s">
        <v>317</v>
      </c>
    </row>
    <row r="2" spans="1:13" hidden="1" x14ac:dyDescent="0.35">
      <c r="A2" s="29" t="s">
        <v>265</v>
      </c>
      <c r="B2" s="29" t="s">
        <v>266</v>
      </c>
      <c r="C2" s="29" t="s">
        <v>106</v>
      </c>
      <c r="D2" s="29" t="s">
        <v>107</v>
      </c>
      <c r="E2" s="40">
        <v>92681500</v>
      </c>
      <c r="F2" s="40">
        <f>10664351.04-44409.09</f>
        <v>10619941.949999999</v>
      </c>
      <c r="G2" s="40">
        <v>4245902.59</v>
      </c>
      <c r="H2" s="40">
        <f>F2+G2</f>
        <v>14865844.539999999</v>
      </c>
      <c r="I2" s="47">
        <f>E2-H2</f>
        <v>77815655.460000008</v>
      </c>
      <c r="J2" s="17">
        <f t="shared" ref="J2" si="0">IFERROR(H2/E2,0)</f>
        <v>0.16039710772915844</v>
      </c>
      <c r="K2" s="18" t="str">
        <f t="shared" ref="K2" si="1">IF(E2=0,"Sin Plan",IF(J2&gt;=1,"Completado",IF(J2&gt;0.001,"En Progreso","Pendiente de ejecutar")))</f>
        <v>En Progreso</v>
      </c>
      <c r="L2" s="6" t="s">
        <v>323</v>
      </c>
      <c r="M2" s="6" t="s">
        <v>320</v>
      </c>
    </row>
    <row r="3" spans="1:13" hidden="1" x14ac:dyDescent="0.35">
      <c r="A3" s="48" t="s">
        <v>146</v>
      </c>
      <c r="B3" s="48" t="s">
        <v>147</v>
      </c>
      <c r="C3" s="48" t="s">
        <v>148</v>
      </c>
      <c r="D3" s="48" t="s">
        <v>149</v>
      </c>
      <c r="E3" s="41">
        <v>42400000</v>
      </c>
      <c r="F3" s="36">
        <v>25132963.079999991</v>
      </c>
      <c r="G3" s="14">
        <f>3525674.29+2543556.22+130305.08</f>
        <v>6199535.5899999999</v>
      </c>
      <c r="H3" s="40">
        <f>F3+G478</f>
        <v>25374612.52999999</v>
      </c>
      <c r="I3" s="47">
        <f t="shared" ref="I3:I5" si="2">E3-H3</f>
        <v>17025387.47000001</v>
      </c>
      <c r="J3" s="17">
        <f t="shared" ref="J3:J5" si="3">IFERROR(H3/E3,0)</f>
        <v>0.59845784268867896</v>
      </c>
      <c r="K3" s="18" t="str">
        <f t="shared" ref="K3:K5" si="4">IF(E3=0,"Sin Plan",IF(J3&gt;=1,"Completado",IF(J3&gt;0.001,"En Progreso","Pendiente de ejecutar")))</f>
        <v>En Progreso</v>
      </c>
      <c r="L3" s="6" t="s">
        <v>323</v>
      </c>
      <c r="M3" s="6" t="s">
        <v>320</v>
      </c>
    </row>
    <row r="4" spans="1:13" hidden="1" x14ac:dyDescent="0.35">
      <c r="A4" s="29" t="s">
        <v>210</v>
      </c>
      <c r="B4" s="29" t="s">
        <v>205</v>
      </c>
      <c r="C4" s="29" t="s">
        <v>39</v>
      </c>
      <c r="D4" s="29" t="s">
        <v>40</v>
      </c>
      <c r="E4" s="41">
        <v>26970000</v>
      </c>
      <c r="F4" s="41">
        <v>657081.17999999993</v>
      </c>
      <c r="G4" s="41">
        <f>34754.23+2692596.91+118000+864412.23+717930.83+7779710.28+13778319.59-152754.23</f>
        <v>25832969.84</v>
      </c>
      <c r="H4" s="40">
        <f t="shared" ref="H4" si="5">F4+G4</f>
        <v>26490051.02</v>
      </c>
      <c r="I4" s="47">
        <f t="shared" si="2"/>
        <v>479948.98000000045</v>
      </c>
      <c r="J4" s="17">
        <f t="shared" si="3"/>
        <v>0.98220433889506853</v>
      </c>
      <c r="K4" s="18" t="str">
        <f t="shared" si="4"/>
        <v>En Progreso</v>
      </c>
      <c r="L4" s="6" t="s">
        <v>321</v>
      </c>
      <c r="M4" s="6" t="s">
        <v>320</v>
      </c>
    </row>
    <row r="5" spans="1:13" hidden="1" x14ac:dyDescent="0.35">
      <c r="A5" s="48" t="s">
        <v>146</v>
      </c>
      <c r="B5" s="48" t="s">
        <v>147</v>
      </c>
      <c r="C5" s="48" t="s">
        <v>152</v>
      </c>
      <c r="D5" s="48" t="s">
        <v>152</v>
      </c>
      <c r="E5" s="41">
        <v>26000000</v>
      </c>
      <c r="F5" s="41"/>
      <c r="G5" s="89"/>
      <c r="H5" s="40">
        <f>F5+G480</f>
        <v>834244.97</v>
      </c>
      <c r="I5" s="47">
        <f t="shared" si="2"/>
        <v>25165755.030000001</v>
      </c>
      <c r="J5" s="17">
        <f t="shared" si="3"/>
        <v>3.2086345000000002E-2</v>
      </c>
      <c r="K5" s="18" t="str">
        <f t="shared" si="4"/>
        <v>En Progreso</v>
      </c>
      <c r="L5" s="81" t="s">
        <v>321</v>
      </c>
      <c r="M5" s="6" t="s">
        <v>320</v>
      </c>
    </row>
    <row r="6" spans="1:13" hidden="1" x14ac:dyDescent="0.35">
      <c r="A6" s="55" t="s">
        <v>11</v>
      </c>
      <c r="B6" s="11" t="s">
        <v>319</v>
      </c>
      <c r="C6" s="12"/>
      <c r="D6" s="11" t="s">
        <v>12</v>
      </c>
      <c r="E6" s="13">
        <v>126000</v>
      </c>
      <c r="F6" s="13">
        <f>23075.48*2</f>
        <v>46150.96</v>
      </c>
      <c r="G6" s="13">
        <v>5450</v>
      </c>
      <c r="H6" s="40">
        <f t="shared" ref="H6:H27" si="6">F6+G6</f>
        <v>51600.959999999999</v>
      </c>
      <c r="I6" s="47">
        <f t="shared" ref="I6:I39" si="7">E6-H6</f>
        <v>74399.040000000008</v>
      </c>
      <c r="J6" s="17">
        <f t="shared" ref="J6:J39" si="8">IFERROR(H6/E6,0)</f>
        <v>0.40953142857142855</v>
      </c>
      <c r="K6" s="18" t="str">
        <f t="shared" ref="K6:K39" si="9">IF(E6=0,"Sin Plan",IF(J6&gt;=1,"Completado",IF(J6&gt;0.001,"En Progreso","Pendiente de ejecutar")))</f>
        <v>En Progreso</v>
      </c>
      <c r="L6" s="6" t="s">
        <v>323</v>
      </c>
      <c r="M6" s="6" t="s">
        <v>318</v>
      </c>
    </row>
    <row r="7" spans="1:13" hidden="1" x14ac:dyDescent="0.35">
      <c r="A7" s="11" t="s">
        <v>36</v>
      </c>
      <c r="B7" s="11" t="s">
        <v>319</v>
      </c>
      <c r="C7" s="11" t="s">
        <v>37</v>
      </c>
      <c r="D7" s="11" t="s">
        <v>38</v>
      </c>
      <c r="E7" s="13">
        <v>110000</v>
      </c>
      <c r="F7" s="13">
        <f>23075.48*2</f>
        <v>46150.96</v>
      </c>
      <c r="G7" s="13">
        <v>0</v>
      </c>
      <c r="H7" s="40">
        <f t="shared" si="6"/>
        <v>46150.96</v>
      </c>
      <c r="I7" s="47">
        <f t="shared" si="7"/>
        <v>63849.04</v>
      </c>
      <c r="J7" s="17">
        <f t="shared" si="8"/>
        <v>0.41955418181818183</v>
      </c>
      <c r="K7" s="18" t="str">
        <f t="shared" si="9"/>
        <v>En Progreso</v>
      </c>
      <c r="L7" s="6" t="s">
        <v>323</v>
      </c>
      <c r="M7" s="6" t="s">
        <v>320</v>
      </c>
    </row>
    <row r="8" spans="1:13" hidden="1" x14ac:dyDescent="0.35">
      <c r="A8" s="19" t="s">
        <v>41</v>
      </c>
      <c r="B8" s="11" t="s">
        <v>319</v>
      </c>
      <c r="C8" s="19" t="s">
        <v>37</v>
      </c>
      <c r="D8" s="11" t="s">
        <v>38</v>
      </c>
      <c r="E8" s="13">
        <v>1463000</v>
      </c>
      <c r="F8" s="13">
        <v>612102.36</v>
      </c>
      <c r="G8" s="13">
        <v>0</v>
      </c>
      <c r="H8" s="40">
        <f t="shared" si="6"/>
        <v>612102.36</v>
      </c>
      <c r="I8" s="47">
        <f t="shared" si="7"/>
        <v>850897.64</v>
      </c>
      <c r="J8" s="17">
        <f t="shared" si="8"/>
        <v>0.41838848940533152</v>
      </c>
      <c r="K8" s="18" t="str">
        <f t="shared" si="9"/>
        <v>En Progreso</v>
      </c>
      <c r="L8" s="6" t="s">
        <v>321</v>
      </c>
      <c r="M8" s="6" t="s">
        <v>320</v>
      </c>
    </row>
    <row r="9" spans="1:13" hidden="1" x14ac:dyDescent="0.35">
      <c r="A9" s="11" t="s">
        <v>57</v>
      </c>
      <c r="B9" s="11" t="s">
        <v>319</v>
      </c>
      <c r="C9" s="11" t="s">
        <v>37</v>
      </c>
      <c r="D9" s="11" t="s">
        <v>38</v>
      </c>
      <c r="E9" s="14">
        <f>1400000+63000</f>
        <v>1463000</v>
      </c>
      <c r="F9" s="14">
        <v>635177.84000000008</v>
      </c>
      <c r="G9" s="14">
        <v>0</v>
      </c>
      <c r="H9" s="40">
        <f t="shared" si="6"/>
        <v>635177.84000000008</v>
      </c>
      <c r="I9" s="47">
        <f t="shared" si="7"/>
        <v>827822.15999999992</v>
      </c>
      <c r="J9" s="17">
        <f t="shared" si="8"/>
        <v>0.43416120300751887</v>
      </c>
      <c r="K9" s="18" t="str">
        <f t="shared" si="9"/>
        <v>En Progreso</v>
      </c>
      <c r="L9" s="6" t="s">
        <v>321</v>
      </c>
      <c r="M9" s="6" t="s">
        <v>320</v>
      </c>
    </row>
    <row r="10" spans="1:13" hidden="1" x14ac:dyDescent="0.35">
      <c r="A10" s="11" t="s">
        <v>62</v>
      </c>
      <c r="B10" s="11" t="s">
        <v>319</v>
      </c>
      <c r="C10" s="11" t="s">
        <v>37</v>
      </c>
      <c r="D10" s="11" t="s">
        <v>38</v>
      </c>
      <c r="E10" s="13">
        <v>63000</v>
      </c>
      <c r="F10" s="13">
        <f>17067.28+16014.52</f>
        <v>33081.800000000003</v>
      </c>
      <c r="G10" s="13">
        <v>0</v>
      </c>
      <c r="H10" s="40">
        <f t="shared" si="6"/>
        <v>33081.800000000003</v>
      </c>
      <c r="I10" s="47">
        <f t="shared" si="7"/>
        <v>29918.199999999997</v>
      </c>
      <c r="J10" s="17">
        <f t="shared" si="8"/>
        <v>0.52510793650793652</v>
      </c>
      <c r="K10" s="18" t="str">
        <f t="shared" si="9"/>
        <v>En Progreso</v>
      </c>
      <c r="L10" s="6" t="s">
        <v>321</v>
      </c>
      <c r="M10" s="6" t="s">
        <v>320</v>
      </c>
    </row>
    <row r="11" spans="1:13" hidden="1" x14ac:dyDescent="0.35">
      <c r="A11" s="55" t="s">
        <v>65</v>
      </c>
      <c r="B11" s="11" t="s">
        <v>319</v>
      </c>
      <c r="C11" s="11" t="s">
        <v>37</v>
      </c>
      <c r="D11" s="11" t="s">
        <v>38</v>
      </c>
      <c r="E11" s="13">
        <v>1589000</v>
      </c>
      <c r="F11" s="13">
        <v>424572.36</v>
      </c>
      <c r="G11" s="13">
        <v>0</v>
      </c>
      <c r="H11" s="40">
        <f t="shared" si="6"/>
        <v>424572.36</v>
      </c>
      <c r="I11" s="47">
        <f t="shared" si="7"/>
        <v>1164427.6400000001</v>
      </c>
      <c r="J11" s="17">
        <f t="shared" si="8"/>
        <v>0.26719468848332284</v>
      </c>
      <c r="K11" s="18" t="str">
        <f t="shared" si="9"/>
        <v>En Progreso</v>
      </c>
      <c r="L11" s="6" t="s">
        <v>321</v>
      </c>
      <c r="M11" s="6" t="s">
        <v>320</v>
      </c>
    </row>
    <row r="12" spans="1:13" hidden="1" x14ac:dyDescent="0.35">
      <c r="A12" s="29" t="s">
        <v>207</v>
      </c>
      <c r="B12" s="29" t="s">
        <v>205</v>
      </c>
      <c r="C12" s="29" t="s">
        <v>33</v>
      </c>
      <c r="D12" s="29" t="s">
        <v>34</v>
      </c>
      <c r="E12" s="40">
        <v>12275000</v>
      </c>
      <c r="F12" s="40">
        <v>0</v>
      </c>
      <c r="G12" s="40">
        <v>6068531.9199999999</v>
      </c>
      <c r="H12" s="40">
        <f t="shared" si="6"/>
        <v>6068531.9199999999</v>
      </c>
      <c r="I12" s="47">
        <f t="shared" si="7"/>
        <v>6206468.0800000001</v>
      </c>
      <c r="J12" s="17">
        <f t="shared" si="8"/>
        <v>0.49438141914460282</v>
      </c>
      <c r="K12" s="18" t="str">
        <f t="shared" si="9"/>
        <v>En Progreso</v>
      </c>
      <c r="L12" s="6" t="s">
        <v>321</v>
      </c>
      <c r="M12" s="6" t="s">
        <v>320</v>
      </c>
    </row>
    <row r="13" spans="1:13" hidden="1" x14ac:dyDescent="0.35">
      <c r="A13" s="55" t="s">
        <v>11</v>
      </c>
      <c r="B13" s="11" t="s">
        <v>319</v>
      </c>
      <c r="C13" s="11" t="s">
        <v>13</v>
      </c>
      <c r="D13" s="11" t="s">
        <v>14</v>
      </c>
      <c r="E13" s="14">
        <v>685000</v>
      </c>
      <c r="F13" s="14">
        <v>0</v>
      </c>
      <c r="G13" s="15">
        <v>716100</v>
      </c>
      <c r="H13" s="40">
        <f t="shared" si="6"/>
        <v>716100</v>
      </c>
      <c r="I13" s="47">
        <f t="shared" si="7"/>
        <v>-31100</v>
      </c>
      <c r="J13" s="17">
        <f t="shared" si="8"/>
        <v>1.0454014598540147</v>
      </c>
      <c r="K13" s="18" t="str">
        <f t="shared" si="9"/>
        <v>Completado</v>
      </c>
      <c r="L13" s="6" t="s">
        <v>323</v>
      </c>
      <c r="M13" s="6" t="s">
        <v>320</v>
      </c>
    </row>
    <row r="14" spans="1:13" hidden="1" x14ac:dyDescent="0.35">
      <c r="A14" s="55" t="s">
        <v>11</v>
      </c>
      <c r="B14" s="11" t="s">
        <v>319</v>
      </c>
      <c r="C14" s="11" t="s">
        <v>25</v>
      </c>
      <c r="D14" s="11" t="s">
        <v>26</v>
      </c>
      <c r="E14" s="14">
        <v>0</v>
      </c>
      <c r="F14" s="36">
        <v>43660.959999999999</v>
      </c>
      <c r="G14" s="15"/>
      <c r="H14" s="40">
        <f t="shared" si="6"/>
        <v>43660.959999999999</v>
      </c>
      <c r="I14" s="47">
        <f t="shared" si="7"/>
        <v>-43660.959999999999</v>
      </c>
      <c r="J14" s="17">
        <f t="shared" si="8"/>
        <v>0</v>
      </c>
      <c r="K14" s="18" t="str">
        <f t="shared" si="9"/>
        <v>Sin Plan</v>
      </c>
      <c r="L14" s="6" t="s">
        <v>323</v>
      </c>
      <c r="M14" s="6" t="s">
        <v>318</v>
      </c>
    </row>
    <row r="15" spans="1:13" hidden="1" x14ac:dyDescent="0.35">
      <c r="A15" s="19" t="s">
        <v>70</v>
      </c>
      <c r="B15" s="11" t="s">
        <v>319</v>
      </c>
      <c r="C15" s="19" t="s">
        <v>37</v>
      </c>
      <c r="D15" s="11" t="s">
        <v>38</v>
      </c>
      <c r="E15" s="13">
        <v>1463000</v>
      </c>
      <c r="F15" s="13">
        <f>612102.36+40142.76</f>
        <v>652245.12</v>
      </c>
      <c r="G15" s="13">
        <v>0</v>
      </c>
      <c r="H15" s="40">
        <f t="shared" si="6"/>
        <v>652245.12</v>
      </c>
      <c r="I15" s="47">
        <f t="shared" si="7"/>
        <v>810754.88</v>
      </c>
      <c r="J15" s="17">
        <f t="shared" si="8"/>
        <v>0.44582714969241283</v>
      </c>
      <c r="K15" s="18" t="str">
        <f t="shared" si="9"/>
        <v>En Progreso</v>
      </c>
      <c r="L15" s="6" t="s">
        <v>321</v>
      </c>
      <c r="M15" s="6" t="s">
        <v>320</v>
      </c>
    </row>
    <row r="16" spans="1:13" hidden="1" x14ac:dyDescent="0.35">
      <c r="A16" s="56" t="s">
        <v>73</v>
      </c>
      <c r="B16" s="11" t="s">
        <v>319</v>
      </c>
      <c r="C16" s="19" t="s">
        <v>37</v>
      </c>
      <c r="D16" s="11" t="s">
        <v>38</v>
      </c>
      <c r="E16" s="13">
        <v>63000</v>
      </c>
      <c r="F16" s="13">
        <v>23075.48</v>
      </c>
      <c r="G16" s="13">
        <v>0</v>
      </c>
      <c r="H16" s="40">
        <f t="shared" si="6"/>
        <v>23075.48</v>
      </c>
      <c r="I16" s="47">
        <f t="shared" si="7"/>
        <v>39924.520000000004</v>
      </c>
      <c r="J16" s="17">
        <f t="shared" si="8"/>
        <v>0.36627746031746033</v>
      </c>
      <c r="K16" s="18" t="str">
        <f t="shared" si="9"/>
        <v>En Progreso</v>
      </c>
      <c r="L16" s="6" t="s">
        <v>321</v>
      </c>
      <c r="M16" s="6" t="s">
        <v>320</v>
      </c>
    </row>
    <row r="17" spans="1:13" hidden="1" x14ac:dyDescent="0.35">
      <c r="A17" s="11" t="s">
        <v>74</v>
      </c>
      <c r="B17" s="11" t="s">
        <v>319</v>
      </c>
      <c r="C17" s="11" t="s">
        <v>37</v>
      </c>
      <c r="D17" s="11" t="s">
        <v>38</v>
      </c>
      <c r="E17" s="13">
        <v>1526000</v>
      </c>
      <c r="F17" s="13">
        <v>628116.88</v>
      </c>
      <c r="G17" s="13">
        <v>18644.07</v>
      </c>
      <c r="H17" s="40">
        <f t="shared" si="6"/>
        <v>646760.94999999995</v>
      </c>
      <c r="I17" s="47">
        <f t="shared" si="7"/>
        <v>879239.05</v>
      </c>
      <c r="J17" s="17">
        <f t="shared" si="8"/>
        <v>0.42382762123197898</v>
      </c>
      <c r="K17" s="18" t="str">
        <f t="shared" si="9"/>
        <v>En Progreso</v>
      </c>
      <c r="L17" s="6" t="s">
        <v>321</v>
      </c>
      <c r="M17" s="6" t="s">
        <v>320</v>
      </c>
    </row>
    <row r="18" spans="1:13" hidden="1" x14ac:dyDescent="0.35">
      <c r="A18" s="55" t="s">
        <v>76</v>
      </c>
      <c r="B18" s="11" t="s">
        <v>319</v>
      </c>
      <c r="C18" s="11" t="s">
        <v>37</v>
      </c>
      <c r="D18" s="11" t="s">
        <v>38</v>
      </c>
      <c r="E18" s="14">
        <v>63000</v>
      </c>
      <c r="F18" s="14">
        <v>23075.48</v>
      </c>
      <c r="G18" s="14">
        <v>0</v>
      </c>
      <c r="H18" s="40">
        <f t="shared" si="6"/>
        <v>23075.48</v>
      </c>
      <c r="I18" s="47">
        <f t="shared" si="7"/>
        <v>39924.520000000004</v>
      </c>
      <c r="J18" s="17">
        <f t="shared" si="8"/>
        <v>0.36627746031746033</v>
      </c>
      <c r="K18" s="18" t="str">
        <f t="shared" si="9"/>
        <v>En Progreso</v>
      </c>
      <c r="L18" s="6" t="s">
        <v>321</v>
      </c>
      <c r="M18" s="6" t="s">
        <v>320</v>
      </c>
    </row>
    <row r="19" spans="1:13" hidden="1" x14ac:dyDescent="0.35">
      <c r="A19" s="48" t="s">
        <v>77</v>
      </c>
      <c r="B19" s="29" t="s">
        <v>319</v>
      </c>
      <c r="C19" s="20" t="s">
        <v>37</v>
      </c>
      <c r="D19" s="29" t="s">
        <v>38</v>
      </c>
      <c r="E19" s="41">
        <v>63000</v>
      </c>
      <c r="F19" s="41">
        <v>0</v>
      </c>
      <c r="G19" s="41">
        <v>0</v>
      </c>
      <c r="H19" s="40">
        <f t="shared" si="6"/>
        <v>0</v>
      </c>
      <c r="I19" s="47">
        <f t="shared" si="7"/>
        <v>63000</v>
      </c>
      <c r="J19" s="17">
        <f t="shared" si="8"/>
        <v>0</v>
      </c>
      <c r="K19" s="18" t="str">
        <f t="shared" si="9"/>
        <v>Pendiente de ejecutar</v>
      </c>
      <c r="L19" s="70" t="s">
        <v>321</v>
      </c>
      <c r="M19" s="6" t="s">
        <v>320</v>
      </c>
    </row>
    <row r="20" spans="1:13" hidden="1" x14ac:dyDescent="0.35">
      <c r="A20" s="29" t="s">
        <v>185</v>
      </c>
      <c r="B20" s="29" t="s">
        <v>205</v>
      </c>
      <c r="C20" s="29" t="s">
        <v>39</v>
      </c>
      <c r="D20" s="29" t="s">
        <v>40</v>
      </c>
      <c r="E20" s="41">
        <v>8768000</v>
      </c>
      <c r="F20" s="41">
        <v>0</v>
      </c>
      <c r="G20" s="41">
        <v>6023870.4000000004</v>
      </c>
      <c r="H20" s="40">
        <f t="shared" si="6"/>
        <v>6023870.4000000004</v>
      </c>
      <c r="I20" s="47">
        <f t="shared" si="7"/>
        <v>2744129.5999999996</v>
      </c>
      <c r="J20" s="17">
        <f t="shared" si="8"/>
        <v>0.68702901459854016</v>
      </c>
      <c r="K20" s="18" t="str">
        <f t="shared" si="9"/>
        <v>En Progreso</v>
      </c>
      <c r="L20" s="6" t="s">
        <v>321</v>
      </c>
      <c r="M20" s="6" t="s">
        <v>320</v>
      </c>
    </row>
    <row r="21" spans="1:13" hidden="1" x14ac:dyDescent="0.35">
      <c r="A21" s="48" t="s">
        <v>124</v>
      </c>
      <c r="B21" s="29" t="s">
        <v>128</v>
      </c>
      <c r="C21" s="48" t="s">
        <v>47</v>
      </c>
      <c r="D21" s="48" t="s">
        <v>48</v>
      </c>
      <c r="E21" s="41">
        <v>8464000</v>
      </c>
      <c r="F21" s="41">
        <f>4353745.37+553294.48</f>
        <v>4907039.8499999996</v>
      </c>
      <c r="G21" s="41">
        <v>0</v>
      </c>
      <c r="H21" s="40">
        <f t="shared" si="6"/>
        <v>4907039.8499999996</v>
      </c>
      <c r="I21" s="47">
        <f t="shared" si="7"/>
        <v>3556960.1500000004</v>
      </c>
      <c r="J21" s="17">
        <f t="shared" si="8"/>
        <v>0.57975423558601125</v>
      </c>
      <c r="K21" s="18" t="str">
        <f t="shared" si="9"/>
        <v>En Progreso</v>
      </c>
      <c r="L21" s="6" t="s">
        <v>323</v>
      </c>
      <c r="M21" s="6" t="s">
        <v>320</v>
      </c>
    </row>
    <row r="22" spans="1:13" hidden="1" x14ac:dyDescent="0.35">
      <c r="A22" s="29" t="s">
        <v>265</v>
      </c>
      <c r="B22" s="29" t="s">
        <v>266</v>
      </c>
      <c r="C22" s="29" t="s">
        <v>39</v>
      </c>
      <c r="D22" s="29" t="s">
        <v>40</v>
      </c>
      <c r="E22" s="41">
        <v>8300000</v>
      </c>
      <c r="F22" s="72">
        <v>1157672.57</v>
      </c>
      <c r="G22" s="41">
        <v>0</v>
      </c>
      <c r="H22" s="40">
        <f t="shared" si="6"/>
        <v>1157672.57</v>
      </c>
      <c r="I22" s="47">
        <f t="shared" si="7"/>
        <v>7142327.4299999997</v>
      </c>
      <c r="J22" s="17">
        <f t="shared" si="8"/>
        <v>0.13947862289156626</v>
      </c>
      <c r="K22" s="18" t="str">
        <f t="shared" si="9"/>
        <v>En Progreso</v>
      </c>
      <c r="L22" s="6" t="s">
        <v>321</v>
      </c>
      <c r="M22" s="6" t="s">
        <v>320</v>
      </c>
    </row>
    <row r="23" spans="1:13" hidden="1" x14ac:dyDescent="0.35">
      <c r="A23" s="11" t="s">
        <v>80</v>
      </c>
      <c r="B23" s="11" t="s">
        <v>319</v>
      </c>
      <c r="C23" s="11" t="s">
        <v>37</v>
      </c>
      <c r="D23" s="11" t="s">
        <v>38</v>
      </c>
      <c r="E23" s="13">
        <v>63000</v>
      </c>
      <c r="F23" s="13">
        <v>23075.47</v>
      </c>
      <c r="G23" s="13">
        <v>0</v>
      </c>
      <c r="H23" s="40">
        <f t="shared" si="6"/>
        <v>23075.47</v>
      </c>
      <c r="I23" s="47">
        <f t="shared" si="7"/>
        <v>39924.53</v>
      </c>
      <c r="J23" s="17">
        <f t="shared" si="8"/>
        <v>0.3662773015873016</v>
      </c>
      <c r="K23" s="18" t="str">
        <f t="shared" si="9"/>
        <v>En Progreso</v>
      </c>
      <c r="L23" s="6" t="s">
        <v>321</v>
      </c>
      <c r="M23" s="6" t="s">
        <v>320</v>
      </c>
    </row>
    <row r="24" spans="1:13" hidden="1" x14ac:dyDescent="0.35">
      <c r="A24" s="29" t="s">
        <v>207</v>
      </c>
      <c r="B24" s="29" t="s">
        <v>205</v>
      </c>
      <c r="C24" s="29" t="s">
        <v>39</v>
      </c>
      <c r="D24" s="29" t="s">
        <v>40</v>
      </c>
      <c r="E24" s="41">
        <v>7590000</v>
      </c>
      <c r="F24" s="41">
        <v>336846.4</v>
      </c>
      <c r="G24" s="41">
        <f>3720652.5+1958000</f>
        <v>5678652.5</v>
      </c>
      <c r="H24" s="40">
        <f t="shared" si="6"/>
        <v>6015498.9000000004</v>
      </c>
      <c r="I24" s="47">
        <f t="shared" si="7"/>
        <v>1574501.0999999996</v>
      </c>
      <c r="J24" s="17">
        <f t="shared" si="8"/>
        <v>0.79255584980237159</v>
      </c>
      <c r="K24" s="18" t="str">
        <f t="shared" si="9"/>
        <v>En Progreso</v>
      </c>
      <c r="L24" s="6" t="s">
        <v>321</v>
      </c>
      <c r="M24" s="6" t="s">
        <v>320</v>
      </c>
    </row>
    <row r="25" spans="1:13" hidden="1" x14ac:dyDescent="0.35">
      <c r="A25" s="29" t="s">
        <v>127</v>
      </c>
      <c r="B25" s="29" t="s">
        <v>128</v>
      </c>
      <c r="C25" s="29" t="s">
        <v>129</v>
      </c>
      <c r="D25" s="29" t="s">
        <v>130</v>
      </c>
      <c r="E25" s="41">
        <v>7200224</v>
      </c>
      <c r="F25" s="41">
        <v>0</v>
      </c>
      <c r="G25" s="41">
        <v>9257658.2100000009</v>
      </c>
      <c r="H25" s="40">
        <f t="shared" si="6"/>
        <v>9257658.2100000009</v>
      </c>
      <c r="I25" s="47">
        <f t="shared" si="7"/>
        <v>-2057434.2100000009</v>
      </c>
      <c r="J25" s="17">
        <f t="shared" si="8"/>
        <v>1.2857458615176418</v>
      </c>
      <c r="K25" s="18" t="str">
        <f t="shared" si="9"/>
        <v>Completado</v>
      </c>
      <c r="L25" s="6" t="s">
        <v>321</v>
      </c>
      <c r="M25" s="6" t="s">
        <v>320</v>
      </c>
    </row>
    <row r="26" spans="1:13" hidden="1" x14ac:dyDescent="0.35">
      <c r="A26" s="56" t="s">
        <v>81</v>
      </c>
      <c r="B26" s="11" t="s">
        <v>319</v>
      </c>
      <c r="C26" s="19" t="s">
        <v>37</v>
      </c>
      <c r="D26" s="11" t="s">
        <v>38</v>
      </c>
      <c r="E26" s="13">
        <v>63000</v>
      </c>
      <c r="F26" s="13">
        <f>98245+23075.48</f>
        <v>121320.48</v>
      </c>
      <c r="G26" s="13">
        <v>0</v>
      </c>
      <c r="H26" s="40">
        <f t="shared" si="6"/>
        <v>121320.48</v>
      </c>
      <c r="I26" s="47">
        <f t="shared" si="7"/>
        <v>-58320.479999999996</v>
      </c>
      <c r="J26" s="17">
        <f t="shared" si="8"/>
        <v>1.9257219047619047</v>
      </c>
      <c r="K26" s="18" t="str">
        <f t="shared" si="9"/>
        <v>Completado</v>
      </c>
      <c r="L26" s="6" t="s">
        <v>321</v>
      </c>
      <c r="M26" s="6" t="s">
        <v>320</v>
      </c>
    </row>
    <row r="27" spans="1:13" hidden="1" x14ac:dyDescent="0.35">
      <c r="A27" s="29" t="s">
        <v>263</v>
      </c>
      <c r="B27" s="29" t="s">
        <v>264</v>
      </c>
      <c r="C27" s="29" t="s">
        <v>39</v>
      </c>
      <c r="D27" s="29" t="s">
        <v>40</v>
      </c>
      <c r="E27" s="40">
        <v>6655000</v>
      </c>
      <c r="F27" s="40">
        <v>0</v>
      </c>
      <c r="G27" s="40">
        <v>0</v>
      </c>
      <c r="H27" s="40">
        <f t="shared" si="6"/>
        <v>0</v>
      </c>
      <c r="I27" s="47">
        <f t="shared" si="7"/>
        <v>6655000</v>
      </c>
      <c r="J27" s="17">
        <f t="shared" si="8"/>
        <v>0</v>
      </c>
      <c r="K27" s="18" t="str">
        <f t="shared" si="9"/>
        <v>Pendiente de ejecutar</v>
      </c>
      <c r="L27" s="6" t="s">
        <v>321</v>
      </c>
      <c r="M27" s="6" t="s">
        <v>320</v>
      </c>
    </row>
    <row r="28" spans="1:13" x14ac:dyDescent="0.35">
      <c r="A28" s="11" t="s">
        <v>159</v>
      </c>
      <c r="B28" s="11" t="s">
        <v>205</v>
      </c>
      <c r="C28" s="11" t="s">
        <v>39</v>
      </c>
      <c r="D28" s="11" t="s">
        <v>40</v>
      </c>
      <c r="E28" s="14">
        <v>4275000</v>
      </c>
      <c r="F28" s="14">
        <f>1675080</f>
        <v>1675080</v>
      </c>
      <c r="G28" s="98">
        <v>79800</v>
      </c>
      <c r="H28" s="40">
        <f>F28+G28</f>
        <v>1754880</v>
      </c>
      <c r="I28" s="47">
        <f>E28-H28</f>
        <v>2520120</v>
      </c>
      <c r="J28" s="17">
        <f>IFERROR(H28/E28,0)</f>
        <v>0.41049824561403508</v>
      </c>
      <c r="K28" s="18" t="str">
        <f>IF(E28=0,"Sin Plan",IF(J28&gt;=1,"Completado",IF(J28&gt;0.001,"En Progreso","Pendiente de ejecutar")))</f>
        <v>En Progreso</v>
      </c>
      <c r="L28" s="6" t="s">
        <v>321</v>
      </c>
      <c r="M28" s="6" t="s">
        <v>320</v>
      </c>
    </row>
    <row r="29" spans="1:13" hidden="1" x14ac:dyDescent="0.35">
      <c r="A29" s="29" t="s">
        <v>168</v>
      </c>
      <c r="B29" s="29" t="s">
        <v>205</v>
      </c>
      <c r="C29" s="29" t="s">
        <v>39</v>
      </c>
      <c r="D29" s="29" t="s">
        <v>40</v>
      </c>
      <c r="E29" s="41">
        <v>6080000</v>
      </c>
      <c r="F29" s="41"/>
      <c r="G29" s="36">
        <v>3069000</v>
      </c>
      <c r="H29" s="40">
        <f>F29+G29</f>
        <v>3069000</v>
      </c>
      <c r="I29" s="47">
        <f>E29-H29</f>
        <v>3011000</v>
      </c>
      <c r="J29" s="17">
        <f>IFERROR(H29/E29,0)</f>
        <v>0.50476973684210524</v>
      </c>
      <c r="K29" s="18" t="str">
        <f>IF(E29=0,"Sin Plan",IF(J29&gt;=1,"Completado",IF(J29&gt;0.001,"En Progreso","Pendiente de ejecutar")))</f>
        <v>En Progreso</v>
      </c>
      <c r="L29" s="6" t="s">
        <v>321</v>
      </c>
      <c r="M29" s="6" t="s">
        <v>320</v>
      </c>
    </row>
    <row r="30" spans="1:13" hidden="1" x14ac:dyDescent="0.35">
      <c r="A30" s="29" t="s">
        <v>282</v>
      </c>
      <c r="B30" s="29" t="s">
        <v>205</v>
      </c>
      <c r="C30" s="29" t="s">
        <v>39</v>
      </c>
      <c r="D30" s="29" t="s">
        <v>40</v>
      </c>
      <c r="E30" s="40">
        <v>6000000</v>
      </c>
      <c r="F30" s="40">
        <v>219033</v>
      </c>
      <c r="G30" s="40">
        <f>373830+260000+872900</f>
        <v>1506730</v>
      </c>
      <c r="H30" s="40">
        <f>F30+G30</f>
        <v>1725763</v>
      </c>
      <c r="I30" s="47">
        <f>E30-H30</f>
        <v>4274237</v>
      </c>
      <c r="J30" s="17">
        <f>IFERROR(H30/E30,0)</f>
        <v>0.28762716666666666</v>
      </c>
      <c r="K30" s="18" t="str">
        <f>IF(E30=0,"Sin Plan",IF(J30&gt;=1,"Completado",IF(J30&gt;0.001,"En Progreso","Pendiente de ejecutar")))</f>
        <v>En Progreso</v>
      </c>
      <c r="L30" s="6" t="s">
        <v>321</v>
      </c>
      <c r="M30" s="6" t="s">
        <v>320</v>
      </c>
    </row>
    <row r="31" spans="1:13" x14ac:dyDescent="0.35">
      <c r="A31" s="20" t="s">
        <v>159</v>
      </c>
      <c r="B31" s="11" t="s">
        <v>205</v>
      </c>
      <c r="C31" s="20" t="s">
        <v>21</v>
      </c>
      <c r="D31" s="20" t="s">
        <v>22</v>
      </c>
      <c r="E31" s="14">
        <v>2600000</v>
      </c>
      <c r="F31" s="14">
        <v>0</v>
      </c>
      <c r="G31" s="41">
        <v>0</v>
      </c>
      <c r="H31" s="40">
        <f>F31+G31</f>
        <v>0</v>
      </c>
      <c r="I31" s="47">
        <f>E31-H31</f>
        <v>2600000</v>
      </c>
      <c r="J31" s="17">
        <f>IFERROR(H31/E31,0)</f>
        <v>0</v>
      </c>
      <c r="K31" s="18" t="str">
        <f>IF(E31=0,"Sin Plan",IF(J31&gt;=1,"Completado",IF(J31&gt;0.001,"En Progreso","Pendiente de ejecutar")))</f>
        <v>Pendiente de ejecutar</v>
      </c>
      <c r="L31" s="6" t="s">
        <v>321</v>
      </c>
      <c r="M31" s="6" t="s">
        <v>320</v>
      </c>
    </row>
    <row r="32" spans="1:13" x14ac:dyDescent="0.35">
      <c r="A32" s="11" t="s">
        <v>159</v>
      </c>
      <c r="B32" s="11" t="s">
        <v>205</v>
      </c>
      <c r="C32" s="11" t="s">
        <v>160</v>
      </c>
      <c r="D32" s="11" t="s">
        <v>161</v>
      </c>
      <c r="E32" s="14">
        <v>1743572.42</v>
      </c>
      <c r="F32" s="14">
        <f>461512.1+461512.1</f>
        <v>923024.2</v>
      </c>
      <c r="G32" s="41"/>
      <c r="H32" s="40">
        <f>F32+G32</f>
        <v>923024.2</v>
      </c>
      <c r="I32" s="47">
        <f>E32-H32</f>
        <v>820548.22</v>
      </c>
      <c r="J32" s="17">
        <f>IFERROR(H32/E32,0)</f>
        <v>0.52938678623971347</v>
      </c>
      <c r="K32" s="18" t="str">
        <f>IF(E32=0,"Sin Plan",IF(J32&gt;=1,"Completado",IF(J32&gt;0.001,"En Progreso","Pendiente de ejecutar")))</f>
        <v>En Progreso</v>
      </c>
      <c r="L32" s="6" t="s">
        <v>321</v>
      </c>
      <c r="M32" s="6" t="s">
        <v>320</v>
      </c>
    </row>
    <row r="33" spans="1:13" hidden="1" x14ac:dyDescent="0.35">
      <c r="A33" s="19" t="s">
        <v>82</v>
      </c>
      <c r="B33" s="11" t="s">
        <v>319</v>
      </c>
      <c r="C33" s="19" t="s">
        <v>37</v>
      </c>
      <c r="D33" s="11" t="s">
        <v>38</v>
      </c>
      <c r="E33" s="13">
        <v>1400000</v>
      </c>
      <c r="F33" s="13">
        <f>410160+326559.32</f>
        <v>736719.32000000007</v>
      </c>
      <c r="G33" s="14"/>
      <c r="H33" s="40">
        <f>F33+G33</f>
        <v>736719.32000000007</v>
      </c>
      <c r="I33" s="47">
        <f>E33-H33</f>
        <v>663280.67999999993</v>
      </c>
      <c r="J33" s="17">
        <f>IFERROR(H33/E33,0)</f>
        <v>0.52622808571428581</v>
      </c>
      <c r="K33" s="18" t="str">
        <f>IF(E33=0,"Sin Plan",IF(J33&gt;=1,"Completado",IF(J33&gt;0.001,"En Progreso","Pendiente de ejecutar")))</f>
        <v>En Progreso</v>
      </c>
      <c r="L33" s="6" t="s">
        <v>321</v>
      </c>
      <c r="M33" s="6" t="s">
        <v>320</v>
      </c>
    </row>
    <row r="34" spans="1:13" hidden="1" x14ac:dyDescent="0.35">
      <c r="A34" s="11" t="s">
        <v>94</v>
      </c>
      <c r="B34" s="11" t="s">
        <v>319</v>
      </c>
      <c r="C34" s="11" t="s">
        <v>37</v>
      </c>
      <c r="D34" s="11" t="s">
        <v>38</v>
      </c>
      <c r="E34" s="14">
        <v>1400000</v>
      </c>
      <c r="F34" s="15">
        <v>744128.12</v>
      </c>
      <c r="G34" s="14"/>
      <c r="H34" s="40">
        <f>F34+G34</f>
        <v>744128.12</v>
      </c>
      <c r="I34" s="47">
        <f>E34-H34</f>
        <v>655871.88</v>
      </c>
      <c r="J34" s="17">
        <f>IFERROR(H34/E34,0)</f>
        <v>0.53152008571428566</v>
      </c>
      <c r="K34" s="18" t="str">
        <f>IF(E34=0,"Sin Plan",IF(J34&gt;=1,"Completado",IF(J34&gt;0.001,"En Progreso","Pendiente de ejecutar")))</f>
        <v>En Progreso</v>
      </c>
      <c r="L34" s="6" t="s">
        <v>321</v>
      </c>
      <c r="M34" s="6" t="s">
        <v>320</v>
      </c>
    </row>
    <row r="35" spans="1:13" hidden="1" x14ac:dyDescent="0.35">
      <c r="A35" s="49" t="s">
        <v>207</v>
      </c>
      <c r="B35" s="29" t="s">
        <v>205</v>
      </c>
      <c r="C35" s="49" t="s">
        <v>66</v>
      </c>
      <c r="D35" s="49" t="s">
        <v>67</v>
      </c>
      <c r="E35" s="40">
        <v>4835000</v>
      </c>
      <c r="F35" s="40">
        <v>0</v>
      </c>
      <c r="G35" s="40">
        <v>67732.100000000006</v>
      </c>
      <c r="H35" s="40">
        <f>F35+G35</f>
        <v>67732.100000000006</v>
      </c>
      <c r="I35" s="47">
        <f>E35-H35</f>
        <v>4767267.9000000004</v>
      </c>
      <c r="J35" s="17">
        <f>IFERROR(H35/E35,0)</f>
        <v>1.4008707342295762E-2</v>
      </c>
      <c r="K35" s="18" t="str">
        <f>IF(E35=0,"Sin Plan",IF(J35&gt;=1,"Completado",IF(J35&gt;0.001,"En Progreso","Pendiente de ejecutar")))</f>
        <v>En Progreso</v>
      </c>
      <c r="L35" s="6" t="s">
        <v>323</v>
      </c>
      <c r="M35" s="6" t="s">
        <v>320</v>
      </c>
    </row>
    <row r="36" spans="1:13" hidden="1" x14ac:dyDescent="0.35">
      <c r="A36" s="19" t="s">
        <v>185</v>
      </c>
      <c r="B36" s="11" t="s">
        <v>205</v>
      </c>
      <c r="C36" s="19" t="s">
        <v>186</v>
      </c>
      <c r="D36" s="28" t="s">
        <v>187</v>
      </c>
      <c r="E36" s="13">
        <v>4780000</v>
      </c>
      <c r="F36" s="40">
        <v>0</v>
      </c>
      <c r="G36" s="14">
        <v>3081528.45</v>
      </c>
      <c r="H36" s="40">
        <f>F36+G36</f>
        <v>3081528.45</v>
      </c>
      <c r="I36" s="47">
        <f>E36-H36</f>
        <v>1698471.5499999998</v>
      </c>
      <c r="J36" s="17">
        <f>IFERROR(H36/E36,0)</f>
        <v>0.64467122384937248</v>
      </c>
      <c r="K36" s="18" t="str">
        <f>IF(E36=0,"Sin Plan",IF(J36&gt;=1,"Completado",IF(J36&gt;0.001,"En Progreso","Pendiente de ejecutar")))</f>
        <v>En Progreso</v>
      </c>
      <c r="L36" s="81" t="s">
        <v>323</v>
      </c>
      <c r="M36" s="6" t="s">
        <v>320</v>
      </c>
    </row>
    <row r="37" spans="1:13" x14ac:dyDescent="0.35">
      <c r="A37" s="19" t="s">
        <v>159</v>
      </c>
      <c r="B37" s="11" t="s">
        <v>205</v>
      </c>
      <c r="C37" s="19" t="s">
        <v>66</v>
      </c>
      <c r="D37" s="19" t="s">
        <v>67</v>
      </c>
      <c r="E37" s="13">
        <v>1394000</v>
      </c>
      <c r="F37" s="13">
        <v>0</v>
      </c>
      <c r="G37" s="35">
        <v>1816888.01</v>
      </c>
      <c r="H37" s="40">
        <f>F37+G37</f>
        <v>1816888.01</v>
      </c>
      <c r="I37" s="47">
        <f>E37-H37</f>
        <v>-422888.01</v>
      </c>
      <c r="J37" s="17">
        <f>IFERROR(H37/E37,0)</f>
        <v>1.3033629913916787</v>
      </c>
      <c r="K37" s="18" t="str">
        <f>IF(E37=0,"Sin Plan",IF(J37&gt;=1,"Completado",IF(J37&gt;0.001,"En Progreso","Pendiente de ejecutar")))</f>
        <v>Completado</v>
      </c>
      <c r="L37" s="6" t="s">
        <v>323</v>
      </c>
      <c r="M37" s="6" t="s">
        <v>320</v>
      </c>
    </row>
    <row r="38" spans="1:13" x14ac:dyDescent="0.35">
      <c r="A38" s="19" t="s">
        <v>159</v>
      </c>
      <c r="B38" s="11" t="s">
        <v>205</v>
      </c>
      <c r="C38" s="19" t="s">
        <v>166</v>
      </c>
      <c r="D38" s="19" t="s">
        <v>167</v>
      </c>
      <c r="E38" s="13">
        <v>1100000</v>
      </c>
      <c r="F38" s="13">
        <v>0</v>
      </c>
      <c r="G38" s="40">
        <v>0</v>
      </c>
      <c r="H38" s="40">
        <f>F38+G38</f>
        <v>0</v>
      </c>
      <c r="I38" s="47">
        <f>E38-H38</f>
        <v>1100000</v>
      </c>
      <c r="J38" s="17">
        <f>IFERROR(H38/E38,0)</f>
        <v>0</v>
      </c>
      <c r="K38" s="18" t="str">
        <f>IF(E38=0,"Sin Plan",IF(J38&gt;=1,"Completado",IF(J38&gt;0.001,"En Progreso","Pendiente de ejecutar")))</f>
        <v>Pendiente de ejecutar</v>
      </c>
      <c r="L38" s="6" t="s">
        <v>323</v>
      </c>
      <c r="M38" s="6" t="s">
        <v>320</v>
      </c>
    </row>
    <row r="39" spans="1:13" hidden="1" x14ac:dyDescent="0.35">
      <c r="A39" s="28" t="s">
        <v>248</v>
      </c>
      <c r="B39" s="11" t="s">
        <v>205</v>
      </c>
      <c r="C39" s="29" t="s">
        <v>186</v>
      </c>
      <c r="D39" s="28" t="s">
        <v>187</v>
      </c>
      <c r="E39" s="25">
        <v>4780000</v>
      </c>
      <c r="F39" s="25">
        <v>0</v>
      </c>
      <c r="G39" s="25">
        <v>3081528.45</v>
      </c>
      <c r="H39" s="40">
        <f>F39+G39</f>
        <v>3081528.45</v>
      </c>
      <c r="I39" s="47">
        <f>E39-H39</f>
        <v>1698471.5499999998</v>
      </c>
      <c r="J39" s="17">
        <f>IFERROR(H39/E39,0)</f>
        <v>0.64467122384937248</v>
      </c>
      <c r="K39" s="18" t="str">
        <f>IF(E39=0,"Sin Plan",IF(J39&gt;=1,"Completado",IF(J39&gt;0.001,"En Progreso","Pendiente de ejecutar")))</f>
        <v>En Progreso</v>
      </c>
      <c r="L39" s="81" t="s">
        <v>323</v>
      </c>
      <c r="M39" s="6" t="s">
        <v>320</v>
      </c>
    </row>
    <row r="40" spans="1:13" hidden="1" x14ac:dyDescent="0.35">
      <c r="A40" s="20" t="s">
        <v>127</v>
      </c>
      <c r="B40" s="11" t="s">
        <v>128</v>
      </c>
      <c r="C40" s="20" t="s">
        <v>33</v>
      </c>
      <c r="D40" s="20" t="s">
        <v>34</v>
      </c>
      <c r="E40" s="14">
        <v>4500000</v>
      </c>
      <c r="F40" s="14">
        <v>3064270.22</v>
      </c>
      <c r="G40" s="14">
        <v>0</v>
      </c>
      <c r="H40" s="40">
        <f>F40+G40</f>
        <v>3064270.22</v>
      </c>
      <c r="I40" s="47">
        <f>E40-H40</f>
        <v>1435729.7799999998</v>
      </c>
      <c r="J40" s="17">
        <f>IFERROR(H40/E40,0)</f>
        <v>0.68094893777777787</v>
      </c>
      <c r="K40" s="18" t="str">
        <f>IF(E40=0,"Sin Plan",IF(J40&gt;=1,"Completado",IF(J40&gt;0.001,"En Progreso","Pendiente de ejecutar")))</f>
        <v>En Progreso</v>
      </c>
      <c r="L40" s="6" t="s">
        <v>321</v>
      </c>
      <c r="M40" s="6" t="s">
        <v>320</v>
      </c>
    </row>
    <row r="41" spans="1:13" hidden="1" x14ac:dyDescent="0.35">
      <c r="A41" s="11" t="s">
        <v>143</v>
      </c>
      <c r="B41" s="11" t="s">
        <v>128</v>
      </c>
      <c r="C41" s="11" t="s">
        <v>47</v>
      </c>
      <c r="D41" s="11" t="s">
        <v>48</v>
      </c>
      <c r="E41" s="14">
        <v>4410000</v>
      </c>
      <c r="F41" s="14">
        <v>0</v>
      </c>
      <c r="G41" s="14">
        <v>1382089.5299999998</v>
      </c>
      <c r="H41" s="40">
        <f>F41+G41</f>
        <v>1382089.5299999998</v>
      </c>
      <c r="I41" s="47">
        <f>E41-H41</f>
        <v>3027910.47</v>
      </c>
      <c r="J41" s="17">
        <f>IFERROR(H41/E41,0)</f>
        <v>0.31339898639455777</v>
      </c>
      <c r="K41" s="18" t="str">
        <f>IF(E41=0,"Sin Plan",IF(J41&gt;=1,"Completado",IF(J41&gt;0.001,"En Progreso","Pendiente de ejecutar")))</f>
        <v>En Progreso</v>
      </c>
      <c r="L41" s="6" t="s">
        <v>323</v>
      </c>
      <c r="M41" s="6" t="s">
        <v>320</v>
      </c>
    </row>
    <row r="42" spans="1:13" x14ac:dyDescent="0.35">
      <c r="A42" s="20" t="s">
        <v>159</v>
      </c>
      <c r="B42" s="11" t="s">
        <v>205</v>
      </c>
      <c r="C42" s="20" t="s">
        <v>95</v>
      </c>
      <c r="D42" s="20" t="s">
        <v>75</v>
      </c>
      <c r="E42" s="14">
        <v>850000</v>
      </c>
      <c r="F42" s="14">
        <v>0</v>
      </c>
      <c r="G42" s="41">
        <v>0</v>
      </c>
      <c r="H42" s="40">
        <f>F42+G42</f>
        <v>0</v>
      </c>
      <c r="I42" s="47">
        <f>E42-H42</f>
        <v>850000</v>
      </c>
      <c r="J42" s="17">
        <f>IFERROR(H42/E42,0)</f>
        <v>0</v>
      </c>
      <c r="K42" s="18" t="str">
        <f>IF(E42=0,"Sin Plan",IF(J42&gt;=1,"Completado",IF(J42&gt;0.001,"En Progreso","Pendiente de ejecutar")))</f>
        <v>Pendiente de ejecutar</v>
      </c>
      <c r="L42" s="6" t="s">
        <v>323</v>
      </c>
      <c r="M42" s="6" t="s">
        <v>320</v>
      </c>
    </row>
    <row r="43" spans="1:13" hidden="1" x14ac:dyDescent="0.35">
      <c r="A43" s="11" t="s">
        <v>287</v>
      </c>
      <c r="B43" s="11" t="s">
        <v>205</v>
      </c>
      <c r="C43" s="11" t="s">
        <v>39</v>
      </c>
      <c r="D43" s="11" t="s">
        <v>40</v>
      </c>
      <c r="E43" s="13">
        <v>4350000</v>
      </c>
      <c r="F43" s="13">
        <v>0</v>
      </c>
      <c r="G43" s="13">
        <v>558397</v>
      </c>
      <c r="H43" s="40">
        <f>F43+G43</f>
        <v>558397</v>
      </c>
      <c r="I43" s="47">
        <f>E43-H43</f>
        <v>3791603</v>
      </c>
      <c r="J43" s="17">
        <f>IFERROR(H43/E43,0)</f>
        <v>0.12836712643678161</v>
      </c>
      <c r="K43" s="18" t="str">
        <f>IF(E43=0,"Sin Plan",IF(J43&gt;=1,"Completado",IF(J43&gt;0.001,"En Progreso","Pendiente de ejecutar")))</f>
        <v>En Progreso</v>
      </c>
      <c r="L43" s="6" t="s">
        <v>321</v>
      </c>
      <c r="M43" s="6" t="s">
        <v>320</v>
      </c>
    </row>
    <row r="44" spans="1:13" x14ac:dyDescent="0.35">
      <c r="A44" s="11" t="s">
        <v>159</v>
      </c>
      <c r="B44" s="11" t="s">
        <v>205</v>
      </c>
      <c r="C44" s="11" t="s">
        <v>164</v>
      </c>
      <c r="D44" s="11" t="s">
        <v>165</v>
      </c>
      <c r="E44" s="14">
        <v>352000</v>
      </c>
      <c r="F44" s="14">
        <v>0</v>
      </c>
      <c r="G44" s="41">
        <v>0</v>
      </c>
      <c r="H44" s="40">
        <f>F44+G44</f>
        <v>0</v>
      </c>
      <c r="I44" s="47">
        <f>E44-H44</f>
        <v>352000</v>
      </c>
      <c r="J44" s="17">
        <f>IFERROR(H44/E44,0)</f>
        <v>0</v>
      </c>
      <c r="K44" s="18" t="str">
        <f>IF(E44=0,"Sin Plan",IF(J44&gt;=1,"Completado",IF(J44&gt;0.001,"En Progreso","Pendiente de ejecutar")))</f>
        <v>Pendiente de ejecutar</v>
      </c>
      <c r="L44" s="6" t="s">
        <v>323</v>
      </c>
      <c r="M44" s="6" t="s">
        <v>320</v>
      </c>
    </row>
    <row r="45" spans="1:13" x14ac:dyDescent="0.35">
      <c r="A45" s="19" t="s">
        <v>159</v>
      </c>
      <c r="B45" s="11" t="s">
        <v>205</v>
      </c>
      <c r="C45" s="19" t="s">
        <v>135</v>
      </c>
      <c r="D45" s="19" t="s">
        <v>136</v>
      </c>
      <c r="E45" s="13">
        <v>245500</v>
      </c>
      <c r="F45" s="13">
        <v>254379.31</v>
      </c>
      <c r="G45" s="40">
        <v>0</v>
      </c>
      <c r="H45" s="40">
        <f>F45+G45</f>
        <v>254379.31</v>
      </c>
      <c r="I45" s="47">
        <f>E45-H45</f>
        <v>-8879.3099999999977</v>
      </c>
      <c r="J45" s="17">
        <f>IFERROR(H45/E45,0)</f>
        <v>1.0361682688391038</v>
      </c>
      <c r="K45" s="18" t="str">
        <f>IF(E45=0,"Sin Plan",IF(J45&gt;=1,"Completado",IF(J45&gt;0.001,"En Progreso","Pendiente de ejecutar")))</f>
        <v>Completado</v>
      </c>
      <c r="L45" s="6" t="s">
        <v>323</v>
      </c>
      <c r="M45" s="6" t="s">
        <v>320</v>
      </c>
    </row>
    <row r="46" spans="1:13" hidden="1" x14ac:dyDescent="0.35">
      <c r="A46" s="20" t="s">
        <v>263</v>
      </c>
      <c r="B46" s="20" t="s">
        <v>264</v>
      </c>
      <c r="C46" s="20" t="s">
        <v>63</v>
      </c>
      <c r="D46" s="20" t="s">
        <v>64</v>
      </c>
      <c r="E46" s="14">
        <v>4100000</v>
      </c>
      <c r="F46" s="14">
        <v>0</v>
      </c>
      <c r="G46" s="14">
        <v>0</v>
      </c>
      <c r="H46" s="40">
        <f>F46+G46</f>
        <v>0</v>
      </c>
      <c r="I46" s="47">
        <f>E46-H46</f>
        <v>4100000</v>
      </c>
      <c r="J46" s="17">
        <f>IFERROR(H46/E46,0)</f>
        <v>0</v>
      </c>
      <c r="K46" s="18" t="str">
        <f>IF(E46=0,"Sin Plan",IF(J46&gt;=1,"Completado",IF(J46&gt;0.001,"En Progreso","Pendiente de ejecutar")))</f>
        <v>Pendiente de ejecutar</v>
      </c>
      <c r="L46" s="6" t="s">
        <v>321</v>
      </c>
      <c r="M46" s="6" t="s">
        <v>320</v>
      </c>
    </row>
    <row r="47" spans="1:13" hidden="1" x14ac:dyDescent="0.35">
      <c r="A47" s="11" t="s">
        <v>222</v>
      </c>
      <c r="B47" s="11" t="s">
        <v>205</v>
      </c>
      <c r="C47" s="11" t="s">
        <v>39</v>
      </c>
      <c r="D47" s="11" t="s">
        <v>40</v>
      </c>
      <c r="E47" s="13">
        <v>4000000</v>
      </c>
      <c r="F47" s="13">
        <v>0</v>
      </c>
      <c r="G47" s="13">
        <v>0</v>
      </c>
      <c r="H47" s="40">
        <f>F47+G47</f>
        <v>0</v>
      </c>
      <c r="I47" s="47">
        <f>E47-H47</f>
        <v>4000000</v>
      </c>
      <c r="J47" s="17">
        <f>IFERROR(H47/E47,0)</f>
        <v>0</v>
      </c>
      <c r="K47" s="18" t="str">
        <f>IF(E47=0,"Sin Plan",IF(J47&gt;=1,"Completado",IF(J47&gt;0.001,"En Progreso","Pendiente de ejecutar")))</f>
        <v>Pendiente de ejecutar</v>
      </c>
      <c r="L47" s="6" t="s">
        <v>321</v>
      </c>
      <c r="M47" s="6" t="s">
        <v>320</v>
      </c>
    </row>
    <row r="48" spans="1:13" hidden="1" x14ac:dyDescent="0.35">
      <c r="A48" s="19" t="s">
        <v>281</v>
      </c>
      <c r="B48" s="11" t="s">
        <v>205</v>
      </c>
      <c r="C48" s="19" t="s">
        <v>39</v>
      </c>
      <c r="D48" s="19" t="s">
        <v>40</v>
      </c>
      <c r="E48" s="13">
        <v>4000000</v>
      </c>
      <c r="F48" s="13">
        <v>0</v>
      </c>
      <c r="G48" s="13">
        <f>1765326.3+195731.24+587000</f>
        <v>2548057.54</v>
      </c>
      <c r="H48" s="40">
        <f>F48+G48</f>
        <v>2548057.54</v>
      </c>
      <c r="I48" s="47">
        <f>E48-H48</f>
        <v>1451942.46</v>
      </c>
      <c r="J48" s="17">
        <f>IFERROR(H48/E48,0)</f>
        <v>0.63701438499999996</v>
      </c>
      <c r="K48" s="18" t="str">
        <f>IF(E48=0,"Sin Plan",IF(J48&gt;=1,"Completado",IF(J48&gt;0.001,"En Progreso","Pendiente de ejecutar")))</f>
        <v>En Progreso</v>
      </c>
      <c r="L48" s="6" t="s">
        <v>321</v>
      </c>
      <c r="M48" s="6" t="s">
        <v>320</v>
      </c>
    </row>
    <row r="49" spans="1:13" hidden="1" x14ac:dyDescent="0.35">
      <c r="A49" s="26" t="s">
        <v>209</v>
      </c>
      <c r="B49" s="11" t="s">
        <v>205</v>
      </c>
      <c r="C49" s="26" t="s">
        <v>66</v>
      </c>
      <c r="D49" s="26" t="s">
        <v>67</v>
      </c>
      <c r="E49" s="14">
        <v>3940500</v>
      </c>
      <c r="F49" s="14">
        <v>50601.04</v>
      </c>
      <c r="G49" s="14">
        <v>2986691.51</v>
      </c>
      <c r="H49" s="40">
        <f>F49+G49</f>
        <v>3037292.55</v>
      </c>
      <c r="I49" s="47">
        <f>E49-H49</f>
        <v>903207.45000000019</v>
      </c>
      <c r="J49" s="17">
        <f>IFERROR(H49/E49,0)</f>
        <v>0.77078861819566036</v>
      </c>
      <c r="K49" s="18" t="str">
        <f>IF(E49=0,"Sin Plan",IF(J49&gt;=1,"Completado",IF(J49&gt;0.001,"En Progreso","Pendiente de ejecutar")))</f>
        <v>En Progreso</v>
      </c>
      <c r="L49" s="6" t="s">
        <v>323</v>
      </c>
      <c r="M49" s="6" t="s">
        <v>320</v>
      </c>
    </row>
    <row r="50" spans="1:13" hidden="1" x14ac:dyDescent="0.35">
      <c r="A50" s="20" t="s">
        <v>285</v>
      </c>
      <c r="B50" s="11" t="s">
        <v>205</v>
      </c>
      <c r="C50" s="20" t="s">
        <v>39</v>
      </c>
      <c r="D50" s="20" t="s">
        <v>40</v>
      </c>
      <c r="E50" s="14">
        <v>3850000</v>
      </c>
      <c r="F50" s="14">
        <v>165127.6</v>
      </c>
      <c r="G50" s="14">
        <v>2139624.19</v>
      </c>
      <c r="H50" s="40">
        <f>F50+G50</f>
        <v>2304751.79</v>
      </c>
      <c r="I50" s="47">
        <f>E50-H50</f>
        <v>1545248.21</v>
      </c>
      <c r="J50" s="17">
        <f>IFERROR(H50/E50,0)</f>
        <v>0.59863682857142864</v>
      </c>
      <c r="K50" s="18" t="str">
        <f>IF(E50=0,"Sin Plan",IF(J50&gt;=1,"Completado",IF(J50&gt;0.001,"En Progreso","Pendiente de ejecutar")))</f>
        <v>En Progreso</v>
      </c>
      <c r="L50" s="6" t="s">
        <v>321</v>
      </c>
      <c r="M50" s="6" t="s">
        <v>320</v>
      </c>
    </row>
    <row r="51" spans="1:13" hidden="1" x14ac:dyDescent="0.35">
      <c r="A51" s="20" t="s">
        <v>143</v>
      </c>
      <c r="B51" s="11" t="s">
        <v>128</v>
      </c>
      <c r="C51" s="20" t="s">
        <v>133</v>
      </c>
      <c r="D51" s="20" t="s">
        <v>134</v>
      </c>
      <c r="E51" s="14">
        <v>3780000</v>
      </c>
      <c r="F51" s="14">
        <v>0</v>
      </c>
      <c r="G51" s="14">
        <v>0</v>
      </c>
      <c r="H51" s="40">
        <f>F51+G51</f>
        <v>0</v>
      </c>
      <c r="I51" s="47">
        <f>E51-H51</f>
        <v>3780000</v>
      </c>
      <c r="J51" s="17">
        <f>IFERROR(H51/E51,0)</f>
        <v>0</v>
      </c>
      <c r="K51" s="18" t="str">
        <f>IF(E51=0,"Sin Plan",IF(J51&gt;=1,"Completado",IF(J51&gt;0.001,"En Progreso","Pendiente de ejecutar")))</f>
        <v>Pendiente de ejecutar</v>
      </c>
      <c r="L51" s="6" t="s">
        <v>321</v>
      </c>
      <c r="M51" s="6" t="s">
        <v>320</v>
      </c>
    </row>
    <row r="52" spans="1:13" hidden="1" x14ac:dyDescent="0.35">
      <c r="A52" s="11" t="s">
        <v>201</v>
      </c>
      <c r="B52" s="11" t="s">
        <v>205</v>
      </c>
      <c r="C52" s="11" t="s">
        <v>66</v>
      </c>
      <c r="D52" s="11" t="s">
        <v>67</v>
      </c>
      <c r="E52" s="36">
        <v>3750000</v>
      </c>
      <c r="F52" s="14">
        <v>0</v>
      </c>
      <c r="G52" s="14">
        <v>3072841.46</v>
      </c>
      <c r="H52" s="40">
        <f>F52+G52</f>
        <v>3072841.46</v>
      </c>
      <c r="I52" s="47">
        <f>E52-H52</f>
        <v>677158.54</v>
      </c>
      <c r="J52" s="17">
        <f>IFERROR(H52/E52,0)</f>
        <v>0.81942438933333328</v>
      </c>
      <c r="K52" s="18" t="str">
        <f>IF(E52=0,"Sin Plan",IF(J52&gt;=1,"Completado",IF(J52&gt;0.001,"En Progreso","Pendiente de ejecutar")))</f>
        <v>En Progreso</v>
      </c>
      <c r="L52" s="6" t="s">
        <v>323</v>
      </c>
      <c r="M52" s="6" t="s">
        <v>320</v>
      </c>
    </row>
    <row r="53" spans="1:13" x14ac:dyDescent="0.35">
      <c r="A53" s="11" t="s">
        <v>159</v>
      </c>
      <c r="B53" s="11" t="s">
        <v>205</v>
      </c>
      <c r="C53" s="11" t="s">
        <v>162</v>
      </c>
      <c r="D53" s="11" t="s">
        <v>163</v>
      </c>
      <c r="E53" s="13">
        <v>38000</v>
      </c>
      <c r="F53" s="13">
        <v>0</v>
      </c>
      <c r="G53" s="40">
        <v>0</v>
      </c>
      <c r="H53" s="40">
        <f>F53+G53</f>
        <v>0</v>
      </c>
      <c r="I53" s="47">
        <f>E53-H53</f>
        <v>38000</v>
      </c>
      <c r="J53" s="17">
        <f>IFERROR(H53/E53,0)</f>
        <v>0</v>
      </c>
      <c r="K53" s="18" t="str">
        <f>IF(E53=0,"Sin Plan",IF(J53&gt;=1,"Completado",IF(J53&gt;0.001,"En Progreso","Pendiente de ejecutar")))</f>
        <v>Pendiente de ejecutar</v>
      </c>
      <c r="L53" s="6" t="s">
        <v>323</v>
      </c>
      <c r="M53" s="6" t="s">
        <v>320</v>
      </c>
    </row>
    <row r="54" spans="1:13" s="2" customFormat="1" hidden="1" x14ac:dyDescent="0.35">
      <c r="A54" s="20" t="s">
        <v>287</v>
      </c>
      <c r="B54" s="11" t="s">
        <v>205</v>
      </c>
      <c r="C54" s="20" t="s">
        <v>63</v>
      </c>
      <c r="D54" s="20" t="s">
        <v>64</v>
      </c>
      <c r="E54" s="14">
        <v>3650000</v>
      </c>
      <c r="F54" s="14">
        <v>0</v>
      </c>
      <c r="G54" s="14">
        <v>0</v>
      </c>
      <c r="H54" s="40">
        <f>F54+G54</f>
        <v>0</v>
      </c>
      <c r="I54" s="47">
        <f>E54-H54</f>
        <v>3650000</v>
      </c>
      <c r="J54" s="17">
        <f>IFERROR(H54/E54,0)</f>
        <v>0</v>
      </c>
      <c r="K54" s="18" t="str">
        <f>IF(E54=0,"Sin Plan",IF(J54&gt;=1,"Completado",IF(J54&gt;0.001,"En Progreso","Pendiente de ejecutar")))</f>
        <v>Pendiente de ejecutar</v>
      </c>
      <c r="L54" s="6" t="s">
        <v>321</v>
      </c>
      <c r="M54" s="6" t="s">
        <v>320</v>
      </c>
    </row>
    <row r="55" spans="1:13" hidden="1" x14ac:dyDescent="0.35">
      <c r="A55" s="11" t="s">
        <v>263</v>
      </c>
      <c r="B55" s="11" t="s">
        <v>264</v>
      </c>
      <c r="C55" s="11" t="s">
        <v>13</v>
      </c>
      <c r="D55" s="11" t="s">
        <v>14</v>
      </c>
      <c r="E55" s="14">
        <v>3630000</v>
      </c>
      <c r="F55" s="14">
        <v>0</v>
      </c>
      <c r="G55" s="14">
        <v>0</v>
      </c>
      <c r="H55" s="40">
        <f>F55+G55</f>
        <v>0</v>
      </c>
      <c r="I55" s="47">
        <f>E55-H55</f>
        <v>3630000</v>
      </c>
      <c r="J55" s="17">
        <f>IFERROR(H55/E55,0)</f>
        <v>0</v>
      </c>
      <c r="K55" s="18" t="str">
        <f>IF(E55=0,"Sin Plan",IF(J55&gt;=1,"Completado",IF(J55&gt;0.001,"En Progreso","Pendiente de ejecutar")))</f>
        <v>Pendiente de ejecutar</v>
      </c>
      <c r="L55" s="6" t="s">
        <v>323</v>
      </c>
      <c r="M55" s="6" t="s">
        <v>320</v>
      </c>
    </row>
    <row r="56" spans="1:13" hidden="1" x14ac:dyDescent="0.35">
      <c r="A56" s="19" t="s">
        <v>105</v>
      </c>
      <c r="B56" s="11" t="s">
        <v>319</v>
      </c>
      <c r="C56" s="19" t="s">
        <v>37</v>
      </c>
      <c r="D56" s="11" t="s">
        <v>38</v>
      </c>
      <c r="E56" s="13">
        <v>45000</v>
      </c>
      <c r="F56" s="13">
        <v>23075.48</v>
      </c>
      <c r="G56" s="13">
        <v>0</v>
      </c>
      <c r="H56" s="40">
        <f>F56+G56</f>
        <v>23075.48</v>
      </c>
      <c r="I56" s="47">
        <f>E56-H56</f>
        <v>21924.52</v>
      </c>
      <c r="J56" s="17">
        <f>IFERROR(H56/E56,0)</f>
        <v>0.51278844444444438</v>
      </c>
      <c r="K56" s="18" t="str">
        <f>IF(E56=0,"Sin Plan",IF(J56&gt;=1,"Completado",IF(J56&gt;0.001,"En Progreso","Pendiente de ejecutar")))</f>
        <v>En Progreso</v>
      </c>
      <c r="L56" s="6" t="s">
        <v>323</v>
      </c>
      <c r="M56" s="6" t="s">
        <v>320</v>
      </c>
    </row>
    <row r="57" spans="1:13" hidden="1" x14ac:dyDescent="0.35">
      <c r="A57" s="20" t="s">
        <v>210</v>
      </c>
      <c r="B57" s="11" t="s">
        <v>205</v>
      </c>
      <c r="C57" s="20" t="s">
        <v>63</v>
      </c>
      <c r="D57" s="20" t="s">
        <v>64</v>
      </c>
      <c r="E57" s="14">
        <v>3530000</v>
      </c>
      <c r="F57" s="14">
        <v>0</v>
      </c>
      <c r="G57" s="14">
        <v>0</v>
      </c>
      <c r="H57" s="40">
        <f>F57+G57</f>
        <v>0</v>
      </c>
      <c r="I57" s="47">
        <f>E57-H57</f>
        <v>3530000</v>
      </c>
      <c r="J57" s="17">
        <f>IFERROR(H57/E57,0)</f>
        <v>0</v>
      </c>
      <c r="K57" s="18" t="str">
        <f>IF(E57=0,"Sin Plan",IF(J57&gt;=1,"Completado",IF(J57&gt;0.001,"En Progreso","Pendiente de ejecutar")))</f>
        <v>Pendiente de ejecutar</v>
      </c>
      <c r="L57" s="6" t="s">
        <v>321</v>
      </c>
      <c r="M57" s="6" t="s">
        <v>320</v>
      </c>
    </row>
    <row r="58" spans="1:13" hidden="1" x14ac:dyDescent="0.35">
      <c r="A58" s="11" t="s">
        <v>267</v>
      </c>
      <c r="B58" s="11" t="s">
        <v>128</v>
      </c>
      <c r="C58" s="11" t="s">
        <v>270</v>
      </c>
      <c r="D58" s="11" t="s">
        <v>271</v>
      </c>
      <c r="E58" s="14">
        <v>3320000</v>
      </c>
      <c r="F58" s="14">
        <v>0</v>
      </c>
      <c r="G58" s="14">
        <v>0</v>
      </c>
      <c r="H58" s="40">
        <f>F58+G58</f>
        <v>0</v>
      </c>
      <c r="I58" s="47">
        <f>E58-H58</f>
        <v>3320000</v>
      </c>
      <c r="J58" s="17">
        <f>IFERROR(H58/E58,0)</f>
        <v>0</v>
      </c>
      <c r="K58" s="18" t="str">
        <f>IF(E58=0,"Sin Plan",IF(J58&gt;=1,"Completado",IF(J58&gt;0.001,"En Progreso","Pendiente de ejecutar")))</f>
        <v>Pendiente de ejecutar</v>
      </c>
      <c r="L58" s="6" t="s">
        <v>323</v>
      </c>
      <c r="M58" s="6" t="s">
        <v>320</v>
      </c>
    </row>
    <row r="59" spans="1:13" hidden="1" x14ac:dyDescent="0.35">
      <c r="A59" s="20" t="s">
        <v>285</v>
      </c>
      <c r="B59" s="11" t="s">
        <v>205</v>
      </c>
      <c r="C59" s="20" t="s">
        <v>186</v>
      </c>
      <c r="D59" s="28" t="s">
        <v>187</v>
      </c>
      <c r="E59" s="14">
        <v>3300000</v>
      </c>
      <c r="F59" s="14">
        <v>0</v>
      </c>
      <c r="G59" s="14">
        <v>2555413.83</v>
      </c>
      <c r="H59" s="40">
        <f>F59+G59</f>
        <v>2555413.83</v>
      </c>
      <c r="I59" s="47">
        <f>E59-H59</f>
        <v>744586.16999999993</v>
      </c>
      <c r="J59" s="17">
        <f>IFERROR(H59/E59,0)</f>
        <v>0.77436782727272735</v>
      </c>
      <c r="K59" s="18" t="str">
        <f>IF(E59=0,"Sin Plan",IF(J59&gt;=1,"Completado",IF(J59&gt;0.001,"En Progreso","Pendiente de ejecutar")))</f>
        <v>En Progreso</v>
      </c>
      <c r="L59" s="81" t="s">
        <v>323</v>
      </c>
      <c r="M59" s="6" t="s">
        <v>320</v>
      </c>
    </row>
    <row r="60" spans="1:13" hidden="1" x14ac:dyDescent="0.35">
      <c r="A60" s="11" t="s">
        <v>201</v>
      </c>
      <c r="B60" s="11" t="s">
        <v>205</v>
      </c>
      <c r="C60" s="11" t="s">
        <v>21</v>
      </c>
      <c r="D60" s="11" t="s">
        <v>22</v>
      </c>
      <c r="E60" s="35">
        <v>3030000</v>
      </c>
      <c r="F60" s="13">
        <v>0</v>
      </c>
      <c r="G60" s="13">
        <v>0</v>
      </c>
      <c r="H60" s="40">
        <f>F60+G60</f>
        <v>0</v>
      </c>
      <c r="I60" s="47">
        <f>E60-H60</f>
        <v>3030000</v>
      </c>
      <c r="J60" s="17">
        <f>IFERROR(H60/E60,0)</f>
        <v>0</v>
      </c>
      <c r="K60" s="18" t="str">
        <f>IF(E60=0,"Sin Plan",IF(J60&gt;=1,"Completado",IF(J60&gt;0.001,"En Progreso","Pendiente de ejecutar")))</f>
        <v>Pendiente de ejecutar</v>
      </c>
      <c r="L60" s="6" t="s">
        <v>321</v>
      </c>
      <c r="M60" s="6" t="s">
        <v>320</v>
      </c>
    </row>
    <row r="61" spans="1:13" hidden="1" x14ac:dyDescent="0.35">
      <c r="A61" s="20" t="s">
        <v>257</v>
      </c>
      <c r="B61" s="11" t="s">
        <v>205</v>
      </c>
      <c r="C61" s="20" t="s">
        <v>90</v>
      </c>
      <c r="D61" s="20" t="s">
        <v>91</v>
      </c>
      <c r="E61" s="14">
        <v>2945000</v>
      </c>
      <c r="F61" s="14">
        <v>0</v>
      </c>
      <c r="G61" s="36">
        <v>178224.76</v>
      </c>
      <c r="H61" s="40">
        <f>F61+G61</f>
        <v>178224.76</v>
      </c>
      <c r="I61" s="47">
        <f>E61-H61</f>
        <v>2766775.24</v>
      </c>
      <c r="J61" s="17">
        <f>IFERROR(H61/E61,0)</f>
        <v>6.0517745331069614E-2</v>
      </c>
      <c r="K61" s="18" t="str">
        <f>IF(E61=0,"Sin Plan",IF(J61&gt;=1,"Completado",IF(J61&gt;0.001,"En Progreso","Pendiente de ejecutar")))</f>
        <v>En Progreso</v>
      </c>
      <c r="L61" s="6" t="s">
        <v>323</v>
      </c>
      <c r="M61" s="6" t="s">
        <v>320</v>
      </c>
    </row>
    <row r="62" spans="1:13" hidden="1" x14ac:dyDescent="0.35">
      <c r="A62" s="19" t="s">
        <v>112</v>
      </c>
      <c r="B62" s="11" t="s">
        <v>319</v>
      </c>
      <c r="C62" s="19" t="s">
        <v>37</v>
      </c>
      <c r="D62" s="11" t="s">
        <v>38</v>
      </c>
      <c r="E62" s="13">
        <v>1526000</v>
      </c>
      <c r="F62" s="13">
        <f>362832.36+17067.38</f>
        <v>379899.74</v>
      </c>
      <c r="G62" s="13">
        <v>0</v>
      </c>
      <c r="H62" s="40">
        <f>F62+G62</f>
        <v>379899.74</v>
      </c>
      <c r="I62" s="47">
        <f>E62-H62</f>
        <v>1146100.26</v>
      </c>
      <c r="J62" s="17">
        <f>IFERROR(H62/E62,0)</f>
        <v>0.24895133682830931</v>
      </c>
      <c r="K62" s="18" t="str">
        <f>IF(E62=0,"Sin Plan",IF(J62&gt;=1,"Completado",IF(J62&gt;0.001,"En Progreso","Pendiente de ejecutar")))</f>
        <v>En Progreso</v>
      </c>
      <c r="L62" s="6" t="s">
        <v>321</v>
      </c>
      <c r="M62" s="6" t="s">
        <v>320</v>
      </c>
    </row>
    <row r="63" spans="1:13" hidden="1" x14ac:dyDescent="0.35">
      <c r="A63" s="20" t="s">
        <v>265</v>
      </c>
      <c r="B63" s="20" t="s">
        <v>266</v>
      </c>
      <c r="C63" s="20" t="s">
        <v>213</v>
      </c>
      <c r="D63" s="20" t="s">
        <v>214</v>
      </c>
      <c r="E63" s="14">
        <v>2700000</v>
      </c>
      <c r="F63" s="14">
        <v>0</v>
      </c>
      <c r="G63" s="14">
        <v>0</v>
      </c>
      <c r="H63" s="40">
        <f>F63+G63</f>
        <v>0</v>
      </c>
      <c r="I63" s="47">
        <f>E63-H63</f>
        <v>2700000</v>
      </c>
      <c r="J63" s="17">
        <f>IFERROR(H63/E63,0)</f>
        <v>0</v>
      </c>
      <c r="K63" s="18" t="str">
        <f>IF(E63=0,"Sin Plan",IF(J63&gt;=1,"Completado",IF(J63&gt;0.001,"En Progreso","Pendiente de ejecutar")))</f>
        <v>Pendiente de ejecutar</v>
      </c>
      <c r="L63" s="6" t="s">
        <v>321</v>
      </c>
      <c r="M63" s="6" t="s">
        <v>320</v>
      </c>
    </row>
    <row r="64" spans="1:13" hidden="1" x14ac:dyDescent="0.35">
      <c r="A64" s="11" t="s">
        <v>153</v>
      </c>
      <c r="B64" s="11" t="s">
        <v>128</v>
      </c>
      <c r="C64" s="11" t="s">
        <v>47</v>
      </c>
      <c r="D64" s="11" t="s">
        <v>48</v>
      </c>
      <c r="E64" s="13">
        <v>2646000</v>
      </c>
      <c r="F64" s="13">
        <v>0</v>
      </c>
      <c r="G64" s="13">
        <v>0</v>
      </c>
      <c r="H64" s="40">
        <f>F64+G64</f>
        <v>0</v>
      </c>
      <c r="I64" s="47">
        <f>E64-H64</f>
        <v>2646000</v>
      </c>
      <c r="J64" s="17">
        <f>IFERROR(H64/E64,0)</f>
        <v>0</v>
      </c>
      <c r="K64" s="18" t="str">
        <f>IF(E64=0,"Sin Plan",IF(J64&gt;=1,"Completado",IF(J64&gt;0.001,"En Progreso","Pendiente de ejecutar")))</f>
        <v>Pendiente de ejecutar</v>
      </c>
      <c r="L64" s="6" t="s">
        <v>323</v>
      </c>
      <c r="M64" s="6" t="s">
        <v>320</v>
      </c>
    </row>
    <row r="65" spans="1:13" x14ac:dyDescent="0.35">
      <c r="A65" s="19" t="s">
        <v>159</v>
      </c>
      <c r="B65" s="11" t="s">
        <v>205</v>
      </c>
      <c r="C65" s="19" t="s">
        <v>78</v>
      </c>
      <c r="D65" s="19" t="s">
        <v>79</v>
      </c>
      <c r="E65" s="13">
        <v>0</v>
      </c>
      <c r="F65" s="13">
        <v>0</v>
      </c>
      <c r="G65" s="35">
        <v>274306.49</v>
      </c>
      <c r="H65" s="40">
        <f>F65+G65</f>
        <v>274306.49</v>
      </c>
      <c r="I65" s="47">
        <f>E65-H65</f>
        <v>-274306.49</v>
      </c>
      <c r="J65" s="17">
        <f>IFERROR(H65/E65,0)</f>
        <v>0</v>
      </c>
      <c r="K65" s="18" t="str">
        <f>IF(E65=0,"Sin Plan",IF(J65&gt;=1,"Completado",IF(J65&gt;0.001,"En Progreso","Pendiente de ejecutar")))</f>
        <v>Sin Plan</v>
      </c>
      <c r="L65" s="6" t="s">
        <v>323</v>
      </c>
      <c r="M65" s="6" t="s">
        <v>318</v>
      </c>
    </row>
    <row r="66" spans="1:13" x14ac:dyDescent="0.35">
      <c r="A66" s="19" t="s">
        <v>159</v>
      </c>
      <c r="B66" s="11" t="s">
        <v>205</v>
      </c>
      <c r="C66" s="20" t="s">
        <v>137</v>
      </c>
      <c r="D66" s="20" t="s">
        <v>384</v>
      </c>
      <c r="E66" s="14">
        <v>0</v>
      </c>
      <c r="F66" s="14">
        <v>129605.45</v>
      </c>
      <c r="G66" s="41"/>
      <c r="H66" s="40">
        <f>F66+G66</f>
        <v>129605.45</v>
      </c>
      <c r="I66" s="47">
        <f>E66-H66</f>
        <v>-129605.45</v>
      </c>
      <c r="J66" s="17">
        <f>IFERROR(H66/E66,0)</f>
        <v>0</v>
      </c>
      <c r="K66" s="18" t="str">
        <f>IF(E66=0,"Sin Plan",IF(J66&gt;=1,"Completado",IF(J66&gt;0.001,"En Progreso","Pendiente de ejecutar")))</f>
        <v>Sin Plan</v>
      </c>
      <c r="L66" s="6" t="s">
        <v>323</v>
      </c>
      <c r="M66" s="6" t="s">
        <v>318</v>
      </c>
    </row>
    <row r="67" spans="1:13" hidden="1" x14ac:dyDescent="0.35">
      <c r="A67" s="11" t="s">
        <v>278</v>
      </c>
      <c r="B67" s="11" t="s">
        <v>273</v>
      </c>
      <c r="C67" s="11" t="s">
        <v>194</v>
      </c>
      <c r="D67" s="11" t="s">
        <v>195</v>
      </c>
      <c r="E67" s="13">
        <v>2150000</v>
      </c>
      <c r="F67" s="13">
        <v>0</v>
      </c>
      <c r="G67" s="13">
        <v>2608615.63</v>
      </c>
      <c r="H67" s="40">
        <f>F67+G67</f>
        <v>2608615.63</v>
      </c>
      <c r="I67" s="47">
        <f>E67-H67</f>
        <v>-458615.62999999989</v>
      </c>
      <c r="J67" s="17">
        <f>IFERROR(H67/E67,0)</f>
        <v>1.2133095953488371</v>
      </c>
      <c r="K67" s="18" t="str">
        <f>IF(E67=0,"Sin Plan",IF(J67&gt;=1,"Completado",IF(J67&gt;0.001,"En Progreso","Pendiente de ejecutar")))</f>
        <v>Completado</v>
      </c>
      <c r="L67" s="6" t="s">
        <v>323</v>
      </c>
      <c r="M67" s="6" t="s">
        <v>320</v>
      </c>
    </row>
    <row r="68" spans="1:13" x14ac:dyDescent="0.35">
      <c r="A68" s="19" t="s">
        <v>159</v>
      </c>
      <c r="B68" s="11" t="s">
        <v>205</v>
      </c>
      <c r="C68" s="22"/>
      <c r="D68" s="92" t="s">
        <v>325</v>
      </c>
      <c r="E68" s="14">
        <v>-7059000</v>
      </c>
      <c r="F68" s="14"/>
      <c r="G68" s="14"/>
      <c r="H68" s="40">
        <f>F68+G68</f>
        <v>0</v>
      </c>
      <c r="I68" s="47">
        <f>E68-H68</f>
        <v>-7059000</v>
      </c>
      <c r="J68" s="17">
        <f>IFERROR(H68/E68,0)</f>
        <v>0</v>
      </c>
      <c r="K68" s="18" t="str">
        <f>IF(E68=0,"Sin Plan",IF(J68&gt;=1,"Completado",IF(J68&gt;0.001,"En Progreso","Pendiente de ejecutar")))</f>
        <v>Pendiente de ejecutar</v>
      </c>
      <c r="L68" s="81" t="s">
        <v>321</v>
      </c>
      <c r="M68" s="6"/>
    </row>
    <row r="69" spans="1:13" hidden="1" x14ac:dyDescent="0.35">
      <c r="A69" s="28" t="s">
        <v>248</v>
      </c>
      <c r="B69" s="11" t="s">
        <v>205</v>
      </c>
      <c r="C69" s="29" t="s">
        <v>237</v>
      </c>
      <c r="D69" s="29" t="s">
        <v>238</v>
      </c>
      <c r="E69" s="25">
        <v>2130000</v>
      </c>
      <c r="F69" s="25">
        <v>0</v>
      </c>
      <c r="G69" s="25">
        <v>0</v>
      </c>
      <c r="H69" s="40">
        <f>F69+G69</f>
        <v>0</v>
      </c>
      <c r="I69" s="47">
        <f>E69-H69</f>
        <v>2130000</v>
      </c>
      <c r="J69" s="17">
        <f>IFERROR(H69/E69,0)</f>
        <v>0</v>
      </c>
      <c r="K69" s="18" t="str">
        <f>IF(E69=0,"Sin Plan",IF(J69&gt;=1,"Completado",IF(J69&gt;0.001,"En Progreso","Pendiente de ejecutar")))</f>
        <v>Pendiente de ejecutar</v>
      </c>
      <c r="L69" s="6" t="s">
        <v>321</v>
      </c>
      <c r="M69" s="6" t="s">
        <v>320</v>
      </c>
    </row>
    <row r="70" spans="1:13" hidden="1" x14ac:dyDescent="0.35">
      <c r="A70" s="11" t="s">
        <v>226</v>
      </c>
      <c r="B70" s="11" t="s">
        <v>205</v>
      </c>
      <c r="C70" s="11" t="s">
        <v>39</v>
      </c>
      <c r="D70" s="11" t="s">
        <v>40</v>
      </c>
      <c r="E70" s="14">
        <v>2000000</v>
      </c>
      <c r="F70" s="14">
        <v>0</v>
      </c>
      <c r="G70" s="14">
        <v>967587.5</v>
      </c>
      <c r="H70" s="40">
        <f>F70+G70</f>
        <v>967587.5</v>
      </c>
      <c r="I70" s="47">
        <f>E70-H70</f>
        <v>1032412.5</v>
      </c>
      <c r="J70" s="17">
        <f>IFERROR(H70/E70,0)</f>
        <v>0.48379375000000002</v>
      </c>
      <c r="K70" s="18" t="str">
        <f>IF(E70=0,"Sin Plan",IF(J70&gt;=1,"Completado",IF(J70&gt;0.001,"En Progreso","Pendiente de ejecutar")))</f>
        <v>En Progreso</v>
      </c>
      <c r="L70" s="6" t="s">
        <v>321</v>
      </c>
      <c r="M70" s="6" t="s">
        <v>320</v>
      </c>
    </row>
    <row r="71" spans="1:13" hidden="1" x14ac:dyDescent="0.35">
      <c r="A71" s="20" t="s">
        <v>253</v>
      </c>
      <c r="B71" s="11" t="s">
        <v>205</v>
      </c>
      <c r="C71" s="20" t="s">
        <v>186</v>
      </c>
      <c r="D71" s="28" t="s">
        <v>187</v>
      </c>
      <c r="E71" s="14">
        <v>2000000</v>
      </c>
      <c r="F71" s="14">
        <v>0</v>
      </c>
      <c r="G71" s="14">
        <v>1540740.23</v>
      </c>
      <c r="H71" s="40">
        <f>F71+G71</f>
        <v>1540740.23</v>
      </c>
      <c r="I71" s="47">
        <f>E71-H71</f>
        <v>459259.77</v>
      </c>
      <c r="J71" s="17">
        <f>IFERROR(H71/E71,0)</f>
        <v>0.77037011499999997</v>
      </c>
      <c r="K71" s="18" t="str">
        <f>IF(E71=0,"Sin Plan",IF(J71&gt;=1,"Completado",IF(J71&gt;0.001,"En Progreso","Pendiente de ejecutar")))</f>
        <v>En Progreso</v>
      </c>
      <c r="L71" s="81" t="s">
        <v>323</v>
      </c>
      <c r="M71" s="6" t="s">
        <v>320</v>
      </c>
    </row>
    <row r="72" spans="1:13" hidden="1" x14ac:dyDescent="0.35">
      <c r="A72" s="11" t="s">
        <v>290</v>
      </c>
      <c r="B72" s="11" t="s">
        <v>205</v>
      </c>
      <c r="C72" s="11" t="s">
        <v>39</v>
      </c>
      <c r="D72" s="11" t="s">
        <v>40</v>
      </c>
      <c r="E72" s="14">
        <v>2000000</v>
      </c>
      <c r="F72" s="14"/>
      <c r="G72" s="14">
        <v>0</v>
      </c>
      <c r="H72" s="40">
        <f>F72+G72</f>
        <v>0</v>
      </c>
      <c r="I72" s="47">
        <f>E72-H72</f>
        <v>2000000</v>
      </c>
      <c r="J72" s="17">
        <f>IFERROR(H72/E72,0)</f>
        <v>0</v>
      </c>
      <c r="K72" s="18" t="str">
        <f>IF(E72=0,"Sin Plan",IF(J72&gt;=1,"Completado",IF(J72&gt;0.001,"En Progreso","Pendiente de ejecutar")))</f>
        <v>Pendiente de ejecutar</v>
      </c>
      <c r="L72" s="6" t="s">
        <v>321</v>
      </c>
      <c r="M72" s="6" t="s">
        <v>320</v>
      </c>
    </row>
    <row r="73" spans="1:13" hidden="1" x14ac:dyDescent="0.35">
      <c r="A73" s="20" t="s">
        <v>127</v>
      </c>
      <c r="B73" s="11" t="s">
        <v>128</v>
      </c>
      <c r="C73" s="20" t="s">
        <v>133</v>
      </c>
      <c r="D73" s="20" t="s">
        <v>134</v>
      </c>
      <c r="E73" s="14">
        <v>1912000</v>
      </c>
      <c r="F73" s="14">
        <v>0</v>
      </c>
      <c r="G73" s="14">
        <v>0</v>
      </c>
      <c r="H73" s="40">
        <f>F73+G73</f>
        <v>0</v>
      </c>
      <c r="I73" s="47">
        <f>E73-H73</f>
        <v>1912000</v>
      </c>
      <c r="J73" s="17">
        <f>IFERROR(H73/E73,0)</f>
        <v>0</v>
      </c>
      <c r="K73" s="18" t="str">
        <f>IF(E73=0,"Sin Plan",IF(J73&gt;=1,"Completado",IF(J73&gt;0.001,"En Progreso","Pendiente de ejecutar")))</f>
        <v>Pendiente de ejecutar</v>
      </c>
      <c r="L73" s="6" t="s">
        <v>321</v>
      </c>
      <c r="M73" s="6" t="s">
        <v>320</v>
      </c>
    </row>
    <row r="74" spans="1:13" hidden="1" x14ac:dyDescent="0.35">
      <c r="A74" s="55" t="s">
        <v>11</v>
      </c>
      <c r="B74" s="11" t="s">
        <v>319</v>
      </c>
      <c r="C74" s="11" t="s">
        <v>29</v>
      </c>
      <c r="D74" s="11" t="s">
        <v>30</v>
      </c>
      <c r="E74" s="14">
        <v>0</v>
      </c>
      <c r="F74" s="36">
        <v>134910.60999999999</v>
      </c>
      <c r="G74" s="14">
        <v>0</v>
      </c>
      <c r="H74" s="40">
        <f>F74+G74</f>
        <v>134910.60999999999</v>
      </c>
      <c r="I74" s="47">
        <f>E74-H74</f>
        <v>-134910.60999999999</v>
      </c>
      <c r="J74" s="17">
        <f>IFERROR(H74/E74,0)</f>
        <v>0</v>
      </c>
      <c r="K74" s="18" t="str">
        <f>IF(E74=0,"Sin Plan",IF(J74&gt;=1,"Completado",IF(J74&gt;0.001,"En Progreso","Pendiente de ejecutar")))</f>
        <v>Sin Plan</v>
      </c>
      <c r="L74" s="6" t="s">
        <v>323</v>
      </c>
      <c r="M74" s="6" t="s">
        <v>318</v>
      </c>
    </row>
    <row r="75" spans="1:13" s="2" customFormat="1" x14ac:dyDescent="0.35">
      <c r="A75" s="19" t="s">
        <v>159</v>
      </c>
      <c r="B75" s="11" t="s">
        <v>205</v>
      </c>
      <c r="C75" s="22"/>
      <c r="D75" s="92" t="s">
        <v>386</v>
      </c>
      <c r="E75" s="14"/>
      <c r="F75" s="14"/>
      <c r="G75" s="36">
        <v>47655.51</v>
      </c>
      <c r="H75" s="40">
        <f>F75+G75</f>
        <v>47655.51</v>
      </c>
      <c r="I75" s="47">
        <f>E75-H75</f>
        <v>-47655.51</v>
      </c>
      <c r="J75" s="17">
        <f>IFERROR(H75/E75,0)</f>
        <v>0</v>
      </c>
      <c r="K75" s="18" t="str">
        <f>IF(E75=0,"Sin Plan",IF(J75&gt;=1,"Completado",IF(J75&gt;0.001,"En Progreso","Pendiente de ejecutar")))</f>
        <v>Sin Plan</v>
      </c>
      <c r="L75" s="81" t="s">
        <v>323</v>
      </c>
      <c r="M75" s="6"/>
    </row>
    <row r="76" spans="1:13" x14ac:dyDescent="0.35">
      <c r="A76" s="19" t="s">
        <v>159</v>
      </c>
      <c r="B76" s="11" t="s">
        <v>205</v>
      </c>
      <c r="C76" s="22"/>
      <c r="D76" s="92" t="s">
        <v>385</v>
      </c>
      <c r="E76" s="14"/>
      <c r="F76" s="96"/>
      <c r="G76" s="36">
        <v>57948.75</v>
      </c>
      <c r="H76" s="40">
        <f>F76+G76</f>
        <v>57948.75</v>
      </c>
      <c r="I76" s="47">
        <f>E76-H76</f>
        <v>-57948.75</v>
      </c>
      <c r="J76" s="17">
        <f>IFERROR(H76/E76,0)</f>
        <v>0</v>
      </c>
      <c r="K76" s="18" t="str">
        <f>IF(E76=0,"Sin Plan",IF(J76&gt;=1,"Completado",IF(J76&gt;0.001,"En Progreso","Pendiente de ejecutar")))</f>
        <v>Sin Plan</v>
      </c>
      <c r="L76" s="81" t="s">
        <v>323</v>
      </c>
      <c r="M76" s="6"/>
    </row>
    <row r="77" spans="1:13" x14ac:dyDescent="0.35">
      <c r="A77" s="19" t="s">
        <v>159</v>
      </c>
      <c r="B77" s="11" t="s">
        <v>205</v>
      </c>
      <c r="C77" s="22"/>
      <c r="D77" s="92" t="s">
        <v>387</v>
      </c>
      <c r="E77" s="14"/>
      <c r="F77" s="96"/>
      <c r="G77" s="36">
        <v>239038.4</v>
      </c>
      <c r="H77" s="40">
        <f>F77+G77</f>
        <v>239038.4</v>
      </c>
      <c r="I77" s="47">
        <f>E77-H77</f>
        <v>-239038.4</v>
      </c>
      <c r="J77" s="17">
        <f>IFERROR(H77/E77,0)</f>
        <v>0</v>
      </c>
      <c r="K77" s="18" t="str">
        <f>IF(E77=0,"Sin Plan",IF(J77&gt;=1,"Completado",IF(J77&gt;0.001,"En Progreso","Pendiente de ejecutar")))</f>
        <v>Sin Plan</v>
      </c>
      <c r="L77" s="81" t="s">
        <v>321</v>
      </c>
      <c r="M77" s="6"/>
    </row>
    <row r="78" spans="1:13" x14ac:dyDescent="0.35">
      <c r="A78" s="11" t="s">
        <v>191</v>
      </c>
      <c r="B78" s="11" t="s">
        <v>205</v>
      </c>
      <c r="C78" s="11" t="s">
        <v>135</v>
      </c>
      <c r="D78" s="11" t="s">
        <v>136</v>
      </c>
      <c r="E78" s="14">
        <v>427500</v>
      </c>
      <c r="F78" s="14">
        <v>425563.05</v>
      </c>
      <c r="G78" s="14">
        <v>0</v>
      </c>
      <c r="H78" s="40">
        <f>F78+G78</f>
        <v>425563.05</v>
      </c>
      <c r="I78" s="47">
        <f>E78-H78</f>
        <v>1936.9500000000116</v>
      </c>
      <c r="J78" s="17">
        <f>IFERROR(H78/E78,0)</f>
        <v>0.99546912280701749</v>
      </c>
      <c r="K78" s="18" t="str">
        <f>IF(E78=0,"Sin Plan",IF(J78&gt;=1,"Completado",IF(J78&gt;0.001,"En Progreso","Pendiente de ejecutar")))</f>
        <v>En Progreso</v>
      </c>
      <c r="L78" s="6" t="s">
        <v>323</v>
      </c>
      <c r="M78" s="6" t="s">
        <v>320</v>
      </c>
    </row>
    <row r="79" spans="1:13" x14ac:dyDescent="0.35">
      <c r="A79" s="19" t="s">
        <v>191</v>
      </c>
      <c r="B79" s="11" t="s">
        <v>205</v>
      </c>
      <c r="C79" s="19" t="s">
        <v>37</v>
      </c>
      <c r="D79" s="11" t="s">
        <v>38</v>
      </c>
      <c r="E79" s="13">
        <v>350000</v>
      </c>
      <c r="F79" s="13">
        <v>0</v>
      </c>
      <c r="G79" s="13">
        <v>0</v>
      </c>
      <c r="H79" s="40">
        <f>F79+G79</f>
        <v>0</v>
      </c>
      <c r="I79" s="47">
        <f>E79-H79</f>
        <v>350000</v>
      </c>
      <c r="J79" s="17">
        <f>IFERROR(H79/E79,0)</f>
        <v>0</v>
      </c>
      <c r="K79" s="18" t="str">
        <f>IF(E79=0,"Sin Plan",IF(J79&gt;=1,"Completado",IF(J79&gt;0.001,"En Progreso","Pendiente de ejecutar")))</f>
        <v>Pendiente de ejecutar</v>
      </c>
      <c r="L79" s="6" t="s">
        <v>321</v>
      </c>
      <c r="M79" s="6" t="s">
        <v>320</v>
      </c>
    </row>
    <row r="80" spans="1:13" hidden="1" x14ac:dyDescent="0.35">
      <c r="A80" s="11" t="s">
        <v>282</v>
      </c>
      <c r="B80" s="11" t="s">
        <v>205</v>
      </c>
      <c r="C80" s="11" t="s">
        <v>231</v>
      </c>
      <c r="D80" s="11" t="s">
        <v>232</v>
      </c>
      <c r="E80" s="14">
        <v>1685000</v>
      </c>
      <c r="F80" s="14">
        <v>27600</v>
      </c>
      <c r="G80" s="14">
        <v>0</v>
      </c>
      <c r="H80" s="40">
        <f>F80+G80</f>
        <v>27600</v>
      </c>
      <c r="I80" s="47">
        <f>E80-H80</f>
        <v>1657400</v>
      </c>
      <c r="J80" s="17">
        <f>IFERROR(H80/E80,0)</f>
        <v>1.6379821958456973E-2</v>
      </c>
      <c r="K80" s="18" t="str">
        <f>IF(E80=0,"Sin Plan",IF(J80&gt;=1,"Completado",IF(J80&gt;0.001,"En Progreso","Pendiente de ejecutar")))</f>
        <v>En Progreso</v>
      </c>
      <c r="L80" s="6" t="s">
        <v>321</v>
      </c>
      <c r="M80" s="6" t="s">
        <v>320</v>
      </c>
    </row>
    <row r="81" spans="1:13" hidden="1" x14ac:dyDescent="0.35">
      <c r="A81" s="19" t="s">
        <v>287</v>
      </c>
      <c r="B81" s="11" t="s">
        <v>205</v>
      </c>
      <c r="C81" s="19" t="s">
        <v>231</v>
      </c>
      <c r="D81" s="19" t="s">
        <v>232</v>
      </c>
      <c r="E81" s="13">
        <v>1685000</v>
      </c>
      <c r="F81" s="35">
        <v>45000</v>
      </c>
      <c r="G81" s="13">
        <v>0</v>
      </c>
      <c r="H81" s="40">
        <f>F81+G81</f>
        <v>45000</v>
      </c>
      <c r="I81" s="47">
        <f>E81-H81</f>
        <v>1640000</v>
      </c>
      <c r="J81" s="17">
        <f>IFERROR(H81/E81,0)</f>
        <v>2.6706231454005934E-2</v>
      </c>
      <c r="K81" s="18" t="str">
        <f>IF(E81=0,"Sin Plan",IF(J81&gt;=1,"Completado",IF(J81&gt;0.001,"En Progreso","Pendiente de ejecutar")))</f>
        <v>En Progreso</v>
      </c>
      <c r="L81" s="6" t="s">
        <v>321</v>
      </c>
      <c r="M81" s="6" t="s">
        <v>320</v>
      </c>
    </row>
    <row r="82" spans="1:13" hidden="1" x14ac:dyDescent="0.35">
      <c r="A82" s="28" t="s">
        <v>248</v>
      </c>
      <c r="B82" s="11" t="s">
        <v>205</v>
      </c>
      <c r="C82" s="29" t="s">
        <v>83</v>
      </c>
      <c r="D82" s="29" t="s">
        <v>84</v>
      </c>
      <c r="E82" s="25">
        <v>1644900</v>
      </c>
      <c r="F82" s="15">
        <v>81650</v>
      </c>
      <c r="G82" s="25">
        <v>0</v>
      </c>
      <c r="H82" s="40">
        <f>F82+G82</f>
        <v>81650</v>
      </c>
      <c r="I82" s="47">
        <f>E82-H82</f>
        <v>1563250</v>
      </c>
      <c r="J82" s="17">
        <f>IFERROR(H82/E82,0)</f>
        <v>4.96382758830324E-2</v>
      </c>
      <c r="K82" s="18" t="str">
        <f>IF(E82=0,"Sin Plan",IF(J82&gt;=1,"Completado",IF(J82&gt;0.001,"En Progreso","Pendiente de ejecutar")))</f>
        <v>En Progreso</v>
      </c>
      <c r="L82" s="6" t="s">
        <v>321</v>
      </c>
      <c r="M82" s="6" t="s">
        <v>320</v>
      </c>
    </row>
    <row r="83" spans="1:13" hidden="1" x14ac:dyDescent="0.35">
      <c r="A83" s="19" t="s">
        <v>226</v>
      </c>
      <c r="B83" s="11" t="s">
        <v>205</v>
      </c>
      <c r="C83" s="19" t="s">
        <v>21</v>
      </c>
      <c r="D83" s="19" t="s">
        <v>22</v>
      </c>
      <c r="E83" s="13">
        <v>1620000</v>
      </c>
      <c r="F83" s="13">
        <v>0</v>
      </c>
      <c r="G83" s="13">
        <v>0</v>
      </c>
      <c r="H83" s="40">
        <f>F83+G83</f>
        <v>0</v>
      </c>
      <c r="I83" s="47">
        <f>E83-H83</f>
        <v>1620000</v>
      </c>
      <c r="J83" s="17">
        <f>IFERROR(H83/E83,0)</f>
        <v>0</v>
      </c>
      <c r="K83" s="18" t="str">
        <f>IF(E83=0,"Sin Plan",IF(J83&gt;=1,"Completado",IF(J83&gt;0.001,"En Progreso","Pendiente de ejecutar")))</f>
        <v>Pendiente de ejecutar</v>
      </c>
      <c r="L83" s="6" t="s">
        <v>321</v>
      </c>
      <c r="M83" s="6" t="s">
        <v>320</v>
      </c>
    </row>
    <row r="84" spans="1:13" hidden="1" x14ac:dyDescent="0.35">
      <c r="A84" s="11" t="s">
        <v>293</v>
      </c>
      <c r="B84" s="11" t="s">
        <v>205</v>
      </c>
      <c r="C84" s="11" t="s">
        <v>39</v>
      </c>
      <c r="D84" s="11" t="s">
        <v>40</v>
      </c>
      <c r="E84" s="13">
        <v>1605000</v>
      </c>
      <c r="F84" s="13">
        <v>0</v>
      </c>
      <c r="G84" s="13">
        <v>0</v>
      </c>
      <c r="H84" s="40">
        <f>F84+G84</f>
        <v>0</v>
      </c>
      <c r="I84" s="47">
        <f>E84-H84</f>
        <v>1605000</v>
      </c>
      <c r="J84" s="17">
        <f>IFERROR(H84/E84,0)</f>
        <v>0</v>
      </c>
      <c r="K84" s="18" t="str">
        <f>IF(E84=0,"Sin Plan",IF(J84&gt;=1,"Completado",IF(J84&gt;0.001,"En Progreso","Pendiente de ejecutar")))</f>
        <v>Pendiente de ejecutar</v>
      </c>
      <c r="L84" s="6" t="s">
        <v>321</v>
      </c>
      <c r="M84" s="6" t="s">
        <v>320</v>
      </c>
    </row>
    <row r="85" spans="1:13" hidden="1" x14ac:dyDescent="0.35">
      <c r="A85" s="19" t="s">
        <v>209</v>
      </c>
      <c r="B85" s="11" t="s">
        <v>205</v>
      </c>
      <c r="C85" s="19" t="s">
        <v>39</v>
      </c>
      <c r="D85" s="19" t="s">
        <v>40</v>
      </c>
      <c r="E85" s="13">
        <v>1600000</v>
      </c>
      <c r="F85" s="13">
        <v>0</v>
      </c>
      <c r="G85" s="13">
        <v>757776.6</v>
      </c>
      <c r="H85" s="40">
        <f>F85+G85</f>
        <v>757776.6</v>
      </c>
      <c r="I85" s="47">
        <f>E85-H85</f>
        <v>842223.4</v>
      </c>
      <c r="J85" s="17">
        <f>IFERROR(H85/E85,0)</f>
        <v>0.47361037499999997</v>
      </c>
      <c r="K85" s="18" t="str">
        <f>IF(E85=0,"Sin Plan",IF(J85&gt;=1,"Completado",IF(J85&gt;0.001,"En Progreso","Pendiente de ejecutar")))</f>
        <v>En Progreso</v>
      </c>
      <c r="L85" s="6" t="s">
        <v>321</v>
      </c>
      <c r="M85" s="6" t="s">
        <v>320</v>
      </c>
    </row>
    <row r="86" spans="1:13" hidden="1" x14ac:dyDescent="0.35">
      <c r="A86" s="29" t="s">
        <v>118</v>
      </c>
      <c r="B86" s="29" t="s">
        <v>319</v>
      </c>
      <c r="C86" s="11" t="s">
        <v>37</v>
      </c>
      <c r="D86" s="29" t="s">
        <v>38</v>
      </c>
      <c r="E86" s="40">
        <v>63000</v>
      </c>
      <c r="F86" s="40">
        <v>0</v>
      </c>
      <c r="G86" s="40">
        <v>0</v>
      </c>
      <c r="H86" s="40">
        <f>F86+G86</f>
        <v>0</v>
      </c>
      <c r="I86" s="47">
        <f>E86-H86</f>
        <v>63000</v>
      </c>
      <c r="J86" s="17">
        <f>IFERROR(H86/E86,0)</f>
        <v>0</v>
      </c>
      <c r="K86" s="18" t="str">
        <f>IF(E86=0,"Sin Plan",IF(J86&gt;=1,"Completado",IF(J86&gt;0.001,"En Progreso","Pendiente de ejecutar")))</f>
        <v>Pendiente de ejecutar</v>
      </c>
      <c r="L86" s="70" t="s">
        <v>321</v>
      </c>
      <c r="M86" s="6" t="s">
        <v>320</v>
      </c>
    </row>
    <row r="87" spans="1:13" x14ac:dyDescent="0.35">
      <c r="A87" s="19" t="s">
        <v>191</v>
      </c>
      <c r="B87" s="11" t="s">
        <v>205</v>
      </c>
      <c r="C87" s="19" t="s">
        <v>196</v>
      </c>
      <c r="D87" s="19" t="s">
        <v>197</v>
      </c>
      <c r="E87" s="13">
        <v>130000</v>
      </c>
      <c r="F87" s="13">
        <v>0</v>
      </c>
      <c r="G87" s="13">
        <v>0</v>
      </c>
      <c r="H87" s="40">
        <f>F87+G87</f>
        <v>0</v>
      </c>
      <c r="I87" s="47">
        <f>E87-H87</f>
        <v>130000</v>
      </c>
      <c r="J87" s="17">
        <f>IFERROR(H87/E87,0)</f>
        <v>0</v>
      </c>
      <c r="K87" s="18" t="str">
        <f>IF(E87=0,"Sin Plan",IF(J87&gt;=1,"Completado",IF(J87&gt;0.001,"En Progreso","Pendiente de ejecutar")))</f>
        <v>Pendiente de ejecutar</v>
      </c>
      <c r="L87" s="6" t="s">
        <v>323</v>
      </c>
      <c r="M87" s="6" t="s">
        <v>320</v>
      </c>
    </row>
    <row r="88" spans="1:13" hidden="1" x14ac:dyDescent="0.35">
      <c r="A88" s="49" t="s">
        <v>119</v>
      </c>
      <c r="B88" s="29" t="s">
        <v>319</v>
      </c>
      <c r="C88" s="19" t="s">
        <v>37</v>
      </c>
      <c r="D88" s="29" t="s">
        <v>38</v>
      </c>
      <c r="E88" s="40">
        <v>63000</v>
      </c>
      <c r="F88" s="40">
        <v>0</v>
      </c>
      <c r="G88" s="40">
        <v>0</v>
      </c>
      <c r="H88" s="40">
        <f>F88+G88</f>
        <v>0</v>
      </c>
      <c r="I88" s="47">
        <f>E88-H88</f>
        <v>63000</v>
      </c>
      <c r="J88" s="17">
        <f>IFERROR(H88/E88,0)</f>
        <v>0</v>
      </c>
      <c r="K88" s="18" t="str">
        <f>IF(E88=0,"Sin Plan",IF(J88&gt;=1,"Completado",IF(J88&gt;0.001,"En Progreso","Pendiente de ejecutar")))</f>
        <v>Pendiente de ejecutar</v>
      </c>
      <c r="L88" s="70" t="s">
        <v>321</v>
      </c>
      <c r="M88" s="6" t="s">
        <v>320</v>
      </c>
    </row>
    <row r="89" spans="1:13" hidden="1" x14ac:dyDescent="0.35">
      <c r="A89" s="11" t="s">
        <v>120</v>
      </c>
      <c r="B89" s="11" t="s">
        <v>319</v>
      </c>
      <c r="C89" s="11" t="s">
        <v>37</v>
      </c>
      <c r="D89" s="11" t="s">
        <v>38</v>
      </c>
      <c r="E89" s="13">
        <v>63000</v>
      </c>
      <c r="F89" s="13">
        <v>23075.48</v>
      </c>
      <c r="G89" s="13">
        <v>0</v>
      </c>
      <c r="H89" s="40">
        <f>F89+G89</f>
        <v>23075.48</v>
      </c>
      <c r="I89" s="47">
        <f>E89-H89</f>
        <v>39924.520000000004</v>
      </c>
      <c r="J89" s="17">
        <f>IFERROR(H89/E89,0)</f>
        <v>0.36627746031746033</v>
      </c>
      <c r="K89" s="18" t="str">
        <f>IF(E89=0,"Sin Plan",IF(J89&gt;=1,"Completado",IF(J89&gt;0.001,"En Progreso","Pendiente de ejecutar")))</f>
        <v>En Progreso</v>
      </c>
      <c r="L89" s="6" t="s">
        <v>321</v>
      </c>
      <c r="M89" s="6" t="s">
        <v>320</v>
      </c>
    </row>
    <row r="90" spans="1:13" x14ac:dyDescent="0.35">
      <c r="A90" s="11" t="s">
        <v>191</v>
      </c>
      <c r="B90" s="11" t="s">
        <v>205</v>
      </c>
      <c r="C90" s="11" t="s">
        <v>192</v>
      </c>
      <c r="D90" s="11" t="s">
        <v>193</v>
      </c>
      <c r="E90" s="14">
        <v>0</v>
      </c>
      <c r="F90" s="14">
        <v>0</v>
      </c>
      <c r="G90" s="14">
        <v>274733.71999999997</v>
      </c>
      <c r="H90" s="40">
        <f>F90+G90</f>
        <v>274733.71999999997</v>
      </c>
      <c r="I90" s="47">
        <f>E90-H90</f>
        <v>-274733.71999999997</v>
      </c>
      <c r="J90" s="17">
        <f>IFERROR(H90/E90,0)</f>
        <v>0</v>
      </c>
      <c r="K90" s="18" t="str">
        <f>IF(E90=0,"Sin Plan",IF(J90&gt;=1,"Completado",IF(J90&gt;0.001,"En Progreso","Pendiente de ejecutar")))</f>
        <v>Sin Plan</v>
      </c>
      <c r="L90" s="6" t="s">
        <v>323</v>
      </c>
      <c r="M90" s="6" t="s">
        <v>318</v>
      </c>
    </row>
    <row r="91" spans="1:13" x14ac:dyDescent="0.35">
      <c r="A91" s="19" t="s">
        <v>191</v>
      </c>
      <c r="B91" s="11" t="s">
        <v>205</v>
      </c>
      <c r="C91" s="19" t="s">
        <v>194</v>
      </c>
      <c r="D91" s="19" t="s">
        <v>195</v>
      </c>
      <c r="E91" s="13">
        <v>0</v>
      </c>
      <c r="F91" s="13">
        <v>26400</v>
      </c>
      <c r="G91" s="13">
        <v>0</v>
      </c>
      <c r="H91" s="40">
        <f>F91+G91</f>
        <v>26400</v>
      </c>
      <c r="I91" s="47">
        <f>E91-H91</f>
        <v>-26400</v>
      </c>
      <c r="J91" s="17">
        <f>IFERROR(H91/E91,0)</f>
        <v>0</v>
      </c>
      <c r="K91" s="18" t="str">
        <f>IF(E91=0,"Sin Plan",IF(J91&gt;=1,"Completado",IF(J91&gt;0.001,"En Progreso","Pendiente de ejecutar")))</f>
        <v>Sin Plan</v>
      </c>
      <c r="L91" s="6" t="s">
        <v>323</v>
      </c>
      <c r="M91" s="6" t="s">
        <v>318</v>
      </c>
    </row>
    <row r="92" spans="1:13" hidden="1" x14ac:dyDescent="0.35">
      <c r="A92" s="19" t="s">
        <v>122</v>
      </c>
      <c r="B92" s="11" t="s">
        <v>319</v>
      </c>
      <c r="C92" s="19" t="s">
        <v>37</v>
      </c>
      <c r="D92" s="11" t="s">
        <v>38</v>
      </c>
      <c r="E92" s="13">
        <v>63000</v>
      </c>
      <c r="F92" s="13">
        <v>23075.48</v>
      </c>
      <c r="G92" s="13">
        <v>0</v>
      </c>
      <c r="H92" s="40">
        <f>F92+G92</f>
        <v>23075.48</v>
      </c>
      <c r="I92" s="47">
        <f>E92-H92</f>
        <v>39924.520000000004</v>
      </c>
      <c r="J92" s="17">
        <f>IFERROR(H92/E92,0)</f>
        <v>0.36627746031746033</v>
      </c>
      <c r="K92" s="18" t="str">
        <f>IF(E92=0,"Sin Plan",IF(J92&gt;=1,"Completado",IF(J92&gt;0.001,"En Progreso","Pendiente de ejecutar")))</f>
        <v>En Progreso</v>
      </c>
      <c r="L92" s="6" t="s">
        <v>321</v>
      </c>
      <c r="M92" s="6" t="s">
        <v>320</v>
      </c>
    </row>
    <row r="93" spans="1:13" hidden="1" x14ac:dyDescent="0.35">
      <c r="A93" s="29" t="s">
        <v>127</v>
      </c>
      <c r="B93" s="29" t="s">
        <v>128</v>
      </c>
      <c r="C93" s="29" t="s">
        <v>37</v>
      </c>
      <c r="D93" s="29" t="s">
        <v>38</v>
      </c>
      <c r="E93" s="40">
        <v>5500000</v>
      </c>
      <c r="F93" s="40">
        <v>21000</v>
      </c>
      <c r="G93" s="40">
        <v>0</v>
      </c>
      <c r="H93" s="40">
        <f>F93+G93</f>
        <v>21000</v>
      </c>
      <c r="I93" s="47">
        <f>E93-H93</f>
        <v>5479000</v>
      </c>
      <c r="J93" s="17">
        <f>IFERROR(H93/E93,0)</f>
        <v>3.8181818181818182E-3</v>
      </c>
      <c r="K93" s="18" t="str">
        <f>IF(E93=0,"Sin Plan",IF(J93&gt;=1,"Completado",IF(J93&gt;0.001,"En Progreso","Pendiente de ejecutar")))</f>
        <v>En Progreso</v>
      </c>
      <c r="L93" s="6" t="s">
        <v>321</v>
      </c>
      <c r="M93" s="6" t="s">
        <v>320</v>
      </c>
    </row>
    <row r="94" spans="1:13" x14ac:dyDescent="0.35">
      <c r="A94" s="29" t="s">
        <v>204</v>
      </c>
      <c r="B94" s="11" t="s">
        <v>205</v>
      </c>
      <c r="C94" s="49" t="s">
        <v>21</v>
      </c>
      <c r="D94" s="49" t="s">
        <v>22</v>
      </c>
      <c r="E94" s="40">
        <v>6280000</v>
      </c>
      <c r="F94" s="100">
        <v>0</v>
      </c>
      <c r="G94" s="100"/>
      <c r="H94" s="40">
        <f>F94+G94</f>
        <v>0</v>
      </c>
      <c r="I94" s="47">
        <f>E94-H94</f>
        <v>6280000</v>
      </c>
      <c r="J94" s="17">
        <f>IFERROR(H94/E94,0)</f>
        <v>0</v>
      </c>
      <c r="K94" s="18" t="str">
        <f>IF(E94=0,"Sin Plan",IF(J94&gt;=1,"Completado",IF(J94&gt;0.001,"En Progreso","Pendiente de ejecutar")))</f>
        <v>Pendiente de ejecutar</v>
      </c>
      <c r="L94" s="6" t="s">
        <v>321</v>
      </c>
      <c r="M94" s="6" t="s">
        <v>320</v>
      </c>
    </row>
    <row r="95" spans="1:13" hidden="1" x14ac:dyDescent="0.35">
      <c r="A95" s="19" t="s">
        <v>146</v>
      </c>
      <c r="B95" s="19" t="s">
        <v>147</v>
      </c>
      <c r="C95" s="19" t="s">
        <v>37</v>
      </c>
      <c r="D95" s="11" t="s">
        <v>38</v>
      </c>
      <c r="E95" s="13">
        <v>700000</v>
      </c>
      <c r="F95" s="35">
        <v>179244.5</v>
      </c>
      <c r="G95" s="13"/>
      <c r="H95" s="40">
        <f>F95+G575</f>
        <v>1540761.2700000003</v>
      </c>
      <c r="I95" s="47">
        <f>E95-H95</f>
        <v>-840761.27000000025</v>
      </c>
      <c r="J95" s="17">
        <f>IFERROR(H95/E95,0)</f>
        <v>2.2010875285714291</v>
      </c>
      <c r="K95" s="18" t="str">
        <f>IF(E95=0,"Sin Plan",IF(J95&gt;=1,"Completado",IF(J95&gt;0.001,"En Progreso","Pendiente de ejecutar")))</f>
        <v>Completado</v>
      </c>
      <c r="L95" s="6" t="s">
        <v>321</v>
      </c>
      <c r="M95" s="6" t="s">
        <v>320</v>
      </c>
    </row>
    <row r="96" spans="1:13" hidden="1" x14ac:dyDescent="0.35">
      <c r="A96" s="29" t="s">
        <v>168</v>
      </c>
      <c r="B96" s="29" t="s">
        <v>205</v>
      </c>
      <c r="C96" s="29" t="s">
        <v>37</v>
      </c>
      <c r="D96" s="29" t="s">
        <v>38</v>
      </c>
      <c r="E96" s="40">
        <v>15100000</v>
      </c>
      <c r="F96" s="40">
        <f>70000+8240543.75</f>
        <v>8310543.75</v>
      </c>
      <c r="G96" s="40"/>
      <c r="H96" s="40">
        <f>F96+G96</f>
        <v>8310543.75</v>
      </c>
      <c r="I96" s="47">
        <f>E96-H96</f>
        <v>6789456.25</v>
      </c>
      <c r="J96" s="17">
        <f>IFERROR(H96/E96,0)</f>
        <v>0.55036713576158935</v>
      </c>
      <c r="K96" s="18" t="str">
        <f>IF(E96=0,"Sin Plan",IF(J96&gt;=1,"Completado",IF(J96&gt;0.001,"En Progreso","Pendiente de ejecutar")))</f>
        <v>En Progreso</v>
      </c>
      <c r="L96" s="6" t="s">
        <v>321</v>
      </c>
      <c r="M96" s="6" t="s">
        <v>320</v>
      </c>
    </row>
    <row r="97" spans="1:13" hidden="1" x14ac:dyDescent="0.35">
      <c r="A97" s="11" t="s">
        <v>185</v>
      </c>
      <c r="B97" s="11" t="s">
        <v>205</v>
      </c>
      <c r="C97" s="11" t="s">
        <v>37</v>
      </c>
      <c r="D97" s="11" t="s">
        <v>38</v>
      </c>
      <c r="E97" s="13">
        <v>2500000</v>
      </c>
      <c r="F97" s="36">
        <v>7675736.4500000002</v>
      </c>
      <c r="G97" s="40">
        <v>776630</v>
      </c>
      <c r="H97" s="40">
        <f>F97+G97</f>
        <v>8452366.4499999993</v>
      </c>
      <c r="I97" s="47">
        <f>E97-H97</f>
        <v>-5952366.4499999993</v>
      </c>
      <c r="J97" s="17">
        <f>IFERROR(H97/E97,0)</f>
        <v>3.3809465799999998</v>
      </c>
      <c r="K97" s="18" t="str">
        <f>IF(E97=0,"Sin Plan",IF(J97&gt;=1,"Completado",IF(J97&gt;0.001,"En Progreso","Pendiente de ejecutar")))</f>
        <v>Completado</v>
      </c>
      <c r="L97" s="6" t="s">
        <v>321</v>
      </c>
      <c r="M97" s="6" t="s">
        <v>320</v>
      </c>
    </row>
    <row r="98" spans="1:13" x14ac:dyDescent="0.35">
      <c r="A98" s="29" t="s">
        <v>204</v>
      </c>
      <c r="B98" s="11" t="s">
        <v>205</v>
      </c>
      <c r="C98" s="29" t="s">
        <v>66</v>
      </c>
      <c r="D98" s="29" t="s">
        <v>67</v>
      </c>
      <c r="E98" s="41">
        <f>7598250-1404000</f>
        <v>6194250</v>
      </c>
      <c r="F98" s="100">
        <v>2697717.8400000003</v>
      </c>
      <c r="G98" s="100">
        <v>0</v>
      </c>
      <c r="H98" s="40">
        <f>F98+G98</f>
        <v>2697717.8400000003</v>
      </c>
      <c r="I98" s="47">
        <f>E98-H98</f>
        <v>3496532.1599999997</v>
      </c>
      <c r="J98" s="17">
        <f>IFERROR(H98/E98,0)</f>
        <v>0.43551969003511326</v>
      </c>
      <c r="K98" s="18" t="str">
        <f>IF(E98=0,"Sin Plan",IF(J98&gt;=1,"Completado",IF(J98&gt;0.001,"En Progreso","Pendiente de ejecutar")))</f>
        <v>En Progreso</v>
      </c>
      <c r="L98" s="6" t="s">
        <v>323</v>
      </c>
      <c r="M98" s="6" t="s">
        <v>320</v>
      </c>
    </row>
    <row r="99" spans="1:13" x14ac:dyDescent="0.35">
      <c r="A99" s="29" t="s">
        <v>204</v>
      </c>
      <c r="B99" s="11" t="s">
        <v>205</v>
      </c>
      <c r="C99" s="19" t="s">
        <v>39</v>
      </c>
      <c r="D99" s="49" t="s">
        <v>327</v>
      </c>
      <c r="E99" s="40">
        <v>1755000</v>
      </c>
      <c r="F99" s="36">
        <v>166500</v>
      </c>
      <c r="G99" s="100">
        <v>0</v>
      </c>
      <c r="H99" s="40">
        <f>F99+G99</f>
        <v>166500</v>
      </c>
      <c r="I99" s="47">
        <f>E99-H99</f>
        <v>1588500</v>
      </c>
      <c r="J99" s="17">
        <f>IFERROR(H99/E99,0)</f>
        <v>9.4871794871794868E-2</v>
      </c>
      <c r="K99" s="18" t="str">
        <f>IF(E99=0,"Sin Plan",IF(J99&gt;=1,"Completado",IF(J99&gt;0.001,"En Progreso","Pendiente de ejecutar")))</f>
        <v>En Progreso</v>
      </c>
      <c r="L99" s="6" t="s">
        <v>321</v>
      </c>
      <c r="M99" s="6" t="s">
        <v>320</v>
      </c>
    </row>
    <row r="100" spans="1:13" x14ac:dyDescent="0.35">
      <c r="A100" s="29" t="s">
        <v>204</v>
      </c>
      <c r="B100" s="11" t="s">
        <v>205</v>
      </c>
      <c r="C100" s="19" t="s">
        <v>95</v>
      </c>
      <c r="D100" s="49" t="s">
        <v>67</v>
      </c>
      <c r="E100" s="40">
        <v>1700000</v>
      </c>
      <c r="F100" s="100">
        <v>0</v>
      </c>
      <c r="G100" s="100">
        <v>0</v>
      </c>
      <c r="H100" s="40">
        <f>F100+G100</f>
        <v>0</v>
      </c>
      <c r="I100" s="47">
        <f>E100-H100</f>
        <v>1700000</v>
      </c>
      <c r="J100" s="17">
        <f>IFERROR(H100/E100,0)</f>
        <v>0</v>
      </c>
      <c r="K100" s="18" t="str">
        <f>IF(E100=0,"Sin Plan",IF(J100&gt;=1,"Completado",IF(J100&gt;0.001,"En Progreso","Pendiente de ejecutar")))</f>
        <v>Pendiente de ejecutar</v>
      </c>
      <c r="L100" s="6" t="s">
        <v>323</v>
      </c>
      <c r="M100" s="6" t="s">
        <v>320</v>
      </c>
    </row>
    <row r="101" spans="1:13" hidden="1" x14ac:dyDescent="0.35">
      <c r="A101" s="11" t="s">
        <v>272</v>
      </c>
      <c r="B101" s="11" t="s">
        <v>273</v>
      </c>
      <c r="C101" s="11" t="s">
        <v>150</v>
      </c>
      <c r="D101" s="11" t="s">
        <v>151</v>
      </c>
      <c r="E101" s="14">
        <v>1350000</v>
      </c>
      <c r="F101" s="14">
        <v>0</v>
      </c>
      <c r="G101" s="14">
        <v>49000</v>
      </c>
      <c r="H101" s="40">
        <f>F101+G101</f>
        <v>49000</v>
      </c>
      <c r="I101" s="47">
        <f>E101-H101</f>
        <v>1301000</v>
      </c>
      <c r="J101" s="17">
        <f>IFERROR(H101/E101,0)</f>
        <v>3.6296296296296299E-2</v>
      </c>
      <c r="K101" s="18" t="str">
        <f>IF(E101=0,"Sin Plan",IF(J101&gt;=1,"Completado",IF(J101&gt;0.001,"En Progreso","Pendiente de ejecutar")))</f>
        <v>En Progreso</v>
      </c>
      <c r="L101" s="6" t="s">
        <v>323</v>
      </c>
      <c r="M101" s="6" t="s">
        <v>320</v>
      </c>
    </row>
    <row r="102" spans="1:13" hidden="1" x14ac:dyDescent="0.35">
      <c r="A102" s="29" t="s">
        <v>146</v>
      </c>
      <c r="B102" s="29"/>
      <c r="C102" s="29"/>
      <c r="D102" s="22" t="s">
        <v>325</v>
      </c>
      <c r="E102" s="14">
        <v>-19345249.989999998</v>
      </c>
      <c r="F102" s="14"/>
      <c r="G102" s="14"/>
      <c r="H102" s="40">
        <f>F102+G594</f>
        <v>0</v>
      </c>
      <c r="I102" s="47">
        <f>E102-H102</f>
        <v>-19345249.989999998</v>
      </c>
      <c r="J102" s="17"/>
      <c r="K102" s="18"/>
      <c r="L102" s="6" t="s">
        <v>323</v>
      </c>
      <c r="M102" s="6"/>
    </row>
    <row r="103" spans="1:13" x14ac:dyDescent="0.35">
      <c r="A103" s="29" t="s">
        <v>204</v>
      </c>
      <c r="B103" s="11" t="s">
        <v>205</v>
      </c>
      <c r="C103" s="11" t="s">
        <v>90</v>
      </c>
      <c r="D103" s="29" t="s">
        <v>91</v>
      </c>
      <c r="E103" s="41">
        <v>1440000</v>
      </c>
      <c r="F103" s="36">
        <v>91500</v>
      </c>
      <c r="G103" s="36">
        <v>120344</v>
      </c>
      <c r="H103" s="40">
        <f>F103+G103</f>
        <v>211844</v>
      </c>
      <c r="I103" s="47">
        <f>E103-H103</f>
        <v>1228156</v>
      </c>
      <c r="J103" s="17">
        <f>IFERROR(H103/E103,0)</f>
        <v>0.14711388888888888</v>
      </c>
      <c r="K103" s="18" t="str">
        <f>IF(E103=0,"Sin Plan",IF(J103&gt;=1,"Completado",IF(J103&gt;0.001,"En Progreso","Pendiente de ejecutar")))</f>
        <v>En Progreso</v>
      </c>
      <c r="L103" s="6" t="s">
        <v>323</v>
      </c>
      <c r="M103" s="6" t="s">
        <v>320</v>
      </c>
    </row>
    <row r="104" spans="1:13" x14ac:dyDescent="0.35">
      <c r="A104" s="29" t="s">
        <v>204</v>
      </c>
      <c r="B104" s="11" t="s">
        <v>205</v>
      </c>
      <c r="C104" s="11" t="s">
        <v>37</v>
      </c>
      <c r="D104" s="29" t="s">
        <v>38</v>
      </c>
      <c r="E104" s="40">
        <v>840000</v>
      </c>
      <c r="F104" s="100">
        <v>0</v>
      </c>
      <c r="G104" s="36">
        <f>4481717.07+360000</f>
        <v>4841717.07</v>
      </c>
      <c r="H104" s="40">
        <f>F104+G104</f>
        <v>4841717.07</v>
      </c>
      <c r="I104" s="47">
        <f>E104-H104</f>
        <v>-4001717.0700000003</v>
      </c>
      <c r="J104" s="17">
        <f>IFERROR(H104/E104,0)</f>
        <v>5.763948892857143</v>
      </c>
      <c r="K104" s="18" t="str">
        <f>IF(E104=0,"Sin Plan",IF(J104&gt;=1,"Completado",IF(J104&gt;0.001,"En Progreso","Pendiente de ejecutar")))</f>
        <v>Completado</v>
      </c>
      <c r="L104" s="6" t="s">
        <v>321</v>
      </c>
      <c r="M104" s="6" t="s">
        <v>320</v>
      </c>
    </row>
    <row r="105" spans="1:13" x14ac:dyDescent="0.35">
      <c r="A105" s="29" t="s">
        <v>204</v>
      </c>
      <c r="B105" s="11" t="s">
        <v>205</v>
      </c>
      <c r="C105" s="11" t="s">
        <v>170</v>
      </c>
      <c r="D105" s="29" t="s">
        <v>171</v>
      </c>
      <c r="E105" s="40">
        <v>450000</v>
      </c>
      <c r="F105" s="36">
        <v>157344</v>
      </c>
      <c r="G105" s="100">
        <v>0</v>
      </c>
      <c r="H105" s="40">
        <f>F105+G105</f>
        <v>157344</v>
      </c>
      <c r="I105" s="47">
        <f>E105-H105</f>
        <v>292656</v>
      </c>
      <c r="J105" s="17">
        <f>IFERROR(H105/E105,0)</f>
        <v>0.34965333333333332</v>
      </c>
      <c r="K105" s="18" t="str">
        <f>IF(E105=0,"Sin Plan",IF(J105&gt;=1,"Completado",IF(J105&gt;0.001,"En Progreso","Pendiente de ejecutar")))</f>
        <v>En Progreso</v>
      </c>
      <c r="L105" s="6" t="s">
        <v>323</v>
      </c>
      <c r="M105" s="6" t="s">
        <v>320</v>
      </c>
    </row>
    <row r="106" spans="1:13" hidden="1" x14ac:dyDescent="0.35">
      <c r="A106" s="11" t="s">
        <v>185</v>
      </c>
      <c r="B106" s="11" t="s">
        <v>205</v>
      </c>
      <c r="C106" s="11" t="s">
        <v>66</v>
      </c>
      <c r="D106" s="11" t="s">
        <v>67</v>
      </c>
      <c r="E106" s="14">
        <v>1200000</v>
      </c>
      <c r="F106" s="41">
        <v>0</v>
      </c>
      <c r="G106" s="36">
        <v>944709.77</v>
      </c>
      <c r="H106" s="40">
        <f>F106+G106</f>
        <v>944709.77</v>
      </c>
      <c r="I106" s="47">
        <f>E106-H106</f>
        <v>255290.22999999998</v>
      </c>
      <c r="J106" s="17">
        <f>IFERROR(H106/E106,0)</f>
        <v>0.78725814166666663</v>
      </c>
      <c r="K106" s="18" t="str">
        <f>IF(E106=0,"Sin Plan",IF(J106&gt;=1,"Completado",IF(J106&gt;0.001,"En Progreso","Pendiente de ejecutar")))</f>
        <v>En Progreso</v>
      </c>
      <c r="L106" s="6" t="s">
        <v>323</v>
      </c>
      <c r="M106" s="6" t="s">
        <v>320</v>
      </c>
    </row>
    <row r="107" spans="1:13" hidden="1" x14ac:dyDescent="0.35">
      <c r="A107" s="20" t="s">
        <v>285</v>
      </c>
      <c r="B107" s="11" t="s">
        <v>205</v>
      </c>
      <c r="C107" s="20" t="s">
        <v>63</v>
      </c>
      <c r="D107" s="20" t="s">
        <v>64</v>
      </c>
      <c r="E107" s="14">
        <v>1200000</v>
      </c>
      <c r="F107" s="14">
        <v>0</v>
      </c>
      <c r="G107" s="14">
        <v>0</v>
      </c>
      <c r="H107" s="40">
        <f>F107+G107</f>
        <v>0</v>
      </c>
      <c r="I107" s="47">
        <f>E107-H107</f>
        <v>1200000</v>
      </c>
      <c r="J107" s="17">
        <f>IFERROR(H107/E107,0)</f>
        <v>0</v>
      </c>
      <c r="K107" s="18" t="str">
        <f>IF(E107=0,"Sin Plan",IF(J107&gt;=1,"Completado",IF(J107&gt;0.001,"En Progreso","Pendiente de ejecutar")))</f>
        <v>Pendiente de ejecutar</v>
      </c>
      <c r="L107" s="6" t="s">
        <v>321</v>
      </c>
      <c r="M107" s="6" t="s">
        <v>320</v>
      </c>
    </row>
    <row r="108" spans="1:13" hidden="1" x14ac:dyDescent="0.35">
      <c r="A108" s="28" t="s">
        <v>198</v>
      </c>
      <c r="B108" s="11" t="s">
        <v>205</v>
      </c>
      <c r="C108" s="20" t="s">
        <v>37</v>
      </c>
      <c r="D108" s="11" t="s">
        <v>38</v>
      </c>
      <c r="E108" s="14">
        <v>420000</v>
      </c>
      <c r="F108" s="15">
        <f>625355.59+17067.28</f>
        <v>642422.87</v>
      </c>
      <c r="G108" s="14">
        <v>0</v>
      </c>
      <c r="H108" s="40">
        <f>F108+G108</f>
        <v>642422.87</v>
      </c>
      <c r="I108" s="47">
        <f>E108-H108</f>
        <v>-222422.87</v>
      </c>
      <c r="J108" s="17">
        <f>IFERROR(H108/E108,0)</f>
        <v>1.529578261904762</v>
      </c>
      <c r="K108" s="18" t="str">
        <f>IF(E108=0,"Sin Plan",IF(J108&gt;=1,"Completado",IF(J108&gt;0.001,"En Progreso","Pendiente de ejecutar")))</f>
        <v>Completado</v>
      </c>
      <c r="L108" s="6" t="s">
        <v>323</v>
      </c>
      <c r="M108" s="6" t="s">
        <v>320</v>
      </c>
    </row>
    <row r="109" spans="1:13" x14ac:dyDescent="0.35">
      <c r="A109" s="29" t="s">
        <v>204</v>
      </c>
      <c r="B109" s="11" t="s">
        <v>205</v>
      </c>
      <c r="C109" s="11" t="s">
        <v>78</v>
      </c>
      <c r="D109" s="29" t="s">
        <v>79</v>
      </c>
      <c r="E109" s="41">
        <v>448000</v>
      </c>
      <c r="F109" s="100">
        <v>0</v>
      </c>
      <c r="G109" s="36">
        <f>58581.5+112001.45</f>
        <v>170582.95</v>
      </c>
      <c r="H109" s="40">
        <f>F109+G109</f>
        <v>170582.95</v>
      </c>
      <c r="I109" s="47">
        <f>E109-H109</f>
        <v>277417.05</v>
      </c>
      <c r="J109" s="17">
        <f>IFERROR(H109/E109,0)</f>
        <v>0.38076551339285719</v>
      </c>
      <c r="K109" s="18" t="str">
        <f>IF(E109=0,"Sin Plan",IF(J109&gt;=1,"Completado",IF(J109&gt;0.001,"En Progreso","Pendiente de ejecutar")))</f>
        <v>En Progreso</v>
      </c>
      <c r="L109" s="6" t="s">
        <v>323</v>
      </c>
      <c r="M109" s="6" t="s">
        <v>320</v>
      </c>
    </row>
    <row r="110" spans="1:13" x14ac:dyDescent="0.35">
      <c r="A110" s="29" t="s">
        <v>204</v>
      </c>
      <c r="B110" s="11" t="s">
        <v>205</v>
      </c>
      <c r="C110" s="19" t="s">
        <v>135</v>
      </c>
      <c r="D110" s="49" t="s">
        <v>136</v>
      </c>
      <c r="E110" s="40">
        <v>427500</v>
      </c>
      <c r="F110" s="100">
        <v>0</v>
      </c>
      <c r="G110" s="36">
        <f>322869.2+161434.6</f>
        <v>484303.80000000005</v>
      </c>
      <c r="H110" s="40">
        <f>F110+G110</f>
        <v>484303.80000000005</v>
      </c>
      <c r="I110" s="47">
        <f>E110-H110</f>
        <v>-56803.800000000047</v>
      </c>
      <c r="J110" s="17">
        <f>IFERROR(H110/E110,0)</f>
        <v>1.1328743859649124</v>
      </c>
      <c r="K110" s="18" t="str">
        <f>IF(E110=0,"Sin Plan",IF(J110&gt;=1,"Completado",IF(J110&gt;0.001,"En Progreso","Pendiente de ejecutar")))</f>
        <v>Completado</v>
      </c>
      <c r="L110" s="6" t="s">
        <v>323</v>
      </c>
      <c r="M110" s="6" t="s">
        <v>320</v>
      </c>
    </row>
    <row r="111" spans="1:13" hidden="1" x14ac:dyDescent="0.35">
      <c r="A111" s="11" t="s">
        <v>209</v>
      </c>
      <c r="B111" s="11" t="s">
        <v>205</v>
      </c>
      <c r="C111" s="11" t="s">
        <v>63</v>
      </c>
      <c r="D111" s="11" t="s">
        <v>64</v>
      </c>
      <c r="E111" s="13">
        <v>1100000</v>
      </c>
      <c r="F111" s="14">
        <v>204214.2</v>
      </c>
      <c r="G111" s="13">
        <v>0</v>
      </c>
      <c r="H111" s="40">
        <f>F111+G111</f>
        <v>204214.2</v>
      </c>
      <c r="I111" s="47">
        <f>E111-H111</f>
        <v>895785.8</v>
      </c>
      <c r="J111" s="17">
        <f>IFERROR(H111/E111,0)</f>
        <v>0.18564927272727275</v>
      </c>
      <c r="K111" s="18" t="str">
        <f>IF(E111=0,"Sin Plan",IF(J111&gt;=1,"Completado",IF(J111&gt;0.001,"En Progreso","Pendiente de ejecutar")))</f>
        <v>En Progreso</v>
      </c>
      <c r="L111" s="6" t="s">
        <v>321</v>
      </c>
      <c r="M111" s="6" t="s">
        <v>320</v>
      </c>
    </row>
    <row r="112" spans="1:13" s="2" customFormat="1" hidden="1" x14ac:dyDescent="0.35">
      <c r="A112" s="19" t="s">
        <v>290</v>
      </c>
      <c r="B112" s="11" t="s">
        <v>205</v>
      </c>
      <c r="C112" s="19" t="s">
        <v>166</v>
      </c>
      <c r="D112" s="19" t="s">
        <v>167</v>
      </c>
      <c r="E112" s="13">
        <v>1100000</v>
      </c>
      <c r="F112" s="13">
        <v>261362.79</v>
      </c>
      <c r="G112" s="13">
        <v>0</v>
      </c>
      <c r="H112" s="40">
        <f>F112+G112</f>
        <v>261362.79</v>
      </c>
      <c r="I112" s="47">
        <f>E112-H112</f>
        <v>838637.21</v>
      </c>
      <c r="J112" s="17">
        <f>IFERROR(H112/E112,0)</f>
        <v>0.23760253636363637</v>
      </c>
      <c r="K112" s="18" t="str">
        <f>IF(E112=0,"Sin Plan",IF(J112&gt;=1,"Completado",IF(J112&gt;0.001,"En Progreso","Pendiente de ejecutar")))</f>
        <v>En Progreso</v>
      </c>
      <c r="L112" s="6" t="s">
        <v>323</v>
      </c>
      <c r="M112" s="6" t="s">
        <v>320</v>
      </c>
    </row>
    <row r="113" spans="1:13" hidden="1" x14ac:dyDescent="0.35">
      <c r="A113" s="19" t="s">
        <v>209</v>
      </c>
      <c r="B113" s="11" t="s">
        <v>205</v>
      </c>
      <c r="C113" s="19" t="s">
        <v>37</v>
      </c>
      <c r="D113" s="11" t="s">
        <v>38</v>
      </c>
      <c r="E113" s="13">
        <v>105000</v>
      </c>
      <c r="F113" s="13">
        <v>17067.28</v>
      </c>
      <c r="G113" s="13">
        <v>0</v>
      </c>
      <c r="H113" s="40">
        <f>F113+G113</f>
        <v>17067.28</v>
      </c>
      <c r="I113" s="47">
        <f>E113-H113</f>
        <v>87932.72</v>
      </c>
      <c r="J113" s="17">
        <f>IFERROR(H113/E113,0)</f>
        <v>0.16254552380952381</v>
      </c>
      <c r="K113" s="18" t="str">
        <f>IF(E113=0,"Sin Plan",IF(J113&gt;=1,"Completado",IF(J113&gt;0.001,"En Progreso","Pendiente de ejecutar")))</f>
        <v>En Progreso</v>
      </c>
      <c r="L113" s="6" t="s">
        <v>321</v>
      </c>
      <c r="M113" s="6" t="s">
        <v>320</v>
      </c>
    </row>
    <row r="114" spans="1:13" hidden="1" x14ac:dyDescent="0.35">
      <c r="A114" s="19" t="s">
        <v>222</v>
      </c>
      <c r="B114" s="11" t="s">
        <v>205</v>
      </c>
      <c r="C114" s="19" t="s">
        <v>66</v>
      </c>
      <c r="D114" s="19" t="s">
        <v>67</v>
      </c>
      <c r="E114" s="13">
        <v>1050000</v>
      </c>
      <c r="F114" s="15">
        <v>94876.94</v>
      </c>
      <c r="G114" s="13">
        <v>0</v>
      </c>
      <c r="H114" s="40">
        <f>F114+G114</f>
        <v>94876.94</v>
      </c>
      <c r="I114" s="47">
        <f>E114-H114</f>
        <v>955123.06</v>
      </c>
      <c r="J114" s="17">
        <f>IFERROR(H114/E114,0)</f>
        <v>9.0358990476190476E-2</v>
      </c>
      <c r="K114" s="18" t="str">
        <f>IF(E114=0,"Sin Plan",IF(J114&gt;=1,"Completado",IF(J114&gt;0.001,"En Progreso","Pendiente de ejecutar")))</f>
        <v>En Progreso</v>
      </c>
      <c r="L114" s="6" t="s">
        <v>323</v>
      </c>
      <c r="M114" s="6" t="s">
        <v>320</v>
      </c>
    </row>
    <row r="115" spans="1:13" hidden="1" x14ac:dyDescent="0.35">
      <c r="A115" s="11" t="s">
        <v>267</v>
      </c>
      <c r="B115" s="11" t="s">
        <v>128</v>
      </c>
      <c r="C115" s="11" t="s">
        <v>39</v>
      </c>
      <c r="D115" s="11" t="s">
        <v>40</v>
      </c>
      <c r="E115" s="13">
        <v>959455</v>
      </c>
      <c r="F115" s="13">
        <v>0</v>
      </c>
      <c r="G115" s="13">
        <v>0</v>
      </c>
      <c r="H115" s="40">
        <f>F115+G115</f>
        <v>0</v>
      </c>
      <c r="I115" s="47">
        <f>E115-H115</f>
        <v>959455</v>
      </c>
      <c r="J115" s="17">
        <f>IFERROR(H115/E115,0)</f>
        <v>0</v>
      </c>
      <c r="K115" s="18" t="str">
        <f>IF(E115=0,"Sin Plan",IF(J115&gt;=1,"Completado",IF(J115&gt;0.001,"En Progreso","Pendiente de ejecutar")))</f>
        <v>Pendiente de ejecutar</v>
      </c>
      <c r="L115" s="6" t="s">
        <v>321</v>
      </c>
      <c r="M115" s="6" t="s">
        <v>320</v>
      </c>
    </row>
    <row r="116" spans="1:13" hidden="1" x14ac:dyDescent="0.35">
      <c r="A116" s="20" t="s">
        <v>241</v>
      </c>
      <c r="B116" s="11" t="s">
        <v>205</v>
      </c>
      <c r="C116" s="20" t="s">
        <v>23</v>
      </c>
      <c r="D116" s="20" t="s">
        <v>24</v>
      </c>
      <c r="E116" s="14">
        <v>945000</v>
      </c>
      <c r="F116" s="14">
        <v>0</v>
      </c>
      <c r="G116" s="14">
        <v>735074.73</v>
      </c>
      <c r="H116" s="40">
        <f>F116+G116</f>
        <v>735074.73</v>
      </c>
      <c r="I116" s="47">
        <f>E116-H116</f>
        <v>209925.27000000002</v>
      </c>
      <c r="J116" s="17">
        <f>IFERROR(H116/E116,0)</f>
        <v>0.77785685714285713</v>
      </c>
      <c r="K116" s="18" t="str">
        <f>IF(E116=0,"Sin Plan",IF(J116&gt;=1,"Completado",IF(J116&gt;0.001,"En Progreso","Pendiente de ejecutar")))</f>
        <v>En Progreso</v>
      </c>
      <c r="L116" s="6" t="s">
        <v>321</v>
      </c>
      <c r="M116" s="6" t="s">
        <v>320</v>
      </c>
    </row>
    <row r="117" spans="1:13" hidden="1" x14ac:dyDescent="0.35">
      <c r="A117" s="11" t="s">
        <v>168</v>
      </c>
      <c r="B117" s="11" t="s">
        <v>205</v>
      </c>
      <c r="C117" s="11" t="s">
        <v>174</v>
      </c>
      <c r="D117" s="11" t="s">
        <v>175</v>
      </c>
      <c r="E117" s="14">
        <v>896038</v>
      </c>
      <c r="F117" s="14">
        <v>816314.86</v>
      </c>
      <c r="G117" s="14">
        <v>0</v>
      </c>
      <c r="H117" s="40">
        <f>F117+G117</f>
        <v>816314.86</v>
      </c>
      <c r="I117" s="47">
        <f>E117-H117</f>
        <v>79723.140000000014</v>
      </c>
      <c r="J117" s="17">
        <f>IFERROR(H117/E117,0)</f>
        <v>0.91102705465616407</v>
      </c>
      <c r="K117" s="18" t="str">
        <f>IF(E117=0,"Sin Plan",IF(J117&gt;=1,"Completado",IF(J117&gt;0.001,"En Progreso","Pendiente de ejecutar")))</f>
        <v>En Progreso</v>
      </c>
      <c r="L117" s="6" t="s">
        <v>321</v>
      </c>
      <c r="M117" s="6" t="s">
        <v>320</v>
      </c>
    </row>
    <row r="118" spans="1:13" s="2" customFormat="1" x14ac:dyDescent="0.35">
      <c r="A118" s="48" t="s">
        <v>204</v>
      </c>
      <c r="B118" s="11" t="s">
        <v>205</v>
      </c>
      <c r="C118" s="20" t="s">
        <v>83</v>
      </c>
      <c r="D118" s="48" t="s">
        <v>84</v>
      </c>
      <c r="E118" s="41">
        <v>320000</v>
      </c>
      <c r="F118" s="36">
        <v>218034</v>
      </c>
      <c r="G118" s="100">
        <v>0</v>
      </c>
      <c r="H118" s="40">
        <f>F118+G118</f>
        <v>218034</v>
      </c>
      <c r="I118" s="47">
        <f>E118-H118</f>
        <v>101966</v>
      </c>
      <c r="J118" s="17">
        <f>IFERROR(H118/E118,0)</f>
        <v>0.68135625</v>
      </c>
      <c r="K118" s="18" t="str">
        <f>IF(E118=0,"Sin Plan",IF(J118&gt;=1,"Completado",IF(J118&gt;0.001,"En Progreso","Pendiente de ejecutar")))</f>
        <v>En Progreso</v>
      </c>
      <c r="L118" s="6" t="s">
        <v>321</v>
      </c>
      <c r="M118" s="6" t="s">
        <v>320</v>
      </c>
    </row>
    <row r="119" spans="1:13" x14ac:dyDescent="0.35">
      <c r="A119" s="29" t="s">
        <v>204</v>
      </c>
      <c r="B119" s="11" t="s">
        <v>205</v>
      </c>
      <c r="C119" s="11" t="s">
        <v>196</v>
      </c>
      <c r="D119" s="29" t="s">
        <v>197</v>
      </c>
      <c r="E119" s="41">
        <v>260000</v>
      </c>
      <c r="F119" s="36">
        <f>98659.84*2</f>
        <v>197319.67999999999</v>
      </c>
      <c r="G119" s="100">
        <v>0</v>
      </c>
      <c r="H119" s="40">
        <f>F119+G119</f>
        <v>197319.67999999999</v>
      </c>
      <c r="I119" s="47">
        <f>E119-H119</f>
        <v>62680.320000000007</v>
      </c>
      <c r="J119" s="17">
        <f>IFERROR(H119/E119,0)</f>
        <v>0.75892184615384617</v>
      </c>
      <c r="K119" s="18" t="str">
        <f>IF(E119=0,"Sin Plan",IF(J119&gt;=1,"Completado",IF(J119&gt;0.001,"En Progreso","Pendiente de ejecutar")))</f>
        <v>En Progreso</v>
      </c>
      <c r="L119" s="6" t="s">
        <v>323</v>
      </c>
      <c r="M119" s="6" t="s">
        <v>320</v>
      </c>
    </row>
    <row r="120" spans="1:13" hidden="1" x14ac:dyDescent="0.35">
      <c r="A120" s="19" t="s">
        <v>285</v>
      </c>
      <c r="B120" s="11" t="s">
        <v>205</v>
      </c>
      <c r="C120" s="19" t="s">
        <v>95</v>
      </c>
      <c r="D120" s="19" t="s">
        <v>75</v>
      </c>
      <c r="E120" s="13">
        <v>850000</v>
      </c>
      <c r="F120" s="13">
        <v>0</v>
      </c>
      <c r="G120" s="13">
        <v>0</v>
      </c>
      <c r="H120" s="40">
        <f>F120+G120</f>
        <v>0</v>
      </c>
      <c r="I120" s="47">
        <f>E120-H120</f>
        <v>850000</v>
      </c>
      <c r="J120" s="17">
        <f>IFERROR(H120/E120,0)</f>
        <v>0</v>
      </c>
      <c r="K120" s="18" t="str">
        <f>IF(E120=0,"Sin Plan",IF(J120&gt;=1,"Completado",IF(J120&gt;0.001,"En Progreso","Pendiente de ejecutar")))</f>
        <v>Pendiente de ejecutar</v>
      </c>
      <c r="L120" s="6" t="s">
        <v>323</v>
      </c>
      <c r="M120" s="6" t="s">
        <v>320</v>
      </c>
    </row>
    <row r="121" spans="1:13" x14ac:dyDescent="0.35">
      <c r="A121" s="29" t="s">
        <v>204</v>
      </c>
      <c r="B121" s="11" t="s">
        <v>205</v>
      </c>
      <c r="C121" s="11" t="s">
        <v>53</v>
      </c>
      <c r="D121" s="29" t="s">
        <v>54</v>
      </c>
      <c r="E121" s="41">
        <v>156000</v>
      </c>
      <c r="F121" s="100">
        <v>0</v>
      </c>
      <c r="G121" s="100">
        <v>0</v>
      </c>
      <c r="H121" s="40">
        <f>F121+G121</f>
        <v>0</v>
      </c>
      <c r="I121" s="47">
        <f>E121-H121</f>
        <v>156000</v>
      </c>
      <c r="J121" s="17">
        <f>IFERROR(H121/E121,0)</f>
        <v>0</v>
      </c>
      <c r="K121" s="18" t="str">
        <f>IF(E121=0,"Sin Plan",IF(J121&gt;=1,"Completado",IF(J121&gt;0.001,"En Progreso","Pendiente de ejecutar")))</f>
        <v>Pendiente de ejecutar</v>
      </c>
      <c r="L121" s="6" t="s">
        <v>323</v>
      </c>
      <c r="M121" s="6" t="s">
        <v>320</v>
      </c>
    </row>
    <row r="122" spans="1:13" x14ac:dyDescent="0.35">
      <c r="A122" s="29" t="s">
        <v>204</v>
      </c>
      <c r="B122" s="11" t="s">
        <v>205</v>
      </c>
      <c r="C122" s="19" t="s">
        <v>29</v>
      </c>
      <c r="D122" s="49" t="s">
        <v>30</v>
      </c>
      <c r="E122" s="40">
        <v>143200</v>
      </c>
      <c r="F122" s="100">
        <v>0</v>
      </c>
      <c r="G122" s="100">
        <v>0</v>
      </c>
      <c r="H122" s="40">
        <f>F122+G122</f>
        <v>0</v>
      </c>
      <c r="I122" s="47">
        <f>E122-H122</f>
        <v>143200</v>
      </c>
      <c r="J122" s="17">
        <f>IFERROR(H122/E122,0)</f>
        <v>0</v>
      </c>
      <c r="K122" s="18" t="str">
        <f>IF(E122=0,"Sin Plan",IF(J122&gt;=1,"Completado",IF(J122&gt;0.001,"En Progreso","Pendiente de ejecutar")))</f>
        <v>Pendiente de ejecutar</v>
      </c>
      <c r="L122" s="6" t="s">
        <v>323</v>
      </c>
      <c r="M122" s="6" t="s">
        <v>320</v>
      </c>
    </row>
    <row r="123" spans="1:13" hidden="1" x14ac:dyDescent="0.35">
      <c r="A123" s="20" t="s">
        <v>210</v>
      </c>
      <c r="B123" s="11" t="s">
        <v>205</v>
      </c>
      <c r="C123" s="20" t="s">
        <v>33</v>
      </c>
      <c r="D123" s="20" t="s">
        <v>34</v>
      </c>
      <c r="E123" s="14">
        <v>840000</v>
      </c>
      <c r="F123" s="14">
        <v>0</v>
      </c>
      <c r="G123" s="14">
        <v>0</v>
      </c>
      <c r="H123" s="40">
        <f>F123+G123</f>
        <v>0</v>
      </c>
      <c r="I123" s="47">
        <f>E123-H123</f>
        <v>840000</v>
      </c>
      <c r="J123" s="17">
        <f>IFERROR(H123/E123,0)</f>
        <v>0</v>
      </c>
      <c r="K123" s="18" t="str">
        <f>IF(E123=0,"Sin Plan",IF(J123&gt;=1,"Completado",IF(J123&gt;0.001,"En Progreso","Pendiente de ejecutar")))</f>
        <v>Pendiente de ejecutar</v>
      </c>
      <c r="L123" s="6" t="s">
        <v>321</v>
      </c>
      <c r="M123" s="6" t="s">
        <v>320</v>
      </c>
    </row>
    <row r="124" spans="1:13" hidden="1" x14ac:dyDescent="0.35">
      <c r="A124" s="11" t="s">
        <v>210</v>
      </c>
      <c r="B124" s="11" t="s">
        <v>205</v>
      </c>
      <c r="C124" s="11" t="s">
        <v>213</v>
      </c>
      <c r="D124" s="11" t="s">
        <v>214</v>
      </c>
      <c r="E124" s="13">
        <v>820000</v>
      </c>
      <c r="F124" s="13">
        <v>91200</v>
      </c>
      <c r="G124" s="13">
        <v>0</v>
      </c>
      <c r="H124" s="40">
        <f>F124+G124</f>
        <v>91200</v>
      </c>
      <c r="I124" s="47">
        <f>E124-H124</f>
        <v>728800</v>
      </c>
      <c r="J124" s="17">
        <f>IFERROR(H124/E124,0)</f>
        <v>0.11121951219512195</v>
      </c>
      <c r="K124" s="18" t="str">
        <f>IF(E124=0,"Sin Plan",IF(J124&gt;=1,"Completado",IF(J124&gt;0.001,"En Progreso","Pendiente de ejecutar")))</f>
        <v>En Progreso</v>
      </c>
      <c r="L124" s="6" t="s">
        <v>321</v>
      </c>
      <c r="M124" s="6" t="s">
        <v>320</v>
      </c>
    </row>
    <row r="125" spans="1:13" hidden="1" x14ac:dyDescent="0.35">
      <c r="A125" s="19" t="s">
        <v>293</v>
      </c>
      <c r="B125" s="11" t="s">
        <v>205</v>
      </c>
      <c r="C125" s="19" t="s">
        <v>213</v>
      </c>
      <c r="D125" s="19" t="s">
        <v>214</v>
      </c>
      <c r="E125" s="13">
        <v>820000</v>
      </c>
      <c r="F125" s="13">
        <v>0</v>
      </c>
      <c r="G125" s="13">
        <v>91200</v>
      </c>
      <c r="H125" s="40">
        <f>F125+G125</f>
        <v>91200</v>
      </c>
      <c r="I125" s="47">
        <f>E125-H125</f>
        <v>728800</v>
      </c>
      <c r="J125" s="17">
        <f>IFERROR(H125/E125,0)</f>
        <v>0.11121951219512195</v>
      </c>
      <c r="K125" s="18" t="str">
        <f>IF(E125=0,"Sin Plan",IF(J125&gt;=1,"Completado",IF(J125&gt;0.001,"En Progreso","Pendiente de ejecutar")))</f>
        <v>En Progreso</v>
      </c>
      <c r="L125" s="6" t="s">
        <v>321</v>
      </c>
      <c r="M125" s="6" t="s">
        <v>320</v>
      </c>
    </row>
    <row r="126" spans="1:13" hidden="1" x14ac:dyDescent="0.35">
      <c r="A126" s="11" t="s">
        <v>295</v>
      </c>
      <c r="B126" s="11" t="s">
        <v>205</v>
      </c>
      <c r="C126" s="11" t="s">
        <v>213</v>
      </c>
      <c r="D126" s="11" t="s">
        <v>214</v>
      </c>
      <c r="E126" s="14">
        <v>820000</v>
      </c>
      <c r="F126" s="14">
        <v>0</v>
      </c>
      <c r="G126" s="14">
        <v>0</v>
      </c>
      <c r="H126" s="40">
        <f>F126+G126</f>
        <v>0</v>
      </c>
      <c r="I126" s="47">
        <f>E126-H126</f>
        <v>820000</v>
      </c>
      <c r="J126" s="17">
        <f>IFERROR(H126/E126,0)</f>
        <v>0</v>
      </c>
      <c r="K126" s="18" t="str">
        <f>IF(E126=0,"Sin Plan",IF(J126&gt;=1,"Completado",IF(J126&gt;0.001,"En Progreso","Pendiente de ejecutar")))</f>
        <v>Pendiente de ejecutar</v>
      </c>
      <c r="L126" s="6" t="s">
        <v>321</v>
      </c>
      <c r="M126" s="6" t="s">
        <v>320</v>
      </c>
    </row>
    <row r="127" spans="1:13" hidden="1" x14ac:dyDescent="0.35">
      <c r="A127" s="20" t="s">
        <v>36</v>
      </c>
      <c r="B127" s="11" t="s">
        <v>319</v>
      </c>
      <c r="C127" s="20" t="s">
        <v>17</v>
      </c>
      <c r="D127" s="20" t="s">
        <v>18</v>
      </c>
      <c r="E127" s="14">
        <v>0</v>
      </c>
      <c r="F127" s="14">
        <v>0</v>
      </c>
      <c r="G127" s="14">
        <v>0</v>
      </c>
      <c r="H127" s="40">
        <f>F127+G127</f>
        <v>0</v>
      </c>
      <c r="I127" s="47">
        <f>E127-H127</f>
        <v>0</v>
      </c>
      <c r="J127" s="17">
        <f>IFERROR(H127/E127,0)</f>
        <v>0</v>
      </c>
      <c r="K127" s="18" t="str">
        <f>IF(E127=0,"Sin Plan",IF(J127&gt;=1,"Completado",IF(J127&gt;0.001,"En Progreso","Pendiente de ejecutar")))</f>
        <v>Sin Plan</v>
      </c>
      <c r="L127" s="6" t="s">
        <v>323</v>
      </c>
      <c r="M127" s="6" t="s">
        <v>318</v>
      </c>
    </row>
    <row r="128" spans="1:13" hidden="1" x14ac:dyDescent="0.35">
      <c r="A128" s="11" t="s">
        <v>153</v>
      </c>
      <c r="B128" s="11" t="s">
        <v>128</v>
      </c>
      <c r="C128" s="11" t="s">
        <v>23</v>
      </c>
      <c r="D128" s="11" t="s">
        <v>24</v>
      </c>
      <c r="E128" s="13">
        <v>760000</v>
      </c>
      <c r="F128" s="13">
        <v>0</v>
      </c>
      <c r="G128" s="13">
        <v>0</v>
      </c>
      <c r="H128" s="40">
        <f>F128+G128</f>
        <v>0</v>
      </c>
      <c r="I128" s="47">
        <f>E128-H128</f>
        <v>760000</v>
      </c>
      <c r="J128" s="17">
        <f>IFERROR(H128/E128,0)</f>
        <v>0</v>
      </c>
      <c r="K128" s="18" t="str">
        <f>IF(E128=0,"Sin Plan",IF(J128&gt;=1,"Completado",IF(J128&gt;0.001,"En Progreso","Pendiente de ejecutar")))</f>
        <v>Pendiente de ejecutar</v>
      </c>
      <c r="L128" s="6" t="s">
        <v>321</v>
      </c>
      <c r="M128" s="6" t="s">
        <v>320</v>
      </c>
    </row>
    <row r="129" spans="1:13" hidden="1" x14ac:dyDescent="0.35">
      <c r="A129" s="20" t="s">
        <v>257</v>
      </c>
      <c r="B129" s="11" t="s">
        <v>205</v>
      </c>
      <c r="C129" s="20" t="s">
        <v>27</v>
      </c>
      <c r="D129" s="20" t="s">
        <v>28</v>
      </c>
      <c r="E129" s="14">
        <v>760000</v>
      </c>
      <c r="F129" s="14">
        <v>0</v>
      </c>
      <c r="G129" s="14">
        <v>0</v>
      </c>
      <c r="H129" s="40">
        <f>F129+G129</f>
        <v>0</v>
      </c>
      <c r="I129" s="47">
        <f>E129-H129</f>
        <v>760000</v>
      </c>
      <c r="J129" s="17">
        <f>IFERROR(H129/E129,0)</f>
        <v>0</v>
      </c>
      <c r="K129" s="18" t="str">
        <f>IF(E129=0,"Sin Plan",IF(J129&gt;=1,"Completado",IF(J129&gt;0.001,"En Progreso","Pendiente de ejecutar")))</f>
        <v>Pendiente de ejecutar</v>
      </c>
      <c r="L129" s="6" t="s">
        <v>323</v>
      </c>
      <c r="M129" s="6" t="s">
        <v>320</v>
      </c>
    </row>
    <row r="130" spans="1:13" hidden="1" x14ac:dyDescent="0.35">
      <c r="A130" s="11" t="s">
        <v>285</v>
      </c>
      <c r="B130" s="11" t="s">
        <v>205</v>
      </c>
      <c r="C130" s="11" t="s">
        <v>27</v>
      </c>
      <c r="D130" s="11" t="s">
        <v>28</v>
      </c>
      <c r="E130" s="13">
        <v>760000</v>
      </c>
      <c r="F130" s="13">
        <v>0</v>
      </c>
      <c r="G130" s="13">
        <v>0</v>
      </c>
      <c r="H130" s="40">
        <f>F130+G130</f>
        <v>0</v>
      </c>
      <c r="I130" s="47">
        <f>E130-H130</f>
        <v>760000</v>
      </c>
      <c r="J130" s="17">
        <f>IFERROR(H130/E130,0)</f>
        <v>0</v>
      </c>
      <c r="K130" s="18" t="str">
        <f>IF(E130=0,"Sin Plan",IF(J130&gt;=1,"Completado",IF(J130&gt;0.001,"En Progreso","Pendiente de ejecutar")))</f>
        <v>Pendiente de ejecutar</v>
      </c>
      <c r="L130" s="6" t="s">
        <v>323</v>
      </c>
      <c r="M130" s="6" t="s">
        <v>320</v>
      </c>
    </row>
    <row r="131" spans="1:13" x14ac:dyDescent="0.35">
      <c r="A131" s="29" t="s">
        <v>204</v>
      </c>
      <c r="B131" s="11" t="s">
        <v>205</v>
      </c>
      <c r="C131" s="19" t="s">
        <v>47</v>
      </c>
      <c r="D131" s="49" t="s">
        <v>48</v>
      </c>
      <c r="E131" s="40">
        <v>126000</v>
      </c>
      <c r="F131" s="100">
        <v>534229.98</v>
      </c>
      <c r="G131" s="100">
        <v>246624.75</v>
      </c>
      <c r="H131" s="40">
        <f>F131+G131</f>
        <v>780854.73</v>
      </c>
      <c r="I131" s="47">
        <f>E131-H131</f>
        <v>-654854.73</v>
      </c>
      <c r="J131" s="17">
        <f>IFERROR(H131/E131,0)</f>
        <v>6.1972597619047614</v>
      </c>
      <c r="K131" s="18" t="str">
        <f>IF(E131=0,"Sin Plan",IF(J131&gt;=1,"Completado",IF(J131&gt;0.001,"En Progreso","Pendiente de ejecutar")))</f>
        <v>Completado</v>
      </c>
      <c r="L131" s="6" t="s">
        <v>323</v>
      </c>
      <c r="M131" s="6" t="s">
        <v>320</v>
      </c>
    </row>
    <row r="132" spans="1:13" x14ac:dyDescent="0.35">
      <c r="A132" s="29" t="s">
        <v>204</v>
      </c>
      <c r="B132" s="11" t="s">
        <v>205</v>
      </c>
      <c r="C132" s="11" t="s">
        <v>137</v>
      </c>
      <c r="D132" s="29" t="s">
        <v>388</v>
      </c>
      <c r="E132" s="40">
        <v>50000</v>
      </c>
      <c r="F132" s="36">
        <v>199393</v>
      </c>
      <c r="G132" s="100"/>
      <c r="H132" s="40">
        <f>F132+G132</f>
        <v>199393</v>
      </c>
      <c r="I132" s="47">
        <f>E132-H132</f>
        <v>-149393</v>
      </c>
      <c r="J132" s="17">
        <f>IFERROR(H132/E132,0)</f>
        <v>3.98786</v>
      </c>
      <c r="K132" s="18" t="str">
        <f>IF(E132=0,"Sin Plan",IF(J132&gt;=1,"Completado",IF(J132&gt;0.001,"En Progreso","Pendiente de ejecutar")))</f>
        <v>Completado</v>
      </c>
      <c r="L132" s="6" t="s">
        <v>323</v>
      </c>
      <c r="M132" s="6" t="s">
        <v>320</v>
      </c>
    </row>
    <row r="133" spans="1:13" hidden="1" x14ac:dyDescent="0.35">
      <c r="A133" s="11" t="s">
        <v>210</v>
      </c>
      <c r="B133" s="11" t="s">
        <v>205</v>
      </c>
      <c r="C133" s="11" t="s">
        <v>37</v>
      </c>
      <c r="D133" s="11" t="s">
        <v>38</v>
      </c>
      <c r="E133" s="14">
        <v>63000</v>
      </c>
      <c r="F133" s="14">
        <v>0</v>
      </c>
      <c r="G133" s="14">
        <v>527900</v>
      </c>
      <c r="H133" s="40">
        <f>F133+G133</f>
        <v>527900</v>
      </c>
      <c r="I133" s="47">
        <f>E133-H133</f>
        <v>-464900</v>
      </c>
      <c r="J133" s="17">
        <f>IFERROR(H133/E133,0)</f>
        <v>8.3793650793650798</v>
      </c>
      <c r="K133" s="18" t="str">
        <f>IF(E133=0,"Sin Plan",IF(J133&gt;=1,"Completado",IF(J133&gt;0.001,"En Progreso","Pendiente de ejecutar")))</f>
        <v>Completado</v>
      </c>
      <c r="L133" s="6" t="s">
        <v>321</v>
      </c>
      <c r="M133" s="6" t="s">
        <v>320</v>
      </c>
    </row>
    <row r="134" spans="1:13" x14ac:dyDescent="0.35">
      <c r="A134" s="48" t="s">
        <v>204</v>
      </c>
      <c r="B134" s="11" t="s">
        <v>205</v>
      </c>
      <c r="C134" s="20" t="s">
        <v>192</v>
      </c>
      <c r="D134" s="48" t="s">
        <v>193</v>
      </c>
      <c r="E134" s="41">
        <v>0</v>
      </c>
      <c r="F134" s="36">
        <v>252957.03</v>
      </c>
      <c r="G134" s="100"/>
      <c r="H134" s="40">
        <f>F134+G134</f>
        <v>252957.03</v>
      </c>
      <c r="I134" s="47">
        <f>E134-H134</f>
        <v>-252957.03</v>
      </c>
      <c r="J134" s="17">
        <f>IFERROR(H134/E134,0)</f>
        <v>0</v>
      </c>
      <c r="K134" s="18" t="str">
        <f>IF(E134=0,"Sin Plan",IF(J134&gt;=1,"Completado",IF(J134&gt;0.001,"En Progreso","Pendiente de ejecutar")))</f>
        <v>Sin Plan</v>
      </c>
      <c r="L134" s="6" t="s">
        <v>323</v>
      </c>
      <c r="M134" s="6" t="s">
        <v>318</v>
      </c>
    </row>
    <row r="135" spans="1:13" hidden="1" x14ac:dyDescent="0.35">
      <c r="A135" s="20" t="s">
        <v>222</v>
      </c>
      <c r="B135" s="11" t="s">
        <v>205</v>
      </c>
      <c r="C135" s="20" t="s">
        <v>37</v>
      </c>
      <c r="D135" s="11" t="s">
        <v>38</v>
      </c>
      <c r="E135" s="14"/>
      <c r="F135" s="14">
        <v>136568.04</v>
      </c>
      <c r="G135" s="14"/>
      <c r="H135" s="40">
        <f>F135+G135</f>
        <v>136568.04</v>
      </c>
      <c r="I135" s="16">
        <f>E135-H135</f>
        <v>-136568.04</v>
      </c>
      <c r="J135" s="17">
        <f>IFERROR(H135/E135,0)</f>
        <v>0</v>
      </c>
      <c r="K135" s="18" t="str">
        <f>IF(E135=0,"Sin Plan",IF(J135&gt;=1,"Completado",IF(J135&gt;0.001,"En Progreso","Pendiente de ejecutar")))</f>
        <v>Sin Plan</v>
      </c>
      <c r="L135" s="6" t="s">
        <v>323</v>
      </c>
      <c r="M135" s="6" t="s">
        <v>318</v>
      </c>
    </row>
    <row r="136" spans="1:13" hidden="1" x14ac:dyDescent="0.35">
      <c r="A136" s="54" t="s">
        <v>112</v>
      </c>
      <c r="B136" s="11"/>
      <c r="C136" s="20"/>
      <c r="D136" s="11" t="s">
        <v>24</v>
      </c>
      <c r="E136" s="14"/>
      <c r="F136" s="14"/>
      <c r="G136" s="14">
        <v>326810</v>
      </c>
      <c r="H136" s="40"/>
      <c r="I136" s="47">
        <f>E136-H136</f>
        <v>0</v>
      </c>
      <c r="J136" s="17">
        <f>IFERROR(H136/E136,0)</f>
        <v>0</v>
      </c>
      <c r="K136" s="18" t="str">
        <f>IF(E136=0,"Sin Plan",IF(J136&gt;=1,"Completado",IF(J136&gt;0.001,"En Progreso","Pendiente de ejecutar")))</f>
        <v>Sin Plan</v>
      </c>
      <c r="L136" s="6" t="s">
        <v>321</v>
      </c>
      <c r="M136" s="6"/>
    </row>
    <row r="137" spans="1:13" hidden="1" x14ac:dyDescent="0.35">
      <c r="A137" s="19" t="s">
        <v>225</v>
      </c>
      <c r="B137" s="11" t="s">
        <v>205</v>
      </c>
      <c r="C137" s="19" t="s">
        <v>37</v>
      </c>
      <c r="D137" s="11" t="s">
        <v>38</v>
      </c>
      <c r="E137" s="13">
        <v>1134000</v>
      </c>
      <c r="F137" s="13">
        <v>0</v>
      </c>
      <c r="G137" s="13">
        <v>0</v>
      </c>
      <c r="H137" s="40">
        <f>F137+G137</f>
        <v>0</v>
      </c>
      <c r="I137" s="47">
        <f>E137-H137</f>
        <v>1134000</v>
      </c>
      <c r="J137" s="17">
        <f>IFERROR(H137/E137,0)</f>
        <v>0</v>
      </c>
      <c r="K137" s="18" t="str">
        <f>IF(E137=0,"Sin Plan",IF(J137&gt;=1,"Completado",IF(J137&gt;0.001,"En Progreso","Pendiente de ejecutar")))</f>
        <v>Pendiente de ejecutar</v>
      </c>
      <c r="L137" s="6" t="s">
        <v>321</v>
      </c>
      <c r="M137" s="6" t="s">
        <v>320</v>
      </c>
    </row>
    <row r="138" spans="1:13" hidden="1" x14ac:dyDescent="0.35">
      <c r="A138" s="11" t="s">
        <v>41</v>
      </c>
      <c r="B138" s="11" t="s">
        <v>319</v>
      </c>
      <c r="C138" s="11" t="s">
        <v>13</v>
      </c>
      <c r="D138" s="11" t="s">
        <v>14</v>
      </c>
      <c r="E138" s="14">
        <v>685000</v>
      </c>
      <c r="F138" s="14">
        <v>0</v>
      </c>
      <c r="G138" s="14">
        <v>850100</v>
      </c>
      <c r="H138" s="40">
        <f>F138+G138</f>
        <v>850100</v>
      </c>
      <c r="I138" s="47">
        <f>E138-H138</f>
        <v>-165100</v>
      </c>
      <c r="J138" s="17">
        <f>IFERROR(H138/E138,0)</f>
        <v>1.241021897810219</v>
      </c>
      <c r="K138" s="18" t="str">
        <f>IF(E138=0,"Sin Plan",IF(J138&gt;=1,"Completado",IF(J138&gt;0.001,"En Progreso","Pendiente de ejecutar")))</f>
        <v>Completado</v>
      </c>
      <c r="L138" s="6" t="s">
        <v>323</v>
      </c>
      <c r="M138" s="6" t="s">
        <v>320</v>
      </c>
    </row>
    <row r="139" spans="1:13" hidden="1" x14ac:dyDescent="0.35">
      <c r="A139" s="11" t="s">
        <v>42</v>
      </c>
      <c r="B139" s="11" t="s">
        <v>319</v>
      </c>
      <c r="C139" s="22"/>
      <c r="D139" s="23" t="s">
        <v>43</v>
      </c>
      <c r="E139" s="14"/>
      <c r="F139" s="14">
        <f>76735.54+41039.14</f>
        <v>117774.68</v>
      </c>
      <c r="G139" s="89"/>
      <c r="H139" s="40" t="e">
        <f>#REF!+F139</f>
        <v>#REF!</v>
      </c>
      <c r="I139" s="47" t="e">
        <f>E139-H139</f>
        <v>#REF!</v>
      </c>
      <c r="J139" s="17">
        <f>IFERROR(H139/E139,0)</f>
        <v>0</v>
      </c>
      <c r="K139" s="18" t="str">
        <f>IF(E139=0,"Sin Plan",IF(J139&gt;=1,"Completado",IF(J139&gt;0.001,"En Progreso","Pendiente de ejecutar")))</f>
        <v>Sin Plan</v>
      </c>
      <c r="L139" s="6" t="s">
        <v>323</v>
      </c>
      <c r="M139" s="6" t="s">
        <v>318</v>
      </c>
    </row>
    <row r="140" spans="1:13" hidden="1" x14ac:dyDescent="0.35">
      <c r="A140" s="20" t="s">
        <v>82</v>
      </c>
      <c r="B140" s="11" t="s">
        <v>319</v>
      </c>
      <c r="C140" s="20" t="s">
        <v>83</v>
      </c>
      <c r="D140" s="20" t="s">
        <v>84</v>
      </c>
      <c r="E140" s="14">
        <v>0</v>
      </c>
      <c r="F140" s="14">
        <v>0</v>
      </c>
      <c r="G140" s="14"/>
      <c r="H140" s="40">
        <f>F140+G140</f>
        <v>0</v>
      </c>
      <c r="I140" s="47">
        <f>E140-H140</f>
        <v>0</v>
      </c>
      <c r="J140" s="17">
        <f>IFERROR(H140/E140,0)</f>
        <v>0</v>
      </c>
      <c r="K140" s="18" t="str">
        <f>IF(E140=0,"Sin Plan",IF(J140&gt;=1,"Completado",IF(J140&gt;0.001,"En Progreso","Pendiente de ejecutar")))</f>
        <v>Sin Plan</v>
      </c>
      <c r="L140" s="6" t="s">
        <v>321</v>
      </c>
      <c r="M140" s="7" t="s">
        <v>318</v>
      </c>
    </row>
    <row r="141" spans="1:13" hidden="1" x14ac:dyDescent="0.35">
      <c r="A141" s="11" t="s">
        <v>42</v>
      </c>
      <c r="B141" s="11" t="s">
        <v>319</v>
      </c>
      <c r="C141" s="11" t="s">
        <v>44</v>
      </c>
      <c r="D141" s="11" t="s">
        <v>45</v>
      </c>
      <c r="E141" s="13">
        <v>0</v>
      </c>
      <c r="F141" s="13">
        <v>47457.63</v>
      </c>
      <c r="G141" s="89"/>
      <c r="H141" s="40" t="e">
        <f>#REF!+F141</f>
        <v>#REF!</v>
      </c>
      <c r="I141" s="47" t="e">
        <f>E141-H141</f>
        <v>#REF!</v>
      </c>
      <c r="J141" s="17">
        <f>IFERROR(H141/E141,0)</f>
        <v>0</v>
      </c>
      <c r="K141" s="18" t="str">
        <f>IF(E141=0,"Sin Plan",IF(J141&gt;=1,"Completado",IF(J141&gt;0.001,"En Progreso","Pendiente de ejecutar")))</f>
        <v>Sin Plan</v>
      </c>
      <c r="L141" s="6" t="s">
        <v>323</v>
      </c>
      <c r="M141" s="6" t="s">
        <v>318</v>
      </c>
    </row>
    <row r="142" spans="1:13" hidden="1" x14ac:dyDescent="0.35">
      <c r="A142" s="19" t="s">
        <v>46</v>
      </c>
      <c r="B142" s="11" t="s">
        <v>319</v>
      </c>
      <c r="C142" s="19" t="s">
        <v>13</v>
      </c>
      <c r="D142" s="19" t="s">
        <v>14</v>
      </c>
      <c r="E142" s="13">
        <v>685000</v>
      </c>
      <c r="F142" s="13">
        <v>0</v>
      </c>
      <c r="G142" s="13">
        <v>1004300</v>
      </c>
      <c r="H142" s="40">
        <f>F142+G142</f>
        <v>1004300</v>
      </c>
      <c r="I142" s="47">
        <f>E142-H142</f>
        <v>-319300</v>
      </c>
      <c r="J142" s="17">
        <f>IFERROR(H142/E142,0)</f>
        <v>1.4661313868613139</v>
      </c>
      <c r="K142" s="18" t="str">
        <f>IF(E142=0,"Sin Plan",IF(J142&gt;=1,"Completado",IF(J142&gt;0.001,"En Progreso","Pendiente de ejecutar")))</f>
        <v>Completado</v>
      </c>
      <c r="L142" s="6" t="s">
        <v>323</v>
      </c>
      <c r="M142" s="6" t="s">
        <v>320</v>
      </c>
    </row>
    <row r="143" spans="1:13" hidden="1" x14ac:dyDescent="0.35">
      <c r="A143" s="11" t="s">
        <v>46</v>
      </c>
      <c r="B143" s="11" t="s">
        <v>319</v>
      </c>
      <c r="C143" s="11" t="s">
        <v>47</v>
      </c>
      <c r="D143" s="11" t="s">
        <v>48</v>
      </c>
      <c r="E143" s="13">
        <v>132300</v>
      </c>
      <c r="F143" s="13">
        <v>136751.45000000001</v>
      </c>
      <c r="G143" s="13">
        <v>0</v>
      </c>
      <c r="H143" s="40">
        <f>F143+G143</f>
        <v>136751.45000000001</v>
      </c>
      <c r="I143" s="47">
        <f>E143-H143</f>
        <v>-4451.4500000000116</v>
      </c>
      <c r="J143" s="17">
        <f>IFERROR(H143/E143,0)</f>
        <v>1.0336466364323509</v>
      </c>
      <c r="K143" s="18" t="str">
        <f>IF(E143=0,"Sin Plan",IF(J143&gt;=1,"Completado",IF(J143&gt;0.001,"En Progreso","Pendiente de ejecutar")))</f>
        <v>Completado</v>
      </c>
      <c r="L143" s="6" t="s">
        <v>323</v>
      </c>
      <c r="M143" s="6" t="s">
        <v>320</v>
      </c>
    </row>
    <row r="144" spans="1:13" hidden="1" x14ac:dyDescent="0.35">
      <c r="A144" s="20" t="s">
        <v>49</v>
      </c>
      <c r="B144" s="11" t="s">
        <v>319</v>
      </c>
      <c r="C144" s="20" t="s">
        <v>50</v>
      </c>
      <c r="D144" s="20" t="s">
        <v>51</v>
      </c>
      <c r="E144" s="13">
        <v>189000</v>
      </c>
      <c r="F144" s="13">
        <f>23075.48+9500</f>
        <v>32575.48</v>
      </c>
      <c r="G144" s="14">
        <v>76000</v>
      </c>
      <c r="H144" s="40">
        <f>F215+G144</f>
        <v>76000</v>
      </c>
      <c r="I144" s="47" t="e">
        <f>#REF!-H144</f>
        <v>#REF!</v>
      </c>
      <c r="J144" s="17">
        <f>IFERROR(H144/#REF!,0)</f>
        <v>0</v>
      </c>
      <c r="K144" s="18" t="e">
        <f>IF(#REF!=0,"Sin Plan",IF(J144&gt;=1,"Completado",IF(J144&gt;0.001,"En Progreso","Pendiente de ejecutar")))</f>
        <v>#REF!</v>
      </c>
      <c r="L144" s="6" t="s">
        <v>323</v>
      </c>
      <c r="M144" s="6" t="s">
        <v>318</v>
      </c>
    </row>
    <row r="145" spans="1:13" hidden="1" x14ac:dyDescent="0.35">
      <c r="A145" s="11" t="s">
        <v>49</v>
      </c>
      <c r="B145" s="11" t="s">
        <v>319</v>
      </c>
      <c r="C145" s="11" t="s">
        <v>13</v>
      </c>
      <c r="D145" s="11" t="s">
        <v>14</v>
      </c>
      <c r="E145" s="14">
        <v>685000</v>
      </c>
      <c r="F145" s="14">
        <v>0</v>
      </c>
      <c r="G145" s="14">
        <v>448100</v>
      </c>
      <c r="H145" s="40">
        <f>F216+G145</f>
        <v>529750</v>
      </c>
      <c r="I145" s="47">
        <f>E145-H145</f>
        <v>155250</v>
      </c>
      <c r="J145" s="17">
        <f>IFERROR(H145/E145,0)</f>
        <v>0.77335766423357666</v>
      </c>
      <c r="K145" s="18" t="str">
        <f>IF(E145=0,"Sin Plan",IF(J145&gt;=1,"Completado",IF(J145&gt;0.001,"En Progreso","Pendiente de ejecutar")))</f>
        <v>En Progreso</v>
      </c>
      <c r="L145" s="6" t="s">
        <v>323</v>
      </c>
      <c r="M145" s="6" t="s">
        <v>320</v>
      </c>
    </row>
    <row r="146" spans="1:13" hidden="1" x14ac:dyDescent="0.35">
      <c r="A146" s="49" t="s">
        <v>49</v>
      </c>
      <c r="B146" s="29" t="s">
        <v>319</v>
      </c>
      <c r="C146" s="19" t="s">
        <v>29</v>
      </c>
      <c r="D146" s="49" t="s">
        <v>30</v>
      </c>
      <c r="E146" s="40">
        <v>70000</v>
      </c>
      <c r="F146" s="40">
        <v>0</v>
      </c>
      <c r="G146" s="40">
        <v>0</v>
      </c>
      <c r="H146" s="40">
        <f>F217+G146</f>
        <v>0</v>
      </c>
      <c r="I146" s="47">
        <f>E146-H146</f>
        <v>70000</v>
      </c>
      <c r="J146" s="17">
        <f>IFERROR(H146/E146,0)</f>
        <v>0</v>
      </c>
      <c r="K146" s="18" t="str">
        <f>IF(E146=0,"Sin Plan",IF(J146&gt;=1,"Completado",IF(J146&gt;0.001,"En Progreso","Pendiente de ejecutar")))</f>
        <v>Pendiente de ejecutar</v>
      </c>
      <c r="L146" s="71" t="s">
        <v>323</v>
      </c>
      <c r="M146" s="6" t="s">
        <v>320</v>
      </c>
    </row>
    <row r="147" spans="1:13" hidden="1" x14ac:dyDescent="0.35">
      <c r="A147" s="20" t="s">
        <v>52</v>
      </c>
      <c r="B147" s="11" t="s">
        <v>319</v>
      </c>
      <c r="C147" s="20" t="s">
        <v>47</v>
      </c>
      <c r="D147" s="20" t="s">
        <v>48</v>
      </c>
      <c r="E147" s="14">
        <v>132300</v>
      </c>
      <c r="F147" s="15">
        <v>136751.45000000001</v>
      </c>
      <c r="G147" s="36">
        <v>246624.75</v>
      </c>
      <c r="H147" s="40">
        <f>F147+G147</f>
        <v>383376.2</v>
      </c>
      <c r="I147" s="47">
        <f>E147-H147</f>
        <v>-251076.2</v>
      </c>
      <c r="J147" s="17">
        <f>IFERROR(H147/E147,0)</f>
        <v>2.8977792894935752</v>
      </c>
      <c r="K147" s="18" t="str">
        <f>IF(E147=0,"Sin Plan",IF(J147&gt;=1,"Completado",IF(J147&gt;0.001,"En Progreso","Pendiente de ejecutar")))</f>
        <v>Completado</v>
      </c>
      <c r="L147" s="6" t="s">
        <v>323</v>
      </c>
      <c r="M147" s="6" t="s">
        <v>320</v>
      </c>
    </row>
    <row r="148" spans="1:13" hidden="1" x14ac:dyDescent="0.35">
      <c r="A148" s="20" t="s">
        <v>52</v>
      </c>
      <c r="B148" s="11" t="s">
        <v>319</v>
      </c>
      <c r="C148" s="20"/>
      <c r="D148" s="20" t="s">
        <v>330</v>
      </c>
      <c r="E148" s="14"/>
      <c r="F148" s="14"/>
      <c r="G148" s="14">
        <v>49540.959999999999</v>
      </c>
      <c r="H148" s="40">
        <f>F148+G148</f>
        <v>49540.959999999999</v>
      </c>
      <c r="I148" s="47">
        <f>E148-H148</f>
        <v>-49540.959999999999</v>
      </c>
      <c r="J148" s="17">
        <f>IFERROR(H148/E148,0)</f>
        <v>0</v>
      </c>
      <c r="K148" s="18" t="str">
        <f>IF(E148=0,"Sin Plan",IF(J148&gt;=1,"Completado",IF(J148&gt;0.001,"En Progreso","Pendiente de ejecutar")))</f>
        <v>Sin Plan</v>
      </c>
      <c r="L148" s="6" t="s">
        <v>323</v>
      </c>
      <c r="M148" s="6"/>
    </row>
    <row r="149" spans="1:13" hidden="1" x14ac:dyDescent="0.35">
      <c r="A149" s="20" t="s">
        <v>52</v>
      </c>
      <c r="B149" s="11" t="s">
        <v>319</v>
      </c>
      <c r="C149" s="20" t="s">
        <v>53</v>
      </c>
      <c r="D149" s="20" t="s">
        <v>54</v>
      </c>
      <c r="E149" s="14">
        <v>52000</v>
      </c>
      <c r="F149" s="15">
        <f>25662.27*2</f>
        <v>51324.54</v>
      </c>
      <c r="G149" s="14">
        <v>0</v>
      </c>
      <c r="H149" s="40">
        <f>F149+G149</f>
        <v>51324.54</v>
      </c>
      <c r="I149" s="47">
        <f>E149-H149</f>
        <v>675.45999999999913</v>
      </c>
      <c r="J149" s="17">
        <f>IFERROR(H149/E149,0)</f>
        <v>0.9870103846153846</v>
      </c>
      <c r="K149" s="18" t="str">
        <f>IF(E149=0,"Sin Plan",IF(J149&gt;=1,"Completado",IF(J149&gt;0.001,"En Progreso","Pendiente de ejecutar")))</f>
        <v>En Progreso</v>
      </c>
      <c r="L149" s="6" t="s">
        <v>323</v>
      </c>
      <c r="M149" s="6" t="s">
        <v>320</v>
      </c>
    </row>
    <row r="150" spans="1:13" hidden="1" x14ac:dyDescent="0.35">
      <c r="A150" s="11" t="s">
        <v>156</v>
      </c>
      <c r="B150" s="11" t="s">
        <v>319</v>
      </c>
      <c r="C150" s="11" t="s">
        <v>157</v>
      </c>
      <c r="D150" s="11" t="s">
        <v>158</v>
      </c>
      <c r="E150" s="14">
        <v>640000</v>
      </c>
      <c r="F150" s="14">
        <v>581133.9</v>
      </c>
      <c r="G150" s="14">
        <v>0</v>
      </c>
      <c r="H150" s="40">
        <f>F150+G150</f>
        <v>581133.9</v>
      </c>
      <c r="I150" s="47">
        <f>E150-H150</f>
        <v>58866.099999999977</v>
      </c>
      <c r="J150" s="17">
        <f>IFERROR(H150/E150,0)</f>
        <v>0.90802171875000004</v>
      </c>
      <c r="K150" s="18" t="str">
        <f>IF(E150=0,"Sin Plan",IF(J150&gt;=1,"Completado",IF(J150&gt;0.001,"En Progreso","Pendiente de ejecutar")))</f>
        <v>En Progreso</v>
      </c>
      <c r="L150" s="6" t="s">
        <v>321</v>
      </c>
      <c r="M150" s="6" t="s">
        <v>320</v>
      </c>
    </row>
    <row r="151" spans="1:13" hidden="1" x14ac:dyDescent="0.35">
      <c r="A151" s="19" t="s">
        <v>52</v>
      </c>
      <c r="B151" s="11" t="s">
        <v>319</v>
      </c>
      <c r="C151" s="19" t="s">
        <v>55</v>
      </c>
      <c r="D151" s="19" t="s">
        <v>56</v>
      </c>
      <c r="E151" s="13">
        <v>0</v>
      </c>
      <c r="F151" s="15">
        <v>61286.400000000001</v>
      </c>
      <c r="G151" s="13">
        <v>0</v>
      </c>
      <c r="H151" s="40">
        <f>F151+G151</f>
        <v>61286.400000000001</v>
      </c>
      <c r="I151" s="47">
        <f>E151-H151</f>
        <v>-61286.400000000001</v>
      </c>
      <c r="J151" s="17">
        <f>IFERROR(H151/E151,0)</f>
        <v>0</v>
      </c>
      <c r="K151" s="18" t="str">
        <f>IF(E151=0,"Sin Plan",IF(J151&gt;=1,"Completado",IF(J151&gt;0.001,"En Progreso","Pendiente de ejecutar")))</f>
        <v>Sin Plan</v>
      </c>
      <c r="L151" s="6" t="s">
        <v>323</v>
      </c>
      <c r="M151" s="6" t="s">
        <v>318</v>
      </c>
    </row>
    <row r="152" spans="1:13" hidden="1" x14ac:dyDescent="0.35">
      <c r="A152" s="92" t="s">
        <v>146</v>
      </c>
      <c r="B152" s="20"/>
      <c r="C152" s="22"/>
      <c r="D152" s="22" t="s">
        <v>325</v>
      </c>
      <c r="E152" s="14">
        <v>-2852367</v>
      </c>
      <c r="F152" s="14"/>
      <c r="G152" s="14"/>
      <c r="H152" s="40">
        <f>F152+G641</f>
        <v>0</v>
      </c>
      <c r="I152" s="37">
        <f>E152-H152</f>
        <v>-2852367</v>
      </c>
      <c r="J152" s="17"/>
      <c r="K152" s="18"/>
      <c r="L152" s="6" t="s">
        <v>323</v>
      </c>
      <c r="M152" s="6"/>
    </row>
    <row r="153" spans="1:13" hidden="1" x14ac:dyDescent="0.35">
      <c r="A153" s="19" t="s">
        <v>57</v>
      </c>
      <c r="B153" s="11" t="s">
        <v>319</v>
      </c>
      <c r="C153" s="19" t="s">
        <v>13</v>
      </c>
      <c r="D153" s="19" t="s">
        <v>14</v>
      </c>
      <c r="E153" s="13">
        <v>685000</v>
      </c>
      <c r="F153" s="13">
        <v>0</v>
      </c>
      <c r="G153" s="13">
        <v>847500</v>
      </c>
      <c r="H153" s="40">
        <f>F153+G153</f>
        <v>847500</v>
      </c>
      <c r="I153" s="47">
        <f>E153-H153</f>
        <v>-162500</v>
      </c>
      <c r="J153" s="17">
        <f>IFERROR(H153/E153,0)</f>
        <v>1.2372262773722629</v>
      </c>
      <c r="K153" s="18" t="str">
        <f>IF(E153=0,"Sin Plan",IF(J153&gt;=1,"Completado",IF(J153&gt;0.001,"En Progreso","Pendiente de ejecutar")))</f>
        <v>Completado</v>
      </c>
      <c r="L153" s="6" t="s">
        <v>323</v>
      </c>
      <c r="M153" s="6" t="s">
        <v>320</v>
      </c>
    </row>
    <row r="154" spans="1:13" hidden="1" x14ac:dyDescent="0.35">
      <c r="A154" s="11" t="s">
        <v>57</v>
      </c>
      <c r="B154" s="11" t="s">
        <v>319</v>
      </c>
      <c r="C154" s="11" t="s">
        <v>47</v>
      </c>
      <c r="D154" s="11" t="s">
        <v>48</v>
      </c>
      <c r="E154" s="13">
        <v>120000</v>
      </c>
      <c r="F154" s="13">
        <v>136751.45000000001</v>
      </c>
      <c r="G154" s="13">
        <v>0</v>
      </c>
      <c r="H154" s="40">
        <f>F154+G154</f>
        <v>136751.45000000001</v>
      </c>
      <c r="I154" s="47">
        <f>E154-H154</f>
        <v>-16751.450000000012</v>
      </c>
      <c r="J154" s="17">
        <f>IFERROR(H154/E154,0)</f>
        <v>1.1395954166666669</v>
      </c>
      <c r="K154" s="18" t="str">
        <f>IF(E154=0,"Sin Plan",IF(J154&gt;=1,"Completado",IF(J154&gt;0.001,"En Progreso","Pendiente de ejecutar")))</f>
        <v>Completado</v>
      </c>
      <c r="L154" s="6" t="s">
        <v>323</v>
      </c>
      <c r="M154" s="6" t="s">
        <v>320</v>
      </c>
    </row>
    <row r="155" spans="1:13" hidden="1" x14ac:dyDescent="0.35">
      <c r="A155" s="55" t="s">
        <v>65</v>
      </c>
      <c r="B155" s="11" t="s">
        <v>319</v>
      </c>
      <c r="C155" s="11" t="s">
        <v>66</v>
      </c>
      <c r="D155" s="11" t="s">
        <v>67</v>
      </c>
      <c r="E155" s="14">
        <v>130000</v>
      </c>
      <c r="F155" s="14">
        <v>0</v>
      </c>
      <c r="G155" s="14">
        <v>138246.07</v>
      </c>
      <c r="H155" s="40">
        <f>F155+G155</f>
        <v>138246.07</v>
      </c>
      <c r="I155" s="47">
        <f>E155-H155</f>
        <v>-8246.070000000007</v>
      </c>
      <c r="J155" s="17">
        <f>IFERROR(H155/E155,0)</f>
        <v>1.0634313076923076</v>
      </c>
      <c r="K155" s="18" t="str">
        <f>IF(E155=0,"Sin Plan",IF(J155&gt;=1,"Completado",IF(J155&gt;0.001,"En Progreso","Pendiente de ejecutar")))</f>
        <v>Completado</v>
      </c>
      <c r="L155" s="6" t="s">
        <v>323</v>
      </c>
      <c r="M155" s="6" t="s">
        <v>320</v>
      </c>
    </row>
    <row r="156" spans="1:13" hidden="1" x14ac:dyDescent="0.35">
      <c r="A156" s="56" t="s">
        <v>65</v>
      </c>
      <c r="B156" s="11" t="s">
        <v>319</v>
      </c>
      <c r="C156" s="19" t="s">
        <v>68</v>
      </c>
      <c r="D156" s="19" t="s">
        <v>69</v>
      </c>
      <c r="E156" s="13">
        <v>39000</v>
      </c>
      <c r="F156" s="13">
        <v>29850</v>
      </c>
      <c r="G156" s="13">
        <v>0</v>
      </c>
      <c r="H156" s="40">
        <f>F156+G156</f>
        <v>29850</v>
      </c>
      <c r="I156" s="47">
        <f>E156-H156</f>
        <v>9150</v>
      </c>
      <c r="J156" s="17">
        <f>IFERROR(H156/E156,0)</f>
        <v>0.76538461538461533</v>
      </c>
      <c r="K156" s="18" t="str">
        <f>IF(E156=0,"Sin Plan",IF(J156&gt;=1,"Completado",IF(J156&gt;0.001,"En Progreso","Pendiente de ejecutar")))</f>
        <v>En Progreso</v>
      </c>
      <c r="L156" s="6" t="s">
        <v>323</v>
      </c>
      <c r="M156" s="6" t="s">
        <v>320</v>
      </c>
    </row>
    <row r="157" spans="1:13" hidden="1" x14ac:dyDescent="0.35">
      <c r="A157" s="55" t="s">
        <v>65</v>
      </c>
      <c r="B157" s="11" t="s">
        <v>319</v>
      </c>
      <c r="C157" s="11" t="s">
        <v>13</v>
      </c>
      <c r="D157" s="11" t="s">
        <v>14</v>
      </c>
      <c r="E157" s="14">
        <v>685000</v>
      </c>
      <c r="F157" s="14">
        <v>0</v>
      </c>
      <c r="G157" s="14">
        <v>872100</v>
      </c>
      <c r="H157" s="40">
        <f>F157+G157</f>
        <v>872100</v>
      </c>
      <c r="I157" s="47">
        <f>E157-H157</f>
        <v>-187100</v>
      </c>
      <c r="J157" s="17">
        <f>IFERROR(H157/E157,0)</f>
        <v>1.2731386861313869</v>
      </c>
      <c r="K157" s="18" t="str">
        <f>IF(E157=0,"Sin Plan",IF(J157&gt;=1,"Completado",IF(J157&gt;0.001,"En Progreso","Pendiente de ejecutar")))</f>
        <v>Completado</v>
      </c>
      <c r="L157" s="6" t="s">
        <v>323</v>
      </c>
      <c r="M157" s="6" t="s">
        <v>320</v>
      </c>
    </row>
    <row r="158" spans="1:13" hidden="1" x14ac:dyDescent="0.35">
      <c r="A158" s="19" t="s">
        <v>70</v>
      </c>
      <c r="B158" s="11" t="s">
        <v>319</v>
      </c>
      <c r="C158" s="19" t="s">
        <v>13</v>
      </c>
      <c r="D158" s="19" t="s">
        <v>14</v>
      </c>
      <c r="E158" s="13">
        <v>685000</v>
      </c>
      <c r="F158" s="13">
        <v>0</v>
      </c>
      <c r="G158" s="13">
        <v>768100</v>
      </c>
      <c r="H158" s="40">
        <f>F158+G158</f>
        <v>768100</v>
      </c>
      <c r="I158" s="47">
        <f>E158-H158</f>
        <v>-83100</v>
      </c>
      <c r="J158" s="17">
        <f>IFERROR(H158/E158,0)</f>
        <v>1.1213138686131388</v>
      </c>
      <c r="K158" s="18" t="str">
        <f>IF(E158=0,"Sin Plan",IF(J158&gt;=1,"Completado",IF(J158&gt;0.001,"En Progreso","Pendiente de ejecutar")))</f>
        <v>Completado</v>
      </c>
      <c r="L158" s="6" t="s">
        <v>323</v>
      </c>
      <c r="M158" s="6" t="s">
        <v>320</v>
      </c>
    </row>
    <row r="159" spans="1:13" x14ac:dyDescent="0.35">
      <c r="A159" s="29" t="s">
        <v>204</v>
      </c>
      <c r="B159" s="11" t="s">
        <v>205</v>
      </c>
      <c r="C159" s="11" t="s">
        <v>71</v>
      </c>
      <c r="D159" s="29" t="s">
        <v>390</v>
      </c>
      <c r="E159" s="41">
        <v>0</v>
      </c>
      <c r="F159" s="100">
        <v>0</v>
      </c>
      <c r="G159" s="36">
        <v>122539.2</v>
      </c>
      <c r="H159" s="40">
        <f>F159+G159</f>
        <v>122539.2</v>
      </c>
      <c r="I159" s="47">
        <f>E159-H159</f>
        <v>-122539.2</v>
      </c>
      <c r="J159" s="17">
        <f>IFERROR(H159/E159,0)</f>
        <v>0</v>
      </c>
      <c r="K159" s="18" t="str">
        <f>IF(E159=0,"Sin Plan",IF(J159&gt;=1,"Completado",IF(J159&gt;0.001,"En Progreso","Pendiente de ejecutar")))</f>
        <v>Sin Plan</v>
      </c>
      <c r="L159" s="6" t="s">
        <v>323</v>
      </c>
      <c r="M159" s="6" t="s">
        <v>318</v>
      </c>
    </row>
    <row r="160" spans="1:13" hidden="1" x14ac:dyDescent="0.35">
      <c r="A160" s="20" t="s">
        <v>225</v>
      </c>
      <c r="B160" s="11" t="s">
        <v>205</v>
      </c>
      <c r="C160" s="20" t="s">
        <v>90</v>
      </c>
      <c r="D160" s="20" t="s">
        <v>91</v>
      </c>
      <c r="E160" s="14">
        <v>680000</v>
      </c>
      <c r="F160" s="14">
        <v>0</v>
      </c>
      <c r="G160" s="14">
        <v>691339.04</v>
      </c>
      <c r="H160" s="40">
        <f>F160+G160</f>
        <v>691339.04</v>
      </c>
      <c r="I160" s="47">
        <f>E160-H160</f>
        <v>-11339.040000000037</v>
      </c>
      <c r="J160" s="17">
        <f>IFERROR(H160/E160,0)</f>
        <v>1.0166750588235294</v>
      </c>
      <c r="K160" s="18" t="str">
        <f>IF(E160=0,"Sin Plan",IF(J160&gt;=1,"Completado",IF(J160&gt;0.001,"En Progreso","Pendiente de ejecutar")))</f>
        <v>Completado</v>
      </c>
      <c r="L160" s="6" t="s">
        <v>323</v>
      </c>
      <c r="M160" s="6" t="s">
        <v>320</v>
      </c>
    </row>
    <row r="161" spans="1:13" hidden="1" x14ac:dyDescent="0.35">
      <c r="A161" s="29" t="s">
        <v>70</v>
      </c>
      <c r="B161" s="29" t="s">
        <v>319</v>
      </c>
      <c r="C161" s="11" t="s">
        <v>71</v>
      </c>
      <c r="D161" s="29" t="s">
        <v>72</v>
      </c>
      <c r="E161" s="40">
        <v>105000</v>
      </c>
      <c r="F161" s="40">
        <v>0</v>
      </c>
      <c r="G161" s="40">
        <v>0</v>
      </c>
      <c r="H161" s="40">
        <f>F161+G161</f>
        <v>0</v>
      </c>
      <c r="I161" s="47">
        <f>E161-H161</f>
        <v>105000</v>
      </c>
      <c r="J161" s="17">
        <f>IFERROR(H161/E161,0)</f>
        <v>0</v>
      </c>
      <c r="K161" s="18" t="str">
        <f>IF(E161=0,"Sin Plan",IF(J161&gt;=1,"Completado",IF(J161&gt;0.001,"En Progreso","Pendiente de ejecutar")))</f>
        <v>Pendiente de ejecutar</v>
      </c>
      <c r="L161" s="71" t="s">
        <v>323</v>
      </c>
      <c r="M161" s="6" t="s">
        <v>320</v>
      </c>
    </row>
    <row r="162" spans="1:13" hidden="1" x14ac:dyDescent="0.35">
      <c r="A162" s="20" t="s">
        <v>207</v>
      </c>
      <c r="B162" s="11" t="s">
        <v>205</v>
      </c>
      <c r="C162" s="20" t="s">
        <v>196</v>
      </c>
      <c r="D162" s="20" t="s">
        <v>197</v>
      </c>
      <c r="E162" s="14">
        <v>650000</v>
      </c>
      <c r="F162" s="14">
        <f>98659.84*2</f>
        <v>197319.67999999999</v>
      </c>
      <c r="G162" s="14">
        <v>0</v>
      </c>
      <c r="H162" s="40">
        <f>F162+G162</f>
        <v>197319.67999999999</v>
      </c>
      <c r="I162" s="47">
        <f>E162-H162</f>
        <v>452680.32</v>
      </c>
      <c r="J162" s="17">
        <f>IFERROR(H162/E162,0)</f>
        <v>0.30356873846153842</v>
      </c>
      <c r="K162" s="18" t="str">
        <f>IF(E162=0,"Sin Plan",IF(J162&gt;=1,"Completado",IF(J162&gt;0.001,"En Progreso","Pendiente de ejecutar")))</f>
        <v>En Progreso</v>
      </c>
      <c r="L162" s="6" t="s">
        <v>323</v>
      </c>
      <c r="M162" s="6" t="s">
        <v>320</v>
      </c>
    </row>
    <row r="163" spans="1:13" hidden="1" x14ac:dyDescent="0.35">
      <c r="A163" s="54" t="s">
        <v>73</v>
      </c>
      <c r="B163" s="11" t="s">
        <v>319</v>
      </c>
      <c r="C163" s="20" t="s">
        <v>66</v>
      </c>
      <c r="D163" s="20" t="s">
        <v>67</v>
      </c>
      <c r="E163" s="14">
        <v>228000</v>
      </c>
      <c r="F163" s="14">
        <v>0</v>
      </c>
      <c r="G163" s="14">
        <v>134924.26</v>
      </c>
      <c r="H163" s="40">
        <f>F163+G163</f>
        <v>134924.26</v>
      </c>
      <c r="I163" s="47">
        <f>E163-H163</f>
        <v>93075.739999999991</v>
      </c>
      <c r="J163" s="17">
        <f>IFERROR(H163/E163,0)</f>
        <v>0.59177307017543868</v>
      </c>
      <c r="K163" s="18" t="str">
        <f>IF(E163=0,"Sin Plan",IF(J163&gt;=1,"Completado",IF(J163&gt;0.001,"En Progreso","Pendiente de ejecutar")))</f>
        <v>En Progreso</v>
      </c>
      <c r="L163" s="6" t="s">
        <v>323</v>
      </c>
      <c r="M163" s="6" t="s">
        <v>320</v>
      </c>
    </row>
    <row r="164" spans="1:13" hidden="1" x14ac:dyDescent="0.35">
      <c r="A164" s="11" t="s">
        <v>295</v>
      </c>
      <c r="B164" s="11" t="s">
        <v>205</v>
      </c>
      <c r="C164" s="11" t="s">
        <v>133</v>
      </c>
      <c r="D164" s="11" t="s">
        <v>134</v>
      </c>
      <c r="E164" s="13">
        <v>630000</v>
      </c>
      <c r="F164" s="13">
        <v>0</v>
      </c>
      <c r="G164" s="13">
        <v>0</v>
      </c>
      <c r="H164" s="40">
        <f>F164+G164</f>
        <v>0</v>
      </c>
      <c r="I164" s="47">
        <f>E164-H164</f>
        <v>630000</v>
      </c>
      <c r="J164" s="17">
        <f>IFERROR(H164/E164,0)</f>
        <v>0</v>
      </c>
      <c r="K164" s="18" t="str">
        <f>IF(E164=0,"Sin Plan",IF(J164&gt;=1,"Completado",IF(J164&gt;0.001,"En Progreso","Pendiente de ejecutar")))</f>
        <v>Pendiente de ejecutar</v>
      </c>
      <c r="L164" s="6" t="s">
        <v>323</v>
      </c>
      <c r="M164" s="6" t="s">
        <v>320</v>
      </c>
    </row>
    <row r="165" spans="1:13" hidden="1" x14ac:dyDescent="0.35">
      <c r="A165" s="19" t="s">
        <v>143</v>
      </c>
      <c r="B165" s="11" t="s">
        <v>128</v>
      </c>
      <c r="C165" s="19" t="s">
        <v>39</v>
      </c>
      <c r="D165" s="19" t="s">
        <v>40</v>
      </c>
      <c r="E165" s="13">
        <v>625000</v>
      </c>
      <c r="F165" s="13">
        <v>0</v>
      </c>
      <c r="G165" s="13">
        <v>924797.13</v>
      </c>
      <c r="H165" s="40">
        <f>F165+G165</f>
        <v>924797.13</v>
      </c>
      <c r="I165" s="47">
        <f>E165-H165</f>
        <v>-299797.13</v>
      </c>
      <c r="J165" s="17">
        <f>IFERROR(H165/E165,0)</f>
        <v>1.4796754080000001</v>
      </c>
      <c r="K165" s="18" t="str">
        <f>IF(E165=0,"Sin Plan",IF(J165&gt;=1,"Completado",IF(J165&gt;0.001,"En Progreso","Pendiente de ejecutar")))</f>
        <v>Completado</v>
      </c>
      <c r="L165" s="6" t="s">
        <v>321</v>
      </c>
      <c r="M165" s="6" t="s">
        <v>320</v>
      </c>
    </row>
    <row r="166" spans="1:13" hidden="1" x14ac:dyDescent="0.35">
      <c r="A166" s="20" t="s">
        <v>209</v>
      </c>
      <c r="B166" s="11" t="s">
        <v>205</v>
      </c>
      <c r="C166" s="20" t="s">
        <v>23</v>
      </c>
      <c r="D166" s="20" t="s">
        <v>24</v>
      </c>
      <c r="E166" s="14">
        <v>588000</v>
      </c>
      <c r="F166" s="14">
        <v>0</v>
      </c>
      <c r="G166" s="14">
        <v>0</v>
      </c>
      <c r="H166" s="40">
        <f>F166+G166</f>
        <v>0</v>
      </c>
      <c r="I166" s="47">
        <f>E166-H166</f>
        <v>588000</v>
      </c>
      <c r="J166" s="17">
        <f>IFERROR(H166/E166,0)</f>
        <v>0</v>
      </c>
      <c r="K166" s="18" t="str">
        <f>IF(E166=0,"Sin Plan",IF(J166&gt;=1,"Completado",IF(J166&gt;0.001,"En Progreso","Pendiente de ejecutar")))</f>
        <v>Pendiente de ejecutar</v>
      </c>
      <c r="L166" s="6" t="s">
        <v>321</v>
      </c>
      <c r="M166" s="6" t="s">
        <v>320</v>
      </c>
    </row>
    <row r="167" spans="1:13" hidden="1" x14ac:dyDescent="0.35">
      <c r="A167" s="19" t="s">
        <v>257</v>
      </c>
      <c r="B167" s="11" t="s">
        <v>205</v>
      </c>
      <c r="C167" s="11" t="s">
        <v>23</v>
      </c>
      <c r="D167" s="11" t="s">
        <v>24</v>
      </c>
      <c r="E167" s="13">
        <v>572000</v>
      </c>
      <c r="F167" s="13">
        <v>0</v>
      </c>
      <c r="G167" s="13">
        <v>940359.18</v>
      </c>
      <c r="H167" s="40">
        <f>F167+G167</f>
        <v>940359.18</v>
      </c>
      <c r="I167" s="47">
        <f>E167-H167</f>
        <v>-368359.18000000005</v>
      </c>
      <c r="J167" s="17">
        <f>IFERROR(H167/E167,0)</f>
        <v>1.6439845804195805</v>
      </c>
      <c r="K167" s="18" t="str">
        <f>IF(E167=0,"Sin Plan",IF(J167&gt;=1,"Completado",IF(J167&gt;0.001,"En Progreso","Pendiente de ejecutar")))</f>
        <v>Completado</v>
      </c>
      <c r="L167" s="6" t="s">
        <v>321</v>
      </c>
      <c r="M167" s="6" t="s">
        <v>320</v>
      </c>
    </row>
    <row r="168" spans="1:13" hidden="1" x14ac:dyDescent="0.35">
      <c r="A168" s="55" t="s">
        <v>73</v>
      </c>
      <c r="B168" s="11" t="s">
        <v>319</v>
      </c>
      <c r="C168" s="11" t="s">
        <v>44</v>
      </c>
      <c r="D168" s="11" t="s">
        <v>45</v>
      </c>
      <c r="E168" s="13">
        <v>0</v>
      </c>
      <c r="F168" s="13">
        <v>42697.2</v>
      </c>
      <c r="G168" s="13">
        <v>0</v>
      </c>
      <c r="H168" s="40">
        <f>F168+G168</f>
        <v>42697.2</v>
      </c>
      <c r="I168" s="47">
        <f>E168-H168</f>
        <v>-42697.2</v>
      </c>
      <c r="J168" s="17">
        <f>IFERROR(H168/E168,0)</f>
        <v>0</v>
      </c>
      <c r="K168" s="18" t="str">
        <f>IF(E168=0,"Sin Plan",IF(J168&gt;=1,"Completado",IF(J168&gt;0.001,"En Progreso","Pendiente de ejecutar")))</f>
        <v>Sin Plan</v>
      </c>
      <c r="L168" s="6" t="s">
        <v>323</v>
      </c>
      <c r="M168" s="6" t="s">
        <v>318</v>
      </c>
    </row>
    <row r="169" spans="1:13" hidden="1" x14ac:dyDescent="0.35">
      <c r="A169" s="11" t="s">
        <v>169</v>
      </c>
      <c r="B169" s="11" t="s">
        <v>205</v>
      </c>
      <c r="C169" s="11" t="s">
        <v>78</v>
      </c>
      <c r="D169" s="11" t="s">
        <v>79</v>
      </c>
      <c r="E169" s="13">
        <v>560000</v>
      </c>
      <c r="F169" s="13"/>
      <c r="G169" s="35">
        <v>537231.13</v>
      </c>
      <c r="H169" s="40">
        <f>F169+G169</f>
        <v>537231.13</v>
      </c>
      <c r="I169" s="47">
        <f>E169-H169</f>
        <v>22768.869999999995</v>
      </c>
      <c r="J169" s="17">
        <f>IFERROR(H169/E169,0)</f>
        <v>0.95934130357142855</v>
      </c>
      <c r="K169" s="18" t="str">
        <f>IF(E169=0,"Sin Plan",IF(J169&gt;=1,"Completado",IF(J169&gt;0.001,"En Progreso","Pendiente de ejecutar")))</f>
        <v>En Progreso</v>
      </c>
      <c r="L169" s="6" t="s">
        <v>323</v>
      </c>
      <c r="M169" s="6" t="s">
        <v>320</v>
      </c>
    </row>
    <row r="170" spans="1:13" hidden="1" x14ac:dyDescent="0.35">
      <c r="A170" s="19" t="s">
        <v>146</v>
      </c>
      <c r="B170" s="19" t="s">
        <v>147</v>
      </c>
      <c r="C170" s="19" t="s">
        <v>21</v>
      </c>
      <c r="D170" s="19" t="s">
        <v>22</v>
      </c>
      <c r="E170" s="13">
        <v>550000</v>
      </c>
      <c r="F170" s="13"/>
      <c r="G170" s="13"/>
      <c r="H170" s="40">
        <f>F170+G647</f>
        <v>136475.6</v>
      </c>
      <c r="I170" s="47">
        <f>E170-H170</f>
        <v>413524.4</v>
      </c>
      <c r="J170" s="17">
        <f>IFERROR(H170/E170,0)</f>
        <v>0.24813745454545455</v>
      </c>
      <c r="K170" s="18" t="str">
        <f>IF(E170=0,"Sin Plan",IF(J170&gt;=1,"Completado",IF(J170&gt;0.001,"En Progreso","Pendiente de ejecutar")))</f>
        <v>En Progreso</v>
      </c>
      <c r="L170" s="6" t="s">
        <v>321</v>
      </c>
      <c r="M170" s="6" t="s">
        <v>320</v>
      </c>
    </row>
    <row r="171" spans="1:13" hidden="1" x14ac:dyDescent="0.35">
      <c r="A171" s="11" t="s">
        <v>74</v>
      </c>
      <c r="B171" s="11" t="s">
        <v>319</v>
      </c>
      <c r="C171" s="22"/>
      <c r="D171" s="22" t="s">
        <v>75</v>
      </c>
      <c r="E171" s="14">
        <v>0</v>
      </c>
      <c r="F171" s="14">
        <v>40082.92</v>
      </c>
      <c r="G171" s="14"/>
      <c r="H171" s="40">
        <f>F171+G171</f>
        <v>40082.92</v>
      </c>
      <c r="I171" s="47">
        <f>E171-H171</f>
        <v>-40082.92</v>
      </c>
      <c r="J171" s="17">
        <f>IFERROR(H171/E171,0)</f>
        <v>0</v>
      </c>
      <c r="K171" s="18" t="str">
        <f>IF(E171=0,"Sin Plan",IF(J171&gt;=1,"Completado",IF(J171&gt;0.001,"En Progreso","Pendiente de ejecutar")))</f>
        <v>Sin Plan</v>
      </c>
      <c r="L171" s="6" t="s">
        <v>323</v>
      </c>
      <c r="M171" s="6" t="s">
        <v>318</v>
      </c>
    </row>
    <row r="172" spans="1:13" hidden="1" x14ac:dyDescent="0.35">
      <c r="A172" s="28" t="s">
        <v>248</v>
      </c>
      <c r="B172" s="11" t="s">
        <v>205</v>
      </c>
      <c r="C172" s="29" t="s">
        <v>90</v>
      </c>
      <c r="D172" s="29" t="s">
        <v>91</v>
      </c>
      <c r="E172" s="25">
        <v>520000</v>
      </c>
      <c r="F172" s="25">
        <v>0</v>
      </c>
      <c r="G172" s="25">
        <f>137983.9*2</f>
        <v>275967.8</v>
      </c>
      <c r="H172" s="40">
        <f>F172+G172</f>
        <v>275967.8</v>
      </c>
      <c r="I172" s="47">
        <f>E172-H172</f>
        <v>244032.2</v>
      </c>
      <c r="J172" s="17">
        <f>IFERROR(H172/E172,0)</f>
        <v>0.53070730769230767</v>
      </c>
      <c r="K172" s="18" t="str">
        <f>IF(E172=0,"Sin Plan",IF(J172&gt;=1,"Completado",IF(J172&gt;0.001,"En Progreso","Pendiente de ejecutar")))</f>
        <v>En Progreso</v>
      </c>
      <c r="L172" s="6" t="s">
        <v>323</v>
      </c>
      <c r="M172" s="6" t="s">
        <v>320</v>
      </c>
    </row>
    <row r="173" spans="1:13" hidden="1" x14ac:dyDescent="0.35">
      <c r="A173" s="55" t="s">
        <v>76</v>
      </c>
      <c r="B173" s="11" t="s">
        <v>319</v>
      </c>
      <c r="C173" s="11" t="s">
        <v>13</v>
      </c>
      <c r="D173" s="11" t="s">
        <v>14</v>
      </c>
      <c r="E173" s="13">
        <v>685000</v>
      </c>
      <c r="F173" s="13">
        <v>0</v>
      </c>
      <c r="G173" s="13">
        <v>746100</v>
      </c>
      <c r="H173" s="40">
        <f>F173+G173</f>
        <v>746100</v>
      </c>
      <c r="I173" s="47">
        <f>E173-H173</f>
        <v>-61100</v>
      </c>
      <c r="J173" s="17">
        <f>IFERROR(H173/E173,0)</f>
        <v>1.0891970802919708</v>
      </c>
      <c r="K173" s="18" t="str">
        <f>IF(E173=0,"Sin Plan",IF(J173&gt;=1,"Completado",IF(J173&gt;0.001,"En Progreso","Pendiente de ejecutar")))</f>
        <v>Completado</v>
      </c>
      <c r="L173" s="6" t="s">
        <v>323</v>
      </c>
      <c r="M173" s="6" t="s">
        <v>320</v>
      </c>
    </row>
    <row r="174" spans="1:13" hidden="1" x14ac:dyDescent="0.35">
      <c r="A174" s="20" t="s">
        <v>281</v>
      </c>
      <c r="B174" s="11" t="s">
        <v>205</v>
      </c>
      <c r="C174" s="20" t="s">
        <v>186</v>
      </c>
      <c r="D174" s="28" t="s">
        <v>187</v>
      </c>
      <c r="E174" s="14">
        <v>495000</v>
      </c>
      <c r="F174" s="14">
        <v>0</v>
      </c>
      <c r="G174" s="14">
        <v>461974.36</v>
      </c>
      <c r="H174" s="40">
        <f>F174+G174</f>
        <v>461974.36</v>
      </c>
      <c r="I174" s="47">
        <f>E174-H174</f>
        <v>33025.640000000014</v>
      </c>
      <c r="J174" s="17">
        <f>IFERROR(H174/E174,0)</f>
        <v>0.93328153535353531</v>
      </c>
      <c r="K174" s="18" t="str">
        <f>IF(E174=0,"Sin Plan",IF(J174&gt;=1,"Completado",IF(J174&gt;0.001,"En Progreso","Pendiente de ejecutar")))</f>
        <v>En Progreso</v>
      </c>
      <c r="L174" s="6" t="s">
        <v>323</v>
      </c>
      <c r="M174" s="6" t="s">
        <v>320</v>
      </c>
    </row>
    <row r="175" spans="1:13" hidden="1" x14ac:dyDescent="0.35">
      <c r="A175" s="11" t="s">
        <v>293</v>
      </c>
      <c r="B175" s="11" t="s">
        <v>205</v>
      </c>
      <c r="C175" s="11" t="s">
        <v>217</v>
      </c>
      <c r="D175" s="11" t="s">
        <v>218</v>
      </c>
      <c r="E175" s="14">
        <v>491000</v>
      </c>
      <c r="F175" s="14">
        <v>479452.75</v>
      </c>
      <c r="G175" s="14"/>
      <c r="H175" s="40">
        <f>F175+G175</f>
        <v>479452.75</v>
      </c>
      <c r="I175" s="47">
        <f>E175-H175</f>
        <v>11547.25</v>
      </c>
      <c r="J175" s="17">
        <f>IFERROR(H175/E175,0)</f>
        <v>0.97648217922606928</v>
      </c>
      <c r="K175" s="18" t="str">
        <f>IF(E175=0,"Sin Plan",IF(J175&gt;=1,"Completado",IF(J175&gt;0.001,"En Progreso","Pendiente de ejecutar")))</f>
        <v>En Progreso</v>
      </c>
      <c r="L175" s="6" t="s">
        <v>321</v>
      </c>
      <c r="M175" s="6" t="s">
        <v>320</v>
      </c>
    </row>
    <row r="176" spans="1:13" s="2" customFormat="1" hidden="1" x14ac:dyDescent="0.35">
      <c r="A176" s="28" t="s">
        <v>198</v>
      </c>
      <c r="B176" s="11" t="s">
        <v>205</v>
      </c>
      <c r="C176" s="19" t="s">
        <v>83</v>
      </c>
      <c r="D176" s="19" t="s">
        <v>84</v>
      </c>
      <c r="E176" s="13">
        <v>488500</v>
      </c>
      <c r="F176" s="15">
        <v>321400</v>
      </c>
      <c r="G176" s="13"/>
      <c r="H176" s="40">
        <f>F176+G176</f>
        <v>321400</v>
      </c>
      <c r="I176" s="47">
        <f>E176-H176</f>
        <v>167100</v>
      </c>
      <c r="J176" s="17">
        <f>IFERROR(H176/E176,0)</f>
        <v>0.65793244626407366</v>
      </c>
      <c r="K176" s="18" t="str">
        <f>IF(E176=0,"Sin Plan",IF(J176&gt;=1,"Completado",IF(J176&gt;0.001,"En Progreso","Pendiente de ejecutar")))</f>
        <v>En Progreso</v>
      </c>
      <c r="L176" s="6" t="s">
        <v>321</v>
      </c>
      <c r="M176" s="6" t="s">
        <v>320</v>
      </c>
    </row>
    <row r="177" spans="1:13" hidden="1" x14ac:dyDescent="0.35">
      <c r="A177" s="28" t="s">
        <v>248</v>
      </c>
      <c r="B177" s="11" t="s">
        <v>205</v>
      </c>
      <c r="C177" s="29" t="s">
        <v>63</v>
      </c>
      <c r="D177" s="29" t="s">
        <v>64</v>
      </c>
      <c r="E177" s="25">
        <v>480000</v>
      </c>
      <c r="F177" s="25">
        <v>0</v>
      </c>
      <c r="G177" s="25">
        <v>0</v>
      </c>
      <c r="H177" s="40">
        <f>F177+G177</f>
        <v>0</v>
      </c>
      <c r="I177" s="47">
        <f>E177-H177</f>
        <v>480000</v>
      </c>
      <c r="J177" s="17">
        <f>IFERROR(H177/E177,0)</f>
        <v>0</v>
      </c>
      <c r="K177" s="18" t="str">
        <f>IF(E177=0,"Sin Plan",IF(J177&gt;=1,"Completado",IF(J177&gt;0.001,"En Progreso","Pendiente de ejecutar")))</f>
        <v>Pendiente de ejecutar</v>
      </c>
      <c r="L177" s="6" t="s">
        <v>321</v>
      </c>
      <c r="M177" s="6" t="s">
        <v>320</v>
      </c>
    </row>
    <row r="178" spans="1:13" hidden="1" x14ac:dyDescent="0.35">
      <c r="A178" s="20" t="s">
        <v>290</v>
      </c>
      <c r="B178" s="11" t="s">
        <v>205</v>
      </c>
      <c r="C178" s="20" t="s">
        <v>63</v>
      </c>
      <c r="D178" s="20" t="s">
        <v>64</v>
      </c>
      <c r="E178" s="14">
        <v>480000</v>
      </c>
      <c r="F178" s="14"/>
      <c r="G178" s="14">
        <v>0</v>
      </c>
      <c r="H178" s="40">
        <f>F178+G178</f>
        <v>0</v>
      </c>
      <c r="I178" s="47">
        <f>E178-H178</f>
        <v>480000</v>
      </c>
      <c r="J178" s="17">
        <f>IFERROR(H178/E178,0)</f>
        <v>0</v>
      </c>
      <c r="K178" s="18" t="str">
        <f>IF(E178=0,"Sin Plan",IF(J178&gt;=1,"Completado",IF(J178&gt;0.001,"En Progreso","Pendiente de ejecutar")))</f>
        <v>Pendiente de ejecutar</v>
      </c>
      <c r="L178" s="6" t="s">
        <v>321</v>
      </c>
      <c r="M178" s="6" t="s">
        <v>320</v>
      </c>
    </row>
    <row r="179" spans="1:13" x14ac:dyDescent="0.35">
      <c r="A179" s="29" t="s">
        <v>204</v>
      </c>
      <c r="B179" s="11" t="s">
        <v>205</v>
      </c>
      <c r="C179" s="11" t="s">
        <v>96</v>
      </c>
      <c r="D179" s="29" t="s">
        <v>203</v>
      </c>
      <c r="E179" s="40">
        <v>0</v>
      </c>
      <c r="F179" s="36">
        <v>47800</v>
      </c>
      <c r="G179" s="100">
        <v>0</v>
      </c>
      <c r="H179" s="40">
        <f>F179+G179</f>
        <v>47800</v>
      </c>
      <c r="I179" s="47">
        <f>E179-H179</f>
        <v>-47800</v>
      </c>
      <c r="J179" s="17">
        <f>IFERROR(H179/E179,0)</f>
        <v>0</v>
      </c>
      <c r="K179" s="18" t="str">
        <f>IF(E179=0,"Sin Plan",IF(J179&gt;=1,"Completado",IF(J179&gt;0.001,"En Progreso","Pendiente de ejecutar")))</f>
        <v>Sin Plan</v>
      </c>
      <c r="L179" s="6" t="s">
        <v>323</v>
      </c>
      <c r="M179" s="6" t="s">
        <v>318</v>
      </c>
    </row>
    <row r="180" spans="1:13" hidden="1" x14ac:dyDescent="0.35">
      <c r="A180" s="56" t="s">
        <v>76</v>
      </c>
      <c r="B180" s="11" t="s">
        <v>319</v>
      </c>
      <c r="C180" s="19" t="s">
        <v>47</v>
      </c>
      <c r="D180" s="19" t="s">
        <v>48</v>
      </c>
      <c r="E180" s="13">
        <v>120000</v>
      </c>
      <c r="F180" s="13">
        <v>0</v>
      </c>
      <c r="G180" s="13">
        <v>246624.75</v>
      </c>
      <c r="H180" s="40">
        <f>F180+G180</f>
        <v>246624.75</v>
      </c>
      <c r="I180" s="47">
        <f>E180-H180</f>
        <v>-126624.75</v>
      </c>
      <c r="J180" s="17">
        <f>IFERROR(H180/E180,0)</f>
        <v>2.0552062499999999</v>
      </c>
      <c r="K180" s="18" t="str">
        <f>IF(E180=0,"Sin Plan",IF(J180&gt;=1,"Completado",IF(J180&gt;0.001,"En Progreso","Pendiente de ejecutar")))</f>
        <v>Completado</v>
      </c>
      <c r="L180" s="6" t="s">
        <v>323</v>
      </c>
      <c r="M180" s="6" t="s">
        <v>320</v>
      </c>
    </row>
    <row r="181" spans="1:13" hidden="1" x14ac:dyDescent="0.35">
      <c r="A181" s="19" t="s">
        <v>77</v>
      </c>
      <c r="B181" s="11" t="s">
        <v>319</v>
      </c>
      <c r="C181" s="19" t="s">
        <v>13</v>
      </c>
      <c r="D181" s="19" t="s">
        <v>14</v>
      </c>
      <c r="E181" s="13">
        <v>685000</v>
      </c>
      <c r="F181" s="13">
        <v>0</v>
      </c>
      <c r="G181" s="13">
        <v>789100</v>
      </c>
      <c r="H181" s="40">
        <f>F181+G181</f>
        <v>789100</v>
      </c>
      <c r="I181" s="47">
        <f>E181-H181</f>
        <v>-104100</v>
      </c>
      <c r="J181" s="17">
        <f>IFERROR(H181/E181,0)</f>
        <v>1.151970802919708</v>
      </c>
      <c r="K181" s="18" t="str">
        <f>IF(E181=0,"Sin Plan",IF(J181&gt;=1,"Completado",IF(J181&gt;0.001,"En Progreso","Pendiente de ejecutar")))</f>
        <v>Completado</v>
      </c>
      <c r="L181" s="6" t="s">
        <v>323</v>
      </c>
      <c r="M181" s="6" t="s">
        <v>320</v>
      </c>
    </row>
    <row r="182" spans="1:13" hidden="1" x14ac:dyDescent="0.35">
      <c r="A182" s="11" t="s">
        <v>77</v>
      </c>
      <c r="B182" s="11" t="s">
        <v>319</v>
      </c>
      <c r="C182" s="11" t="s">
        <v>78</v>
      </c>
      <c r="D182" s="11" t="s">
        <v>79</v>
      </c>
      <c r="E182" s="14">
        <v>220420</v>
      </c>
      <c r="F182" s="14">
        <v>0</v>
      </c>
      <c r="G182" s="14">
        <v>110732.56</v>
      </c>
      <c r="H182" s="40">
        <f>F182+G182</f>
        <v>110732.56</v>
      </c>
      <c r="I182" s="47">
        <f>E182-H182</f>
        <v>109687.44</v>
      </c>
      <c r="J182" s="17">
        <f>IFERROR(H182/E182,0)</f>
        <v>0.50237074675619275</v>
      </c>
      <c r="K182" s="18" t="str">
        <f>IF(E182=0,"Sin Plan",IF(J182&gt;=1,"Completado",IF(J182&gt;0.001,"En Progreso","Pendiente de ejecutar")))</f>
        <v>En Progreso</v>
      </c>
      <c r="L182" s="6" t="s">
        <v>323</v>
      </c>
      <c r="M182" s="6" t="s">
        <v>320</v>
      </c>
    </row>
    <row r="183" spans="1:13" hidden="1" x14ac:dyDescent="0.35">
      <c r="A183" s="20" t="s">
        <v>80</v>
      </c>
      <c r="B183" s="11" t="s">
        <v>319</v>
      </c>
      <c r="C183" s="20" t="s">
        <v>66</v>
      </c>
      <c r="D183" s="20" t="s">
        <v>67</v>
      </c>
      <c r="E183" s="14">
        <v>570000</v>
      </c>
      <c r="F183" s="14">
        <v>0</v>
      </c>
      <c r="G183" s="14">
        <v>337280.65</v>
      </c>
      <c r="H183" s="40">
        <f>F183+G183</f>
        <v>337280.65</v>
      </c>
      <c r="I183" s="47">
        <f>E183-H183</f>
        <v>232719.34999999998</v>
      </c>
      <c r="J183" s="17">
        <f>IFERROR(H183/E183,0)</f>
        <v>0.59172043859649126</v>
      </c>
      <c r="K183" s="18" t="str">
        <f>IF(E183=0,"Sin Plan",IF(J183&gt;=1,"Completado",IF(J183&gt;0.001,"En Progreso","Pendiente de ejecutar")))</f>
        <v>En Progreso</v>
      </c>
      <c r="L183" s="6" t="s">
        <v>323</v>
      </c>
      <c r="M183" s="6" t="s">
        <v>320</v>
      </c>
    </row>
    <row r="184" spans="1:13" hidden="1" x14ac:dyDescent="0.35">
      <c r="A184" s="19" t="s">
        <v>80</v>
      </c>
      <c r="B184" s="11" t="s">
        <v>319</v>
      </c>
      <c r="C184" s="19" t="s">
        <v>47</v>
      </c>
      <c r="D184" s="19" t="s">
        <v>48</v>
      </c>
      <c r="E184" s="13">
        <v>126000</v>
      </c>
      <c r="F184" s="13">
        <v>0</v>
      </c>
      <c r="G184" s="13">
        <v>246624.75</v>
      </c>
      <c r="H184" s="40">
        <f>F184+G184</f>
        <v>246624.75</v>
      </c>
      <c r="I184" s="47">
        <f>E184-H184</f>
        <v>-120624.75</v>
      </c>
      <c r="J184" s="17">
        <f>IFERROR(H184/E184,0)</f>
        <v>1.9573392857142857</v>
      </c>
      <c r="K184" s="18" t="str">
        <f>IF(E184=0,"Sin Plan",IF(J184&gt;=1,"Completado",IF(J184&gt;0.001,"En Progreso","Pendiente de ejecutar")))</f>
        <v>Completado</v>
      </c>
      <c r="L184" s="6" t="s">
        <v>323</v>
      </c>
      <c r="M184" s="6" t="s">
        <v>320</v>
      </c>
    </row>
    <row r="185" spans="1:13" hidden="1" x14ac:dyDescent="0.35">
      <c r="A185" s="20" t="s">
        <v>80</v>
      </c>
      <c r="B185" s="11" t="s">
        <v>319</v>
      </c>
      <c r="C185" s="20" t="s">
        <v>29</v>
      </c>
      <c r="D185" s="20" t="s">
        <v>30</v>
      </c>
      <c r="E185" s="14">
        <v>0</v>
      </c>
      <c r="F185" s="14">
        <v>160264.1</v>
      </c>
      <c r="G185" s="14">
        <v>0</v>
      </c>
      <c r="H185" s="40">
        <f>F185+G185</f>
        <v>160264.1</v>
      </c>
      <c r="I185" s="47">
        <f>E185-H185</f>
        <v>-160264.1</v>
      </c>
      <c r="J185" s="17">
        <f>IFERROR(H185/E185,0)</f>
        <v>0</v>
      </c>
      <c r="K185" s="18" t="str">
        <f>IF(E185=0,"Sin Plan",IF(J185&gt;=1,"Completado",IF(J185&gt;0.001,"En Progreso","Pendiente de ejecutar")))</f>
        <v>Sin Plan</v>
      </c>
      <c r="L185" s="6" t="s">
        <v>323</v>
      </c>
      <c r="M185" s="6" t="s">
        <v>322</v>
      </c>
    </row>
    <row r="186" spans="1:13" hidden="1" x14ac:dyDescent="0.35">
      <c r="A186" s="92" t="s">
        <v>146</v>
      </c>
      <c r="B186" s="20"/>
      <c r="C186" s="22"/>
      <c r="D186" s="22" t="s">
        <v>325</v>
      </c>
      <c r="E186" s="14">
        <v>-2289214.34</v>
      </c>
      <c r="F186" s="14"/>
      <c r="G186" s="14"/>
      <c r="H186" s="14"/>
      <c r="I186" s="37">
        <f>E186-H186</f>
        <v>-2289214.34</v>
      </c>
      <c r="J186" s="17"/>
      <c r="K186" s="18"/>
      <c r="L186" s="6" t="s">
        <v>323</v>
      </c>
      <c r="M186" s="6"/>
    </row>
    <row r="187" spans="1:13" hidden="1" x14ac:dyDescent="0.35">
      <c r="A187" s="55" t="s">
        <v>81</v>
      </c>
      <c r="B187" s="11" t="s">
        <v>319</v>
      </c>
      <c r="C187" s="11" t="s">
        <v>13</v>
      </c>
      <c r="D187" s="11" t="s">
        <v>14</v>
      </c>
      <c r="E187" s="13">
        <v>685000</v>
      </c>
      <c r="F187" s="13">
        <v>0</v>
      </c>
      <c r="G187" s="13">
        <v>716100</v>
      </c>
      <c r="H187" s="40">
        <f>F187+G187</f>
        <v>716100</v>
      </c>
      <c r="I187" s="47">
        <f>E187-H187</f>
        <v>-31100</v>
      </c>
      <c r="J187" s="17">
        <f>IFERROR(H187/E187,0)</f>
        <v>1.0454014598540147</v>
      </c>
      <c r="K187" s="18" t="str">
        <f>IF(E187=0,"Sin Plan",IF(J187&gt;=1,"Completado",IF(J187&gt;0.001,"En Progreso","Pendiente de ejecutar")))</f>
        <v>Completado</v>
      </c>
      <c r="L187" s="6" t="s">
        <v>323</v>
      </c>
      <c r="M187" s="6" t="s">
        <v>320</v>
      </c>
    </row>
    <row r="188" spans="1:13" hidden="1" x14ac:dyDescent="0.35">
      <c r="A188" s="55" t="s">
        <v>81</v>
      </c>
      <c r="B188" s="11" t="s">
        <v>319</v>
      </c>
      <c r="C188" s="11" t="s">
        <v>78</v>
      </c>
      <c r="D188" s="11" t="s">
        <v>79</v>
      </c>
      <c r="E188" s="14">
        <v>220000</v>
      </c>
      <c r="F188" s="14">
        <v>58580.86</v>
      </c>
      <c r="G188" s="14">
        <v>0</v>
      </c>
      <c r="H188" s="40">
        <f>F188+G188</f>
        <v>58580.86</v>
      </c>
      <c r="I188" s="47">
        <f>E188-H188</f>
        <v>161419.14000000001</v>
      </c>
      <c r="J188" s="17">
        <f>IFERROR(H188/E188,0)</f>
        <v>0.26627663636363635</v>
      </c>
      <c r="K188" s="18" t="str">
        <f>IF(E188=0,"Sin Plan",IF(J188&gt;=1,"Completado",IF(J188&gt;0.001,"En Progreso","Pendiente de ejecutar")))</f>
        <v>En Progreso</v>
      </c>
      <c r="L188" s="6" t="s">
        <v>323</v>
      </c>
      <c r="M188" s="6" t="s">
        <v>320</v>
      </c>
    </row>
    <row r="189" spans="1:13" hidden="1" x14ac:dyDescent="0.35">
      <c r="A189" s="55" t="s">
        <v>81</v>
      </c>
      <c r="B189" s="11"/>
      <c r="C189" s="11"/>
      <c r="D189" s="11" t="s">
        <v>24</v>
      </c>
      <c r="E189" s="14"/>
      <c r="F189" s="14"/>
      <c r="G189" s="14">
        <v>501557.44</v>
      </c>
      <c r="H189" s="40"/>
      <c r="I189" s="47">
        <f>E189-H189</f>
        <v>0</v>
      </c>
      <c r="J189" s="17">
        <f>IFERROR(H189/E189,0)</f>
        <v>0</v>
      </c>
      <c r="K189" s="18" t="str">
        <f>IF(E189=0,"Sin Plan",IF(J189&gt;=1,"Completado",IF(J189&gt;0.001,"En Progreso","Pendiente de ejecutar")))</f>
        <v>Sin Plan</v>
      </c>
      <c r="L189" s="6" t="s">
        <v>321</v>
      </c>
      <c r="M189" s="6"/>
    </row>
    <row r="190" spans="1:13" hidden="1" x14ac:dyDescent="0.35">
      <c r="A190" s="56" t="s">
        <v>81</v>
      </c>
      <c r="B190" s="11" t="s">
        <v>319</v>
      </c>
      <c r="C190" s="19" t="s">
        <v>27</v>
      </c>
      <c r="D190" s="19" t="s">
        <v>28</v>
      </c>
      <c r="E190" s="13">
        <v>0</v>
      </c>
      <c r="F190" s="13">
        <v>25254.240000000002</v>
      </c>
      <c r="G190" s="13">
        <v>0</v>
      </c>
      <c r="H190" s="40">
        <f>F190+G190</f>
        <v>25254.240000000002</v>
      </c>
      <c r="I190" s="47">
        <f>E190-H190</f>
        <v>-25254.240000000002</v>
      </c>
      <c r="J190" s="17">
        <f>IFERROR(H190/E190,0)</f>
        <v>0</v>
      </c>
      <c r="K190" s="18" t="str">
        <f>IF(E190=0,"Sin Plan",IF(J190&gt;=1,"Completado",IF(J190&gt;0.001,"En Progreso","Pendiente de ejecutar")))</f>
        <v>Sin Plan</v>
      </c>
      <c r="L190" s="6" t="s">
        <v>323</v>
      </c>
      <c r="M190" s="7" t="s">
        <v>318</v>
      </c>
    </row>
    <row r="191" spans="1:13" hidden="1" x14ac:dyDescent="0.35">
      <c r="A191" s="55" t="s">
        <v>81</v>
      </c>
      <c r="B191" s="11" t="s">
        <v>319</v>
      </c>
      <c r="C191" s="11" t="s">
        <v>29</v>
      </c>
      <c r="D191" s="11" t="s">
        <v>30</v>
      </c>
      <c r="E191" s="14">
        <v>0</v>
      </c>
      <c r="F191" s="14">
        <v>164705.79999999999</v>
      </c>
      <c r="G191" s="14">
        <v>0</v>
      </c>
      <c r="H191" s="40">
        <f>F191+G191</f>
        <v>164705.79999999999</v>
      </c>
      <c r="I191" s="47">
        <f>E191-H191</f>
        <v>-164705.79999999999</v>
      </c>
      <c r="J191" s="17">
        <f>IFERROR(H191/E191,0)</f>
        <v>0</v>
      </c>
      <c r="K191" s="18" t="str">
        <f>IF(E191=0,"Sin Plan",IF(J191&gt;=1,"Completado",IF(J191&gt;0.001,"En Progreso","Pendiente de ejecutar")))</f>
        <v>Sin Plan</v>
      </c>
      <c r="L191" s="6" t="s">
        <v>323</v>
      </c>
      <c r="M191" s="6" t="s">
        <v>318</v>
      </c>
    </row>
    <row r="192" spans="1:13" hidden="1" x14ac:dyDescent="0.35">
      <c r="A192" s="92" t="s">
        <v>146</v>
      </c>
      <c r="B192" s="20"/>
      <c r="C192" s="22"/>
      <c r="D192" s="22" t="s">
        <v>325</v>
      </c>
      <c r="E192" s="14">
        <v>-1500722.34</v>
      </c>
      <c r="F192" s="14"/>
      <c r="G192" s="14"/>
      <c r="H192" s="40">
        <f>F192+G682</f>
        <v>0</v>
      </c>
      <c r="I192" s="37">
        <f>E192-H192</f>
        <v>-1500722.34</v>
      </c>
      <c r="J192" s="17"/>
      <c r="K192" s="18"/>
      <c r="L192" s="6" t="s">
        <v>323</v>
      </c>
      <c r="M192" s="6"/>
    </row>
    <row r="193" spans="1:13" hidden="1" x14ac:dyDescent="0.35">
      <c r="A193" s="11" t="s">
        <v>82</v>
      </c>
      <c r="B193" s="11" t="s">
        <v>319</v>
      </c>
      <c r="C193" s="11" t="s">
        <v>68</v>
      </c>
      <c r="D193" s="11" t="s">
        <v>69</v>
      </c>
      <c r="E193" s="13">
        <v>39000</v>
      </c>
      <c r="F193" s="15">
        <v>29850</v>
      </c>
      <c r="G193" s="13">
        <v>0</v>
      </c>
      <c r="H193" s="40">
        <f>F193+G193</f>
        <v>29850</v>
      </c>
      <c r="I193" s="47">
        <f>E193-H193</f>
        <v>9150</v>
      </c>
      <c r="J193" s="17">
        <f>IFERROR(H193/E193,0)</f>
        <v>0.76538461538461533</v>
      </c>
      <c r="K193" s="18" t="str">
        <f>IF(E193=0,"Sin Plan",IF(J193&gt;=1,"Completado",IF(J193&gt;0.001,"En Progreso","Pendiente de ejecutar")))</f>
        <v>En Progreso</v>
      </c>
      <c r="L193" s="6" t="s">
        <v>323</v>
      </c>
      <c r="M193" s="6" t="s">
        <v>320</v>
      </c>
    </row>
    <row r="194" spans="1:13" hidden="1" x14ac:dyDescent="0.35">
      <c r="A194" s="20" t="s">
        <v>82</v>
      </c>
      <c r="B194" s="11" t="s">
        <v>319</v>
      </c>
      <c r="C194" s="20" t="s">
        <v>13</v>
      </c>
      <c r="D194" s="20" t="s">
        <v>14</v>
      </c>
      <c r="E194" s="14">
        <v>685000</v>
      </c>
      <c r="F194" s="14">
        <v>0</v>
      </c>
      <c r="G194" s="36">
        <v>754100</v>
      </c>
      <c r="H194" s="40">
        <f>F194+G194</f>
        <v>754100</v>
      </c>
      <c r="I194" s="47">
        <f>E194-H194</f>
        <v>-69100</v>
      </c>
      <c r="J194" s="17">
        <f>IFERROR(H194/E194,0)</f>
        <v>1.100875912408759</v>
      </c>
      <c r="K194" s="18" t="str">
        <f>IF(E194=0,"Sin Plan",IF(J194&gt;=1,"Completado",IF(J194&gt;0.001,"En Progreso","Pendiente de ejecutar")))</f>
        <v>Completado</v>
      </c>
      <c r="L194" s="6" t="s">
        <v>323</v>
      </c>
      <c r="M194" s="6" t="s">
        <v>320</v>
      </c>
    </row>
    <row r="195" spans="1:13" hidden="1" x14ac:dyDescent="0.35">
      <c r="A195" s="92" t="s">
        <v>168</v>
      </c>
      <c r="B195" s="20"/>
      <c r="C195" s="22"/>
      <c r="D195" s="22" t="s">
        <v>325</v>
      </c>
      <c r="E195" s="14">
        <v>-1305186</v>
      </c>
      <c r="F195" s="14"/>
      <c r="G195" s="14"/>
      <c r="H195" s="14"/>
      <c r="I195" s="37">
        <f>E195-H195</f>
        <v>-1305186</v>
      </c>
      <c r="J195" s="17">
        <f>IFERROR(H195/E195,0)</f>
        <v>0</v>
      </c>
      <c r="K195" s="18" t="str">
        <f>IF(E195=0,"Sin Plan",IF(J195&gt;=1,"Completado",IF(J195&gt;0.001,"En Progreso","Pendiente de ejecutar")))</f>
        <v>Pendiente de ejecutar</v>
      </c>
      <c r="L195" s="6" t="s">
        <v>323</v>
      </c>
      <c r="M195" s="6"/>
    </row>
    <row r="196" spans="1:13" hidden="1" x14ac:dyDescent="0.35">
      <c r="A196" s="11" t="s">
        <v>86</v>
      </c>
      <c r="B196" s="11" t="s">
        <v>319</v>
      </c>
      <c r="C196" s="11" t="s">
        <v>47</v>
      </c>
      <c r="D196" s="11" t="s">
        <v>48</v>
      </c>
      <c r="E196" s="14">
        <v>132300</v>
      </c>
      <c r="F196" s="14">
        <v>0</v>
      </c>
      <c r="G196" s="14">
        <v>137843.10999999999</v>
      </c>
      <c r="H196" s="40">
        <f>F196+G196</f>
        <v>137843.10999999999</v>
      </c>
      <c r="I196" s="47">
        <f>E196-H196</f>
        <v>-5543.109999999986</v>
      </c>
      <c r="J196" s="17">
        <f>IFERROR(H196/E196,0)</f>
        <v>1.0418980347694633</v>
      </c>
      <c r="K196" s="18" t="str">
        <f>IF(E196=0,"Sin Plan",IF(J196&gt;=1,"Completado",IF(J196&gt;0.001,"En Progreso","Pendiente de ejecutar")))</f>
        <v>Completado</v>
      </c>
      <c r="L196" s="6" t="s">
        <v>323</v>
      </c>
      <c r="M196" s="6" t="s">
        <v>320</v>
      </c>
    </row>
    <row r="197" spans="1:13" hidden="1" x14ac:dyDescent="0.35">
      <c r="A197" s="19" t="s">
        <v>87</v>
      </c>
      <c r="B197" s="11" t="s">
        <v>319</v>
      </c>
      <c r="C197" s="19" t="s">
        <v>78</v>
      </c>
      <c r="D197" s="19" t="s">
        <v>79</v>
      </c>
      <c r="E197" s="13">
        <v>0</v>
      </c>
      <c r="F197" s="13">
        <v>0</v>
      </c>
      <c r="G197" s="13">
        <v>24648.25</v>
      </c>
      <c r="H197" s="40">
        <f>F197+G197</f>
        <v>24648.25</v>
      </c>
      <c r="I197" s="47">
        <f>E197-H197</f>
        <v>-24648.25</v>
      </c>
      <c r="J197" s="17">
        <f>IFERROR(H197/E197,0)</f>
        <v>0</v>
      </c>
      <c r="K197" s="18" t="str">
        <f>IF(E197=0,"Sin Plan",IF(J197&gt;=1,"Completado",IF(J197&gt;0.001,"En Progreso","Pendiente de ejecutar")))</f>
        <v>Sin Plan</v>
      </c>
      <c r="L197" s="6" t="s">
        <v>323</v>
      </c>
      <c r="M197" s="6" t="s">
        <v>318</v>
      </c>
    </row>
    <row r="198" spans="1:13" s="2" customFormat="1" x14ac:dyDescent="0.35">
      <c r="A198" s="29" t="s">
        <v>204</v>
      </c>
      <c r="B198" s="11" t="s">
        <v>205</v>
      </c>
      <c r="C198" s="22"/>
      <c r="D198" s="92" t="s">
        <v>325</v>
      </c>
      <c r="E198" s="14">
        <v>-1850000</v>
      </c>
      <c r="F198" s="100"/>
      <c r="G198" s="100"/>
      <c r="H198" s="40">
        <f>F198+G198</f>
        <v>0</v>
      </c>
      <c r="I198" s="47">
        <f>E198-H198</f>
        <v>-1850000</v>
      </c>
      <c r="J198" s="17">
        <f>IFERROR(H198/E198,0)</f>
        <v>0</v>
      </c>
      <c r="K198" s="18" t="str">
        <f>IF(E198=0,"Sin Plan",IF(J198&gt;=1,"Completado",IF(J198&gt;0.001,"En Progreso","Pendiente de ejecutar")))</f>
        <v>Pendiente de ejecutar</v>
      </c>
      <c r="L198" s="81" t="s">
        <v>321</v>
      </c>
      <c r="M198" s="6"/>
    </row>
    <row r="199" spans="1:13" hidden="1" x14ac:dyDescent="0.35">
      <c r="A199" s="19" t="s">
        <v>222</v>
      </c>
      <c r="B199" s="11" t="s">
        <v>205</v>
      </c>
      <c r="C199" s="19" t="s">
        <v>21</v>
      </c>
      <c r="D199" s="19" t="s">
        <v>22</v>
      </c>
      <c r="E199" s="13">
        <v>450000</v>
      </c>
      <c r="F199" s="13">
        <v>0</v>
      </c>
      <c r="G199" s="13">
        <v>0</v>
      </c>
      <c r="H199" s="40">
        <f>F199+G199</f>
        <v>0</v>
      </c>
      <c r="I199" s="47">
        <f>E199-H199</f>
        <v>450000</v>
      </c>
      <c r="J199" s="17">
        <f>IFERROR(H199/E199,0)</f>
        <v>0</v>
      </c>
      <c r="K199" s="18" t="str">
        <f>IF(E199=0,"Sin Plan",IF(J199&gt;=1,"Completado",IF(J199&gt;0.001,"En Progreso","Pendiente de ejecutar")))</f>
        <v>Pendiente de ejecutar</v>
      </c>
      <c r="L199" s="6" t="s">
        <v>321</v>
      </c>
      <c r="M199" s="6" t="s">
        <v>320</v>
      </c>
    </row>
    <row r="200" spans="1:13" x14ac:dyDescent="0.35">
      <c r="A200" s="29" t="s">
        <v>204</v>
      </c>
      <c r="B200" s="11" t="s">
        <v>205</v>
      </c>
      <c r="C200" s="19"/>
      <c r="D200" s="19" t="s">
        <v>244</v>
      </c>
      <c r="E200" s="13"/>
      <c r="F200" s="100"/>
      <c r="G200" s="36">
        <v>269350</v>
      </c>
      <c r="H200" s="40">
        <f>F200+G200</f>
        <v>269350</v>
      </c>
      <c r="I200" s="47">
        <f>E200-H200</f>
        <v>-269350</v>
      </c>
      <c r="J200" s="17">
        <f>IFERROR(H200/E200,0)</f>
        <v>0</v>
      </c>
      <c r="K200" s="18" t="str">
        <f>IF(E200=0,"Sin Plan",IF(J200&gt;=1,"Completado",IF(J200&gt;0.001,"En Progreso","Pendiente de ejecutar")))</f>
        <v>Sin Plan</v>
      </c>
      <c r="L200" s="81" t="s">
        <v>323</v>
      </c>
      <c r="M200" s="6"/>
    </row>
    <row r="201" spans="1:13" hidden="1" x14ac:dyDescent="0.35">
      <c r="A201" s="48" t="s">
        <v>282</v>
      </c>
      <c r="B201" s="11"/>
      <c r="C201" s="28"/>
      <c r="D201" s="48" t="s">
        <v>382</v>
      </c>
      <c r="E201" s="41"/>
      <c r="F201" s="41"/>
      <c r="G201" s="41">
        <v>106515</v>
      </c>
      <c r="H201" s="40"/>
      <c r="I201" s="47">
        <f>E201-H201</f>
        <v>0</v>
      </c>
      <c r="J201" s="17">
        <f>IFERROR(H201/E201,0)</f>
        <v>0</v>
      </c>
      <c r="K201" s="18" t="str">
        <f>IF(E201=0,"Sin Plan",IF(J201&gt;=1,"Completado",IF(J201&gt;0.001,"En Progreso","Pendiente de ejecutar")))</f>
        <v>Sin Plan</v>
      </c>
      <c r="L201" s="6" t="s">
        <v>323</v>
      </c>
      <c r="M201" s="6"/>
    </row>
    <row r="202" spans="1:13" hidden="1" x14ac:dyDescent="0.35">
      <c r="A202" s="11" t="s">
        <v>282</v>
      </c>
      <c r="B202" s="11" t="s">
        <v>205</v>
      </c>
      <c r="C202" s="11" t="s">
        <v>174</v>
      </c>
      <c r="D202" s="11" t="s">
        <v>175</v>
      </c>
      <c r="E202" s="13">
        <v>450000</v>
      </c>
      <c r="F202" s="13">
        <v>818408.64</v>
      </c>
      <c r="G202" s="13">
        <v>0</v>
      </c>
      <c r="H202" s="40">
        <f>F202+G202</f>
        <v>818408.64</v>
      </c>
      <c r="I202" s="47">
        <f>E202-H202</f>
        <v>-368408.64</v>
      </c>
      <c r="J202" s="17">
        <f>IFERROR(H202/E202,0)</f>
        <v>1.8186858666666668</v>
      </c>
      <c r="K202" s="18" t="str">
        <f>IF(E202=0,"Sin Plan",IF(J202&gt;=1,"Completado",IF(J202&gt;0.001,"En Progreso","Pendiente de ejecutar")))</f>
        <v>Completado</v>
      </c>
      <c r="L202" s="6" t="s">
        <v>321</v>
      </c>
      <c r="M202" s="6" t="s">
        <v>320</v>
      </c>
    </row>
    <row r="203" spans="1:13" hidden="1" x14ac:dyDescent="0.35">
      <c r="A203" s="20" t="s">
        <v>287</v>
      </c>
      <c r="B203" s="11" t="s">
        <v>205</v>
      </c>
      <c r="C203" s="20" t="s">
        <v>21</v>
      </c>
      <c r="D203" s="20" t="s">
        <v>22</v>
      </c>
      <c r="E203" s="14">
        <v>450000</v>
      </c>
      <c r="F203" s="14">
        <v>0</v>
      </c>
      <c r="G203" s="14">
        <v>0</v>
      </c>
      <c r="H203" s="40">
        <f>F203+G203</f>
        <v>0</v>
      </c>
      <c r="I203" s="47">
        <f>E203-H203</f>
        <v>450000</v>
      </c>
      <c r="J203" s="17">
        <f>IFERROR(H203/E203,0)</f>
        <v>0</v>
      </c>
      <c r="K203" s="18" t="str">
        <f>IF(E203=0,"Sin Plan",IF(J203&gt;=1,"Completado",IF(J203&gt;0.001,"En Progreso","Pendiente de ejecutar")))</f>
        <v>Pendiente de ejecutar</v>
      </c>
      <c r="L203" s="6" t="s">
        <v>321</v>
      </c>
      <c r="M203" s="6" t="s">
        <v>320</v>
      </c>
    </row>
    <row r="204" spans="1:13" x14ac:dyDescent="0.35">
      <c r="A204" s="29" t="s">
        <v>204</v>
      </c>
      <c r="B204" s="11" t="s">
        <v>205</v>
      </c>
      <c r="C204" s="22"/>
      <c r="D204" s="60" t="s">
        <v>328</v>
      </c>
      <c r="E204" s="41"/>
      <c r="F204" s="36">
        <v>505975.12</v>
      </c>
      <c r="G204" s="100"/>
      <c r="H204" s="40">
        <f>F204+G204</f>
        <v>505975.12</v>
      </c>
      <c r="I204" s="47">
        <f>E204-H204</f>
        <v>-505975.12</v>
      </c>
      <c r="J204" s="17">
        <f>IFERROR(H204/E204,0)</f>
        <v>0</v>
      </c>
      <c r="K204" s="18" t="str">
        <f>IF(E204=0,"Sin Plan",IF(J204&gt;=1,"Completado",IF(J204&gt;0.001,"En Progreso","Pendiente de ejecutar")))</f>
        <v>Sin Plan</v>
      </c>
      <c r="L204" s="6" t="s">
        <v>323</v>
      </c>
      <c r="M204" s="6"/>
    </row>
    <row r="205" spans="1:13" hidden="1" x14ac:dyDescent="0.35">
      <c r="A205" s="20" t="s">
        <v>227</v>
      </c>
      <c r="B205" s="11" t="s">
        <v>205</v>
      </c>
      <c r="C205" s="20" t="s">
        <v>135</v>
      </c>
      <c r="D205" s="20" t="s">
        <v>136</v>
      </c>
      <c r="E205" s="14">
        <v>445000</v>
      </c>
      <c r="F205" s="14">
        <v>226008.44</v>
      </c>
      <c r="G205" s="14">
        <v>0</v>
      </c>
      <c r="H205" s="40">
        <f>F205+G205</f>
        <v>226008.44</v>
      </c>
      <c r="I205" s="47">
        <f>E205-H205</f>
        <v>218991.56</v>
      </c>
      <c r="J205" s="17">
        <f>IFERROR(H205/E205,0)</f>
        <v>0.50788413483146067</v>
      </c>
      <c r="K205" s="18" t="str">
        <f>IF(E205=0,"Sin Plan",IF(J205&gt;=1,"Completado",IF(J205&gt;0.001,"En Progreso","Pendiente de ejecutar")))</f>
        <v>En Progreso</v>
      </c>
      <c r="L205" s="6" t="s">
        <v>323</v>
      </c>
      <c r="M205" s="6" t="s">
        <v>320</v>
      </c>
    </row>
    <row r="206" spans="1:13" hidden="1" x14ac:dyDescent="0.35">
      <c r="A206" s="55" t="s">
        <v>11</v>
      </c>
      <c r="B206" s="11" t="s">
        <v>319</v>
      </c>
      <c r="C206" s="11" t="s">
        <v>15</v>
      </c>
      <c r="D206" s="11" t="s">
        <v>16</v>
      </c>
      <c r="E206" s="13">
        <v>0</v>
      </c>
      <c r="F206" s="13">
        <v>0</v>
      </c>
      <c r="G206" s="15">
        <v>754813.17999999993</v>
      </c>
      <c r="H206" s="40">
        <f>F206+G206</f>
        <v>754813.17999999993</v>
      </c>
      <c r="I206" s="47">
        <f>E206-H206</f>
        <v>-754813.17999999993</v>
      </c>
      <c r="J206" s="17">
        <f>IFERROR(H206/E206,0)</f>
        <v>0</v>
      </c>
      <c r="K206" s="18" t="str">
        <f>IF(E206=0,"Sin Plan",IF(J206&gt;=1,"Completado",IF(J206&gt;0.001,"En Progreso","Pendiente de ejecutar")))</f>
        <v>Sin Plan</v>
      </c>
      <c r="L206" s="6" t="s">
        <v>321</v>
      </c>
      <c r="M206" s="6" t="s">
        <v>318</v>
      </c>
    </row>
    <row r="207" spans="1:13" hidden="1" x14ac:dyDescent="0.35">
      <c r="A207" s="20" t="s">
        <v>46</v>
      </c>
      <c r="B207" s="11" t="s">
        <v>319</v>
      </c>
      <c r="C207" s="20" t="s">
        <v>15</v>
      </c>
      <c r="D207" s="20" t="s">
        <v>16</v>
      </c>
      <c r="E207" s="14">
        <v>0</v>
      </c>
      <c r="F207" s="14">
        <v>304399.5</v>
      </c>
      <c r="G207" s="14">
        <v>0</v>
      </c>
      <c r="H207" s="40">
        <f>F207+G207</f>
        <v>304399.5</v>
      </c>
      <c r="I207" s="47">
        <f>E207-H207</f>
        <v>-304399.5</v>
      </c>
      <c r="J207" s="17">
        <f>IFERROR(H207/E207,0)</f>
        <v>0</v>
      </c>
      <c r="K207" s="18" t="str">
        <f>IF(E207=0,"Sin Plan",IF(J207&gt;=1,"Completado",IF(J207&gt;0.001,"En Progreso","Pendiente de ejecutar")))</f>
        <v>Sin Plan</v>
      </c>
      <c r="L207" s="6" t="s">
        <v>321</v>
      </c>
      <c r="M207" s="6" t="s">
        <v>318</v>
      </c>
    </row>
    <row r="208" spans="1:13" x14ac:dyDescent="0.35">
      <c r="A208" s="29" t="s">
        <v>204</v>
      </c>
      <c r="B208" s="11" t="s">
        <v>205</v>
      </c>
      <c r="C208" s="22"/>
      <c r="D208" s="50" t="s">
        <v>206</v>
      </c>
      <c r="E208" s="41"/>
      <c r="F208" s="101"/>
      <c r="G208" s="100"/>
      <c r="H208" s="40">
        <f>F208+G208</f>
        <v>0</v>
      </c>
      <c r="I208" s="47">
        <f>E208-H208</f>
        <v>0</v>
      </c>
      <c r="J208" s="17">
        <f>IFERROR(H208/E208,0)</f>
        <v>0</v>
      </c>
      <c r="K208" s="18" t="str">
        <f>IF(E208=0,"Sin Plan",IF(J208&gt;=1,"Completado",IF(J208&gt;0.001,"En Progreso","Pendiente de ejecutar")))</f>
        <v>Sin Plan</v>
      </c>
      <c r="L208" s="6" t="s">
        <v>321</v>
      </c>
      <c r="M208" s="6" t="s">
        <v>318</v>
      </c>
    </row>
    <row r="209" spans="1:13" x14ac:dyDescent="0.35">
      <c r="A209" s="29" t="s">
        <v>204</v>
      </c>
      <c r="B209" s="11" t="s">
        <v>205</v>
      </c>
      <c r="C209" s="22"/>
      <c r="D209" s="60" t="s">
        <v>64</v>
      </c>
      <c r="E209" s="41"/>
      <c r="F209" s="36">
        <v>112811.45</v>
      </c>
      <c r="G209" s="100"/>
      <c r="H209" s="40">
        <f>F209+G209</f>
        <v>112811.45</v>
      </c>
      <c r="I209" s="47">
        <f>E209-H209</f>
        <v>-112811.45</v>
      </c>
      <c r="J209" s="17">
        <f>IFERROR(H209/E209,0)</f>
        <v>0</v>
      </c>
      <c r="K209" s="18" t="str">
        <f>IF(E209=0,"Sin Plan",IF(J209&gt;=1,"Completado",IF(J209&gt;0.001,"En Progreso","Pendiente de ejecutar")))</f>
        <v>Sin Plan</v>
      </c>
      <c r="L209" s="6" t="s">
        <v>321</v>
      </c>
      <c r="M209" s="6"/>
    </row>
    <row r="210" spans="1:13" hidden="1" x14ac:dyDescent="0.35">
      <c r="A210" s="11" t="s">
        <v>169</v>
      </c>
      <c r="B210" s="11" t="s">
        <v>205</v>
      </c>
      <c r="C210" s="11" t="s">
        <v>95</v>
      </c>
      <c r="D210" s="11" t="s">
        <v>75</v>
      </c>
      <c r="E210" s="13">
        <v>425000</v>
      </c>
      <c r="F210" s="13"/>
      <c r="G210" s="13">
        <v>0</v>
      </c>
      <c r="H210" s="40">
        <f>F210+G210</f>
        <v>0</v>
      </c>
      <c r="I210" s="47">
        <f>E210-H210</f>
        <v>425000</v>
      </c>
      <c r="J210" s="17">
        <f>IFERROR(H210/E210,0)</f>
        <v>0</v>
      </c>
      <c r="K210" s="18" t="str">
        <f>IF(E210=0,"Sin Plan",IF(J210&gt;=1,"Completado",IF(J210&gt;0.001,"En Progreso","Pendiente de ejecutar")))</f>
        <v>Pendiente de ejecutar</v>
      </c>
      <c r="L210" s="6" t="s">
        <v>323</v>
      </c>
      <c r="M210" s="6" t="s">
        <v>320</v>
      </c>
    </row>
    <row r="211" spans="1:13" hidden="1" x14ac:dyDescent="0.35">
      <c r="A211" s="48" t="s">
        <v>226</v>
      </c>
      <c r="B211" s="29" t="s">
        <v>205</v>
      </c>
      <c r="C211" s="48" t="s">
        <v>37</v>
      </c>
      <c r="D211" s="29" t="s">
        <v>38</v>
      </c>
      <c r="E211" s="41">
        <v>13935000</v>
      </c>
      <c r="F211" s="41">
        <f>17067.28*3</f>
        <v>51201.84</v>
      </c>
      <c r="G211" s="41">
        <v>7818647.7199999997</v>
      </c>
      <c r="H211" s="40">
        <f>F211+G211</f>
        <v>7869849.5599999996</v>
      </c>
      <c r="I211" s="47">
        <f>E211-H211</f>
        <v>6065150.4400000004</v>
      </c>
      <c r="J211" s="17">
        <f>IFERROR(H211/E211,0)</f>
        <v>0.56475418442769998</v>
      </c>
      <c r="K211" s="18" t="str">
        <f>IF(E211=0,"Sin Plan",IF(J211&gt;=1,"Completado",IF(J211&gt;0.001,"En Progreso","Pendiente de ejecutar")))</f>
        <v>En Progreso</v>
      </c>
      <c r="L211" s="6" t="s">
        <v>321</v>
      </c>
      <c r="M211" s="6" t="s">
        <v>320</v>
      </c>
    </row>
    <row r="212" spans="1:13" hidden="1" x14ac:dyDescent="0.35">
      <c r="A212" s="11" t="s">
        <v>241</v>
      </c>
      <c r="B212" s="11" t="s">
        <v>205</v>
      </c>
      <c r="C212" s="11" t="s">
        <v>63</v>
      </c>
      <c r="D212" s="11" t="s">
        <v>64</v>
      </c>
      <c r="E212" s="14">
        <v>400000</v>
      </c>
      <c r="F212" s="14">
        <v>0</v>
      </c>
      <c r="G212" s="14">
        <v>0</v>
      </c>
      <c r="H212" s="40">
        <f>F212+G212</f>
        <v>0</v>
      </c>
      <c r="I212" s="47">
        <f>E212-H212</f>
        <v>400000</v>
      </c>
      <c r="J212" s="17">
        <f>IFERROR(H212/E212,0)</f>
        <v>0</v>
      </c>
      <c r="K212" s="18" t="str">
        <f>IF(E212=0,"Sin Plan",IF(J212&gt;=1,"Completado",IF(J212&gt;0.001,"En Progreso","Pendiente de ejecutar")))</f>
        <v>Pendiente de ejecutar</v>
      </c>
      <c r="L212" s="6" t="s">
        <v>321</v>
      </c>
      <c r="M212" s="6" t="s">
        <v>320</v>
      </c>
    </row>
    <row r="213" spans="1:13" hidden="1" x14ac:dyDescent="0.35">
      <c r="A213" s="19" t="s">
        <v>154</v>
      </c>
      <c r="B213" s="19" t="s">
        <v>128</v>
      </c>
      <c r="C213" s="19" t="s">
        <v>29</v>
      </c>
      <c r="D213" s="19" t="s">
        <v>30</v>
      </c>
      <c r="E213" s="13">
        <v>390000</v>
      </c>
      <c r="F213" s="13">
        <v>0</v>
      </c>
      <c r="G213" s="13">
        <v>0</v>
      </c>
      <c r="H213" s="40">
        <f>F213+G213</f>
        <v>0</v>
      </c>
      <c r="I213" s="47">
        <f>E213-H213</f>
        <v>390000</v>
      </c>
      <c r="J213" s="17">
        <f>IFERROR(H213/E213,0)</f>
        <v>0</v>
      </c>
      <c r="K213" s="18" t="str">
        <f>IF(E213=0,"Sin Plan",IF(J213&gt;=1,"Completado",IF(J213&gt;0.001,"En Progreso","Pendiente de ejecutar")))</f>
        <v>Pendiente de ejecutar</v>
      </c>
      <c r="L213" s="6" t="s">
        <v>323</v>
      </c>
      <c r="M213" s="6" t="s">
        <v>320</v>
      </c>
    </row>
    <row r="214" spans="1:13" hidden="1" x14ac:dyDescent="0.35">
      <c r="A214" s="28" t="s">
        <v>198</v>
      </c>
      <c r="B214" s="11" t="s">
        <v>205</v>
      </c>
      <c r="C214" s="11" t="s">
        <v>196</v>
      </c>
      <c r="D214" s="11" t="s">
        <v>197</v>
      </c>
      <c r="E214" s="13">
        <v>390000</v>
      </c>
      <c r="F214" s="13">
        <f>98659.84*3</f>
        <v>295979.52000000002</v>
      </c>
      <c r="G214" s="13">
        <v>0</v>
      </c>
      <c r="H214" s="40">
        <f>F214+G214</f>
        <v>295979.52000000002</v>
      </c>
      <c r="I214" s="47">
        <f>E214-H214</f>
        <v>94020.479999999981</v>
      </c>
      <c r="J214" s="17">
        <f>IFERROR(H214/E214,0)</f>
        <v>0.75892184615384617</v>
      </c>
      <c r="K214" s="18" t="str">
        <f>IF(E214=0,"Sin Plan",IF(J214&gt;=1,"Completado",IF(J214&gt;0.001,"En Progreso","Pendiente de ejecutar")))</f>
        <v>En Progreso</v>
      </c>
      <c r="L214" s="6" t="s">
        <v>323</v>
      </c>
      <c r="M214" s="6" t="s">
        <v>320</v>
      </c>
    </row>
    <row r="215" spans="1:13" hidden="1" x14ac:dyDescent="0.35">
      <c r="A215" s="19" t="s">
        <v>280</v>
      </c>
      <c r="B215" s="19" t="s">
        <v>273</v>
      </c>
      <c r="C215" s="19" t="s">
        <v>71</v>
      </c>
      <c r="D215" s="19" t="s">
        <v>72</v>
      </c>
      <c r="E215" s="13">
        <v>375000</v>
      </c>
      <c r="F215" s="13">
        <v>0</v>
      </c>
      <c r="G215" s="14">
        <v>452647.19</v>
      </c>
      <c r="H215" s="40">
        <f>F215+Table2[[#This Row],[Comprometido (RD$)]]</f>
        <v>452647.19</v>
      </c>
      <c r="I215" s="47">
        <f>E215-H215</f>
        <v>-77647.19</v>
      </c>
      <c r="J215" s="17">
        <f>IFERROR(H215/E215,0)</f>
        <v>1.2070591733333333</v>
      </c>
      <c r="K215" s="18" t="str">
        <f>IF(E215=0,"Sin Plan",IF(J215&gt;=1,"Completado",IF(J215&gt;0.001,"En Progreso","Pendiente de ejecutar")))</f>
        <v>Completado</v>
      </c>
      <c r="L215" s="6" t="s">
        <v>323</v>
      </c>
      <c r="M215" s="6" t="s">
        <v>320</v>
      </c>
    </row>
    <row r="216" spans="1:13" hidden="1" x14ac:dyDescent="0.35">
      <c r="A216" s="11" t="s">
        <v>239</v>
      </c>
      <c r="B216" s="11" t="s">
        <v>205</v>
      </c>
      <c r="C216" s="11" t="s">
        <v>83</v>
      </c>
      <c r="D216" s="11" t="s">
        <v>84</v>
      </c>
      <c r="E216" s="13">
        <v>374000</v>
      </c>
      <c r="F216" s="13">
        <v>81650</v>
      </c>
      <c r="G216" s="13">
        <v>78850</v>
      </c>
      <c r="H216" s="40">
        <f>F216+G216</f>
        <v>160500</v>
      </c>
      <c r="I216" s="47">
        <f>E216-H216</f>
        <v>213500</v>
      </c>
      <c r="J216" s="17">
        <f>IFERROR(H216/E216,0)</f>
        <v>0.42914438502673796</v>
      </c>
      <c r="K216" s="18" t="str">
        <f>IF(E216=0,"Sin Plan",IF(J216&gt;=1,"Completado",IF(J216&gt;0.001,"En Progreso","Pendiente de ejecutar")))</f>
        <v>En Progreso</v>
      </c>
      <c r="L216" s="6" t="s">
        <v>321</v>
      </c>
      <c r="M216" s="6" t="s">
        <v>320</v>
      </c>
    </row>
    <row r="217" spans="1:13" hidden="1" x14ac:dyDescent="0.35">
      <c r="A217" s="11" t="s">
        <v>89</v>
      </c>
      <c r="B217" s="11" t="s">
        <v>319</v>
      </c>
      <c r="C217" s="11" t="s">
        <v>15</v>
      </c>
      <c r="D217" s="11" t="s">
        <v>16</v>
      </c>
      <c r="E217" s="13">
        <v>0</v>
      </c>
      <c r="F217" s="13">
        <v>0</v>
      </c>
      <c r="G217" s="13">
        <v>0</v>
      </c>
      <c r="H217" s="40">
        <f>F217+G217</f>
        <v>0</v>
      </c>
      <c r="I217" s="47">
        <f>E217-H217</f>
        <v>0</v>
      </c>
      <c r="J217" s="17">
        <f>IFERROR(H217/E217,0)</f>
        <v>0</v>
      </c>
      <c r="K217" s="18" t="str">
        <f>IF(E217=0,"Sin Plan",IF(J217&gt;=1,"Completado",IF(J217&gt;0.001,"En Progreso","Pendiente de ejecutar")))</f>
        <v>Sin Plan</v>
      </c>
      <c r="L217" s="6" t="s">
        <v>321</v>
      </c>
      <c r="M217" s="6" t="s">
        <v>318</v>
      </c>
    </row>
    <row r="218" spans="1:13" hidden="1" x14ac:dyDescent="0.35">
      <c r="A218" s="20" t="s">
        <v>87</v>
      </c>
      <c r="B218" s="11" t="s">
        <v>319</v>
      </c>
      <c r="C218" s="20" t="s">
        <v>47</v>
      </c>
      <c r="D218" s="20" t="s">
        <v>48</v>
      </c>
      <c r="E218" s="14">
        <v>132300</v>
      </c>
      <c r="F218" s="14">
        <v>137843.10999999999</v>
      </c>
      <c r="G218" s="14">
        <v>0</v>
      </c>
      <c r="H218" s="40">
        <f>F218+G218</f>
        <v>137843.10999999999</v>
      </c>
      <c r="I218" s="47">
        <f>E218-H218</f>
        <v>-5543.109999999986</v>
      </c>
      <c r="J218" s="17">
        <f>IFERROR(H218/E218,0)</f>
        <v>1.0418980347694633</v>
      </c>
      <c r="K218" s="18" t="str">
        <f>IF(E218=0,"Sin Plan",IF(J218&gt;=1,"Completado",IF(J218&gt;0.001,"En Progreso","Pendiente de ejecutar")))</f>
        <v>Completado</v>
      </c>
      <c r="L218" s="6" t="s">
        <v>323</v>
      </c>
      <c r="M218" s="6" t="s">
        <v>320</v>
      </c>
    </row>
    <row r="219" spans="1:13" hidden="1" x14ac:dyDescent="0.35">
      <c r="A219" s="11" t="s">
        <v>88</v>
      </c>
      <c r="B219" s="11" t="s">
        <v>319</v>
      </c>
      <c r="C219" s="11" t="s">
        <v>13</v>
      </c>
      <c r="D219" s="11" t="s">
        <v>14</v>
      </c>
      <c r="E219" s="14">
        <v>685000</v>
      </c>
      <c r="F219" s="14">
        <v>0</v>
      </c>
      <c r="G219" s="14">
        <v>872400</v>
      </c>
      <c r="H219" s="40">
        <f>F219+G219</f>
        <v>872400</v>
      </c>
      <c r="I219" s="47">
        <f>E219-H219</f>
        <v>-187400</v>
      </c>
      <c r="J219" s="17">
        <f>IFERROR(H219/E219,0)</f>
        <v>1.2735766423357664</v>
      </c>
      <c r="K219" s="18" t="str">
        <f>IF(E219=0,"Sin Plan",IF(J219&gt;=1,"Completado",IF(J219&gt;0.001,"En Progreso","Pendiente de ejecutar")))</f>
        <v>Completado</v>
      </c>
      <c r="L219" s="6" t="s">
        <v>323</v>
      </c>
      <c r="M219" s="6" t="s">
        <v>320</v>
      </c>
    </row>
    <row r="220" spans="1:13" hidden="1" x14ac:dyDescent="0.35">
      <c r="A220" s="11" t="s">
        <v>88</v>
      </c>
      <c r="B220" s="11" t="s">
        <v>319</v>
      </c>
      <c r="C220" s="11" t="s">
        <v>39</v>
      </c>
      <c r="D220" s="11" t="s">
        <v>40</v>
      </c>
      <c r="E220" s="13">
        <v>450000</v>
      </c>
      <c r="F220" s="13">
        <v>369844.9</v>
      </c>
      <c r="G220" s="13"/>
      <c r="H220" s="40">
        <f>F220+G220</f>
        <v>369844.9</v>
      </c>
      <c r="I220" s="47">
        <f>E220-H220</f>
        <v>80155.099999999977</v>
      </c>
      <c r="J220" s="17">
        <f>IFERROR(H220/E220,0)</f>
        <v>0.82187755555555564</v>
      </c>
      <c r="K220" s="18" t="str">
        <f>IF(E220=0,"Sin Plan",IF(J220&gt;=1,"Completado",IF(J220&gt;0.001,"En Progreso","Pendiente de ejecutar")))</f>
        <v>En Progreso</v>
      </c>
      <c r="L220" s="6" t="s">
        <v>323</v>
      </c>
      <c r="M220" s="6" t="s">
        <v>320</v>
      </c>
    </row>
    <row r="221" spans="1:13" hidden="1" x14ac:dyDescent="0.35">
      <c r="A221" s="19" t="s">
        <v>282</v>
      </c>
      <c r="B221" s="11" t="s">
        <v>205</v>
      </c>
      <c r="C221" s="19" t="s">
        <v>211</v>
      </c>
      <c r="D221" s="19" t="s">
        <v>212</v>
      </c>
      <c r="E221" s="13">
        <v>355900</v>
      </c>
      <c r="F221" s="13">
        <v>0</v>
      </c>
      <c r="G221" s="13">
        <v>0</v>
      </c>
      <c r="H221" s="40">
        <f>F221+G221</f>
        <v>0</v>
      </c>
      <c r="I221" s="47">
        <f>E221-H221</f>
        <v>355900</v>
      </c>
      <c r="J221" s="17">
        <f>IFERROR(H221/E221,0)</f>
        <v>0</v>
      </c>
      <c r="K221" s="18" t="str">
        <f>IF(E221=0,"Sin Plan",IF(J221&gt;=1,"Completado",IF(J221&gt;0.001,"En Progreso","Pendiente de ejecutar")))</f>
        <v>Pendiente de ejecutar</v>
      </c>
      <c r="L221" s="6" t="s">
        <v>321</v>
      </c>
      <c r="M221" s="6" t="s">
        <v>320</v>
      </c>
    </row>
    <row r="222" spans="1:13" s="2" customFormat="1" x14ac:dyDescent="0.35">
      <c r="A222" s="29" t="s">
        <v>204</v>
      </c>
      <c r="B222" s="11" t="s">
        <v>205</v>
      </c>
      <c r="C222" s="11"/>
      <c r="D222" s="11" t="s">
        <v>24</v>
      </c>
      <c r="E222" s="14"/>
      <c r="F222" s="100"/>
      <c r="G222" s="36">
        <v>584027</v>
      </c>
      <c r="H222" s="40">
        <f>F222+G222</f>
        <v>584027</v>
      </c>
      <c r="I222" s="47">
        <f>E222-H222</f>
        <v>-584027</v>
      </c>
      <c r="J222" s="17">
        <f>IFERROR(H222/E222,0)</f>
        <v>0</v>
      </c>
      <c r="K222" s="18" t="str">
        <f>IF(E222=0,"Sin Plan",IF(J222&gt;=1,"Completado",IF(J222&gt;0.001,"En Progreso","Pendiente de ejecutar")))</f>
        <v>Sin Plan</v>
      </c>
      <c r="L222" s="81" t="s">
        <v>321</v>
      </c>
      <c r="M222" s="6"/>
    </row>
    <row r="223" spans="1:13" hidden="1" x14ac:dyDescent="0.35">
      <c r="A223" s="49" t="s">
        <v>228</v>
      </c>
      <c r="B223" s="29" t="s">
        <v>205</v>
      </c>
      <c r="C223" s="49" t="s">
        <v>37</v>
      </c>
      <c r="D223" s="29" t="s">
        <v>38</v>
      </c>
      <c r="E223" s="40">
        <v>19653015.640000001</v>
      </c>
      <c r="F223" s="40">
        <v>0</v>
      </c>
      <c r="G223" s="40">
        <v>4224227.12</v>
      </c>
      <c r="H223" s="40">
        <f>F223+G223</f>
        <v>4224227.12</v>
      </c>
      <c r="I223" s="47">
        <f>E223-H223</f>
        <v>15428788.52</v>
      </c>
      <c r="J223" s="17">
        <f>IFERROR(H223/E223,0)</f>
        <v>0.21494040392469763</v>
      </c>
      <c r="K223" s="18" t="str">
        <f>IF(E223=0,"Sin Plan",IF(J223&gt;=1,"Completado",IF(J223&gt;0.001,"En Progreso","Pendiente de ejecutar")))</f>
        <v>En Progreso</v>
      </c>
      <c r="L223" s="6" t="s">
        <v>321</v>
      </c>
      <c r="M223" s="6" t="s">
        <v>320</v>
      </c>
    </row>
    <row r="224" spans="1:13" x14ac:dyDescent="0.35">
      <c r="A224" s="29" t="s">
        <v>204</v>
      </c>
      <c r="B224" s="11" t="s">
        <v>205</v>
      </c>
      <c r="C224" s="19"/>
      <c r="D224" s="19" t="s">
        <v>401</v>
      </c>
      <c r="E224" s="13"/>
      <c r="F224" s="100"/>
      <c r="G224" s="36">
        <v>80416.36</v>
      </c>
      <c r="H224" s="40">
        <f>F224+G224</f>
        <v>80416.36</v>
      </c>
      <c r="I224" s="47">
        <f>E224-H224</f>
        <v>-80416.36</v>
      </c>
      <c r="J224" s="17">
        <f>IFERROR(H224/E224,0)</f>
        <v>0</v>
      </c>
      <c r="K224" s="18" t="str">
        <f>IF(E224=0,"Sin Plan",IF(J224&gt;=1,"Completado",IF(J224&gt;0.001,"En Progreso","Pendiente de ejecutar")))</f>
        <v>Sin Plan</v>
      </c>
      <c r="L224" s="81" t="s">
        <v>323</v>
      </c>
      <c r="M224" s="6"/>
    </row>
    <row r="225" spans="1:13" x14ac:dyDescent="0.35">
      <c r="A225" s="29" t="s">
        <v>204</v>
      </c>
      <c r="B225" s="11" t="s">
        <v>205</v>
      </c>
      <c r="C225" s="28"/>
      <c r="D225" s="48" t="s">
        <v>391</v>
      </c>
      <c r="E225" s="41"/>
      <c r="F225" s="100"/>
      <c r="G225" s="36">
        <v>522416.26</v>
      </c>
      <c r="H225" s="40">
        <f>F225+G225</f>
        <v>522416.26</v>
      </c>
      <c r="I225" s="47">
        <f>E225-H225</f>
        <v>-522416.26</v>
      </c>
      <c r="J225" s="17">
        <f>IFERROR(H225/E225,0)</f>
        <v>0</v>
      </c>
      <c r="K225" s="18" t="str">
        <f>IF(E225=0,"Sin Plan",IF(J225&gt;=1,"Completado",IF(J225&gt;0.001,"En Progreso","Pendiente de ejecutar")))</f>
        <v>Sin Plan</v>
      </c>
      <c r="L225" s="81" t="s">
        <v>321</v>
      </c>
      <c r="M225" s="6"/>
    </row>
    <row r="226" spans="1:13" x14ac:dyDescent="0.35">
      <c r="A226" s="29" t="s">
        <v>204</v>
      </c>
      <c r="B226" s="11" t="s">
        <v>205</v>
      </c>
      <c r="C226" s="11"/>
      <c r="D226" s="29" t="s">
        <v>389</v>
      </c>
      <c r="E226" s="40"/>
      <c r="F226" s="100"/>
      <c r="G226" s="36">
        <v>24896.5</v>
      </c>
      <c r="H226" s="40">
        <f>F226+G226</f>
        <v>24896.5</v>
      </c>
      <c r="I226" s="47">
        <f>E226-H226</f>
        <v>-24896.5</v>
      </c>
      <c r="J226" s="17">
        <f>IFERROR(H226/E226,0)</f>
        <v>0</v>
      </c>
      <c r="K226" s="18" t="str">
        <f>IF(E226=0,"Sin Plan",IF(J226&gt;=1,"Completado",IF(J226&gt;0.001,"En Progreso","Pendiente de ejecutar")))</f>
        <v>Sin Plan</v>
      </c>
      <c r="L226" s="81" t="s">
        <v>323</v>
      </c>
      <c r="M226" s="6"/>
    </row>
    <row r="227" spans="1:13" hidden="1" x14ac:dyDescent="0.35">
      <c r="A227" s="20" t="s">
        <v>287</v>
      </c>
      <c r="B227" s="11" t="s">
        <v>205</v>
      </c>
      <c r="C227" s="20" t="s">
        <v>125</v>
      </c>
      <c r="D227" s="20" t="s">
        <v>126</v>
      </c>
      <c r="E227" s="14">
        <v>350000</v>
      </c>
      <c r="F227" s="36">
        <v>163900</v>
      </c>
      <c r="G227" s="14">
        <v>0</v>
      </c>
      <c r="H227" s="40">
        <f>F227+G227</f>
        <v>163900</v>
      </c>
      <c r="I227" s="47">
        <f>E227-H227</f>
        <v>186100</v>
      </c>
      <c r="J227" s="17">
        <f>IFERROR(H227/E227,0)</f>
        <v>0.46828571428571431</v>
      </c>
      <c r="K227" s="18" t="str">
        <f>IF(E227=0,"Sin Plan",IF(J227&gt;=1,"Completado",IF(J227&gt;0.001,"En Progreso","Pendiente de ejecutar")))</f>
        <v>En Progreso</v>
      </c>
      <c r="L227" s="6" t="s">
        <v>321</v>
      </c>
      <c r="M227" s="6" t="s">
        <v>320</v>
      </c>
    </row>
    <row r="228" spans="1:13" hidden="1" x14ac:dyDescent="0.35">
      <c r="A228" s="11" t="s">
        <v>225</v>
      </c>
      <c r="B228" s="11" t="s">
        <v>205</v>
      </c>
      <c r="C228" s="11" t="s">
        <v>47</v>
      </c>
      <c r="D228" s="11" t="s">
        <v>48</v>
      </c>
      <c r="E228" s="13">
        <v>346500</v>
      </c>
      <c r="F228" s="13">
        <v>534306.94999999995</v>
      </c>
      <c r="G228" s="13">
        <v>0</v>
      </c>
      <c r="H228" s="40">
        <f>F228+G228</f>
        <v>534306.94999999995</v>
      </c>
      <c r="I228" s="47">
        <f>E228-H228</f>
        <v>-187806.94999999995</v>
      </c>
      <c r="J228" s="17">
        <f>IFERROR(H228/E228,0)</f>
        <v>1.5420113997113996</v>
      </c>
      <c r="K228" s="18" t="str">
        <f>IF(E228=0,"Sin Plan",IF(J228&gt;=1,"Completado",IF(J228&gt;0.001,"En Progreso","Pendiente de ejecutar")))</f>
        <v>Completado</v>
      </c>
      <c r="L228" s="6" t="s">
        <v>323</v>
      </c>
      <c r="M228" s="6" t="s">
        <v>320</v>
      </c>
    </row>
    <row r="229" spans="1:13" hidden="1" x14ac:dyDescent="0.35">
      <c r="A229" s="20" t="s">
        <v>88</v>
      </c>
      <c r="B229" s="11" t="s">
        <v>319</v>
      </c>
      <c r="C229" s="20" t="s">
        <v>27</v>
      </c>
      <c r="D229" s="20" t="s">
        <v>28</v>
      </c>
      <c r="E229" s="14">
        <v>428000</v>
      </c>
      <c r="F229" s="14">
        <v>0</v>
      </c>
      <c r="G229" s="14">
        <v>116499.8</v>
      </c>
      <c r="H229" s="40">
        <f>F229+G229</f>
        <v>116499.8</v>
      </c>
      <c r="I229" s="47">
        <f>E229-H229</f>
        <v>311500.2</v>
      </c>
      <c r="J229" s="17">
        <f>IFERROR(H229/E229,0)</f>
        <v>0.27219579439252339</v>
      </c>
      <c r="K229" s="18" t="str">
        <f>IF(E229=0,"Sin Plan",IF(J229&gt;=1,"Completado",IF(J229&gt;0.001,"En Progreso","Pendiente de ejecutar")))</f>
        <v>En Progreso</v>
      </c>
      <c r="L229" s="6" t="s">
        <v>323</v>
      </c>
      <c r="M229" s="6" t="s">
        <v>320</v>
      </c>
    </row>
    <row r="230" spans="1:13" hidden="1" x14ac:dyDescent="0.35">
      <c r="A230" s="20" t="s">
        <v>185</v>
      </c>
      <c r="B230" s="11" t="s">
        <v>205</v>
      </c>
      <c r="C230" s="20" t="s">
        <v>83</v>
      </c>
      <c r="D230" s="20" t="s">
        <v>84</v>
      </c>
      <c r="E230" s="14">
        <v>333500</v>
      </c>
      <c r="F230" s="36">
        <v>203500</v>
      </c>
      <c r="G230" s="41"/>
      <c r="H230" s="40">
        <f>F230+G230</f>
        <v>203500</v>
      </c>
      <c r="I230" s="47">
        <f>E230-H230</f>
        <v>130000</v>
      </c>
      <c r="J230" s="17">
        <f>IFERROR(H230/E230,0)</f>
        <v>0.61019490254872566</v>
      </c>
      <c r="K230" s="18" t="str">
        <f>IF(E230=0,"Sin Plan",IF(J230&gt;=1,"Completado",IF(J230&gt;0.001,"En Progreso","Pendiente de ejecutar")))</f>
        <v>En Progreso</v>
      </c>
      <c r="L230" s="6" t="s">
        <v>321</v>
      </c>
      <c r="M230" s="6" t="s">
        <v>320</v>
      </c>
    </row>
    <row r="231" spans="1:13" hidden="1" x14ac:dyDescent="0.35">
      <c r="A231" s="11" t="s">
        <v>293</v>
      </c>
      <c r="B231" s="11" t="s">
        <v>205</v>
      </c>
      <c r="C231" s="11" t="s">
        <v>83</v>
      </c>
      <c r="D231" s="11" t="s">
        <v>84</v>
      </c>
      <c r="E231" s="13">
        <v>328500</v>
      </c>
      <c r="F231" s="13">
        <v>0</v>
      </c>
      <c r="G231" s="13">
        <v>0</v>
      </c>
      <c r="H231" s="40">
        <f>F231+G231</f>
        <v>0</v>
      </c>
      <c r="I231" s="47">
        <f>E231-H231</f>
        <v>328500</v>
      </c>
      <c r="J231" s="17">
        <f>IFERROR(H231/E231,0)</f>
        <v>0</v>
      </c>
      <c r="K231" s="18" t="str">
        <f>IF(E231=0,"Sin Plan",IF(J231&gt;=1,"Completado",IF(J231&gt;0.001,"En Progreso","Pendiente de ejecutar")))</f>
        <v>Pendiente de ejecutar</v>
      </c>
      <c r="L231" s="6" t="s">
        <v>321</v>
      </c>
      <c r="M231" s="6" t="s">
        <v>320</v>
      </c>
    </row>
    <row r="232" spans="1:13" x14ac:dyDescent="0.35">
      <c r="A232" s="26" t="s">
        <v>219</v>
      </c>
      <c r="B232" s="11" t="s">
        <v>205</v>
      </c>
      <c r="C232" s="26" t="s">
        <v>23</v>
      </c>
      <c r="D232" s="26" t="s">
        <v>24</v>
      </c>
      <c r="E232" s="13">
        <v>4356000</v>
      </c>
      <c r="F232" s="35">
        <v>2861682.71</v>
      </c>
      <c r="G232" s="13">
        <v>0</v>
      </c>
      <c r="H232" s="40">
        <f>F232+G232</f>
        <v>2861682.71</v>
      </c>
      <c r="I232" s="47">
        <f>E232-H232</f>
        <v>1494317.29</v>
      </c>
      <c r="J232" s="17">
        <f>IFERROR(H232/E232,0)</f>
        <v>0.65695195362718084</v>
      </c>
      <c r="K232" s="18" t="str">
        <f>IF(E232=0,"Sin Plan",IF(J232&gt;=1,"Completado",IF(J232&gt;0.001,"En Progreso","Pendiente de ejecutar")))</f>
        <v>En Progreso</v>
      </c>
      <c r="L232" s="6" t="s">
        <v>321</v>
      </c>
      <c r="M232" s="6" t="s">
        <v>320</v>
      </c>
    </row>
    <row r="233" spans="1:13" hidden="1" x14ac:dyDescent="0.35">
      <c r="A233" s="11" t="s">
        <v>222</v>
      </c>
      <c r="B233" s="11" t="s">
        <v>205</v>
      </c>
      <c r="C233" s="11" t="s">
        <v>83</v>
      </c>
      <c r="D233" s="11" t="s">
        <v>84</v>
      </c>
      <c r="E233" s="13">
        <v>318200</v>
      </c>
      <c r="F233" s="15">
        <v>135000</v>
      </c>
      <c r="G233" s="13">
        <v>0</v>
      </c>
      <c r="H233" s="40">
        <f>F233+G233</f>
        <v>135000</v>
      </c>
      <c r="I233" s="47">
        <f>E233-H233</f>
        <v>183200</v>
      </c>
      <c r="J233" s="17">
        <f>IFERROR(H233/E233,0)</f>
        <v>0.42426147077309867</v>
      </c>
      <c r="K233" s="18" t="str">
        <f>IF(E233=0,"Sin Plan",IF(J233&gt;=1,"Completado",IF(J233&gt;0.001,"En Progreso","Pendiente de ejecutar")))</f>
        <v>En Progreso</v>
      </c>
      <c r="L233" s="6" t="s">
        <v>321</v>
      </c>
      <c r="M233" s="6" t="s">
        <v>320</v>
      </c>
    </row>
    <row r="234" spans="1:13" hidden="1" x14ac:dyDescent="0.35">
      <c r="A234" s="20" t="s">
        <v>210</v>
      </c>
      <c r="B234" s="11" t="s">
        <v>205</v>
      </c>
      <c r="C234" s="20" t="s">
        <v>211</v>
      </c>
      <c r="D234" s="20" t="s">
        <v>212</v>
      </c>
      <c r="E234" s="14">
        <v>311000</v>
      </c>
      <c r="F234" s="14">
        <v>205239.74</v>
      </c>
      <c r="G234" s="14">
        <v>0</v>
      </c>
      <c r="H234" s="40">
        <f>F234+G234</f>
        <v>205239.74</v>
      </c>
      <c r="I234" s="47">
        <f>E234-H234</f>
        <v>105760.26000000001</v>
      </c>
      <c r="J234" s="17">
        <f>IFERROR(H234/E234,0)</f>
        <v>0.65993485530546625</v>
      </c>
      <c r="K234" s="18" t="str">
        <f>IF(E234=0,"Sin Plan",IF(J234&gt;=1,"Completado",IF(J234&gt;0.001,"En Progreso","Pendiente de ejecutar")))</f>
        <v>En Progreso</v>
      </c>
      <c r="L234" s="6" t="s">
        <v>323</v>
      </c>
      <c r="M234" s="6" t="s">
        <v>320</v>
      </c>
    </row>
    <row r="235" spans="1:13" x14ac:dyDescent="0.35">
      <c r="A235" s="11" t="s">
        <v>219</v>
      </c>
      <c r="B235" s="11" t="s">
        <v>205</v>
      </c>
      <c r="C235" s="22"/>
      <c r="D235" s="22" t="s">
        <v>325</v>
      </c>
      <c r="E235" s="14">
        <v>4308978.3</v>
      </c>
      <c r="F235" s="100"/>
      <c r="G235" s="100"/>
      <c r="H235" s="40">
        <f>F235+G235</f>
        <v>0</v>
      </c>
      <c r="I235" s="47">
        <f>E235-H235</f>
        <v>4308978.3</v>
      </c>
      <c r="J235" s="17">
        <f>IFERROR(H235/E235,0)</f>
        <v>0</v>
      </c>
      <c r="K235" s="18" t="str">
        <f>IF(E235=0,"Sin Plan",IF(J235&gt;=1,"Completado",IF(J235&gt;0.001,"En Progreso","Pendiente de ejecutar")))</f>
        <v>Pendiente de ejecutar</v>
      </c>
      <c r="L235" s="81" t="s">
        <v>321</v>
      </c>
      <c r="M235" s="6"/>
    </row>
    <row r="236" spans="1:13" hidden="1" x14ac:dyDescent="0.35">
      <c r="A236" s="28" t="s">
        <v>198</v>
      </c>
      <c r="B236" s="11" t="s">
        <v>205</v>
      </c>
      <c r="C236" s="20" t="s">
        <v>199</v>
      </c>
      <c r="D236" s="20" t="s">
        <v>200</v>
      </c>
      <c r="E236" s="14">
        <v>310000</v>
      </c>
      <c r="F236" s="14">
        <v>0</v>
      </c>
      <c r="G236" s="14">
        <v>0</v>
      </c>
      <c r="H236" s="40">
        <f>F236+G236</f>
        <v>0</v>
      </c>
      <c r="I236" s="47">
        <f>E236-H236</f>
        <v>310000</v>
      </c>
      <c r="J236" s="17">
        <f>IFERROR(H236/E236,0)</f>
        <v>0</v>
      </c>
      <c r="K236" s="18" t="str">
        <f>IF(E236=0,"Sin Plan",IF(J236&gt;=1,"Completado",IF(J236&gt;0.001,"En Progreso","Pendiente de ejecutar")))</f>
        <v>Pendiente de ejecutar</v>
      </c>
      <c r="L236" s="6" t="s">
        <v>321</v>
      </c>
      <c r="M236" s="6" t="s">
        <v>320</v>
      </c>
    </row>
    <row r="237" spans="1:13" hidden="1" x14ac:dyDescent="0.35">
      <c r="A237" s="11" t="s">
        <v>241</v>
      </c>
      <c r="B237" s="11" t="s">
        <v>205</v>
      </c>
      <c r="C237" s="11" t="s">
        <v>211</v>
      </c>
      <c r="D237" s="11" t="s">
        <v>212</v>
      </c>
      <c r="E237" s="14">
        <v>310000</v>
      </c>
      <c r="F237" s="14">
        <v>205239.74</v>
      </c>
      <c r="G237" s="14">
        <v>0</v>
      </c>
      <c r="H237" s="40">
        <f>F237+G237</f>
        <v>205239.74</v>
      </c>
      <c r="I237" s="47">
        <f>E237-H237</f>
        <v>104760.26000000001</v>
      </c>
      <c r="J237" s="17">
        <f>IFERROR(H237/E237,0)</f>
        <v>0.66206367741935479</v>
      </c>
      <c r="K237" s="18" t="str">
        <f>IF(E237=0,"Sin Plan",IF(J237&gt;=1,"Completado",IF(J237&gt;0.001,"En Progreso","Pendiente de ejecutar")))</f>
        <v>En Progreso</v>
      </c>
      <c r="L237" s="6" t="s">
        <v>323</v>
      </c>
      <c r="M237" s="6" t="s">
        <v>320</v>
      </c>
    </row>
    <row r="238" spans="1:13" hidden="1" x14ac:dyDescent="0.35">
      <c r="A238" s="20" t="s">
        <v>280</v>
      </c>
      <c r="B238" s="20" t="s">
        <v>273</v>
      </c>
      <c r="C238" s="20" t="s">
        <v>194</v>
      </c>
      <c r="D238" s="20" t="s">
        <v>195</v>
      </c>
      <c r="E238" s="14">
        <v>310000</v>
      </c>
      <c r="F238" s="14">
        <v>0</v>
      </c>
      <c r="G238" s="14">
        <v>0</v>
      </c>
      <c r="H238" s="40">
        <f>F238+Table2[[#This Row],[Comprometido (RD$)]]</f>
        <v>0</v>
      </c>
      <c r="I238" s="47">
        <f>E238-H238</f>
        <v>310000</v>
      </c>
      <c r="J238" s="17">
        <f>IFERROR(H238/E238,0)</f>
        <v>0</v>
      </c>
      <c r="K238" s="18" t="str">
        <f>IF(E238=0,"Sin Plan",IF(J238&gt;=1,"Completado",IF(J238&gt;0.001,"En Progreso","Pendiente de ejecutar")))</f>
        <v>Pendiente de ejecutar</v>
      </c>
      <c r="L238" s="6" t="s">
        <v>323</v>
      </c>
      <c r="M238" s="6" t="s">
        <v>320</v>
      </c>
    </row>
    <row r="239" spans="1:13" hidden="1" x14ac:dyDescent="0.35">
      <c r="A239" s="11" t="s">
        <v>293</v>
      </c>
      <c r="B239" s="11" t="s">
        <v>205</v>
      </c>
      <c r="C239" s="11" t="s">
        <v>211</v>
      </c>
      <c r="D239" s="11" t="s">
        <v>212</v>
      </c>
      <c r="E239" s="13">
        <v>310000</v>
      </c>
      <c r="F239" s="13">
        <v>0</v>
      </c>
      <c r="G239" s="13">
        <v>205239.74</v>
      </c>
      <c r="H239" s="40">
        <f>F239+G239</f>
        <v>205239.74</v>
      </c>
      <c r="I239" s="47">
        <f>E239-H239</f>
        <v>104760.26000000001</v>
      </c>
      <c r="J239" s="17">
        <f>IFERROR(H239/E239,0)</f>
        <v>0.66206367741935479</v>
      </c>
      <c r="K239" s="18" t="str">
        <f>IF(E239=0,"Sin Plan",IF(J239&gt;=1,"Completado",IF(J239&gt;0.001,"En Progreso","Pendiente de ejecutar")))</f>
        <v>En Progreso</v>
      </c>
      <c r="L239" s="6" t="s">
        <v>323</v>
      </c>
      <c r="M239" s="6" t="s">
        <v>320</v>
      </c>
    </row>
    <row r="240" spans="1:13" hidden="1" x14ac:dyDescent="0.35">
      <c r="A240" s="20" t="s">
        <v>295</v>
      </c>
      <c r="B240" s="11" t="s">
        <v>205</v>
      </c>
      <c r="C240" s="20" t="s">
        <v>174</v>
      </c>
      <c r="D240" s="20" t="s">
        <v>175</v>
      </c>
      <c r="E240" s="14">
        <v>305000</v>
      </c>
      <c r="F240" s="14">
        <v>0</v>
      </c>
      <c r="G240" s="14">
        <v>0</v>
      </c>
      <c r="H240" s="40">
        <f>F240+G240</f>
        <v>0</v>
      </c>
      <c r="I240" s="47">
        <f>E240-H240</f>
        <v>305000</v>
      </c>
      <c r="J240" s="17">
        <f>IFERROR(H240/E240,0)</f>
        <v>0</v>
      </c>
      <c r="K240" s="18" t="str">
        <f>IF(E240=0,"Sin Plan",IF(J240&gt;=1,"Completado",IF(J240&gt;0.001,"En Progreso","Pendiente de ejecutar")))</f>
        <v>Pendiente de ejecutar</v>
      </c>
      <c r="L240" s="6" t="s">
        <v>323</v>
      </c>
      <c r="M240" s="6" t="s">
        <v>320</v>
      </c>
    </row>
    <row r="241" spans="1:13" hidden="1" x14ac:dyDescent="0.35">
      <c r="A241" s="11" t="s">
        <v>124</v>
      </c>
      <c r="B241" s="11" t="s">
        <v>128</v>
      </c>
      <c r="C241" s="11" t="s">
        <v>125</v>
      </c>
      <c r="D241" s="11" t="s">
        <v>126</v>
      </c>
      <c r="E241" s="13">
        <v>300000</v>
      </c>
      <c r="F241" s="13">
        <v>0</v>
      </c>
      <c r="G241" s="13">
        <v>0</v>
      </c>
      <c r="H241" s="40">
        <f>F241+G241</f>
        <v>0</v>
      </c>
      <c r="I241" s="47">
        <f>E241-H241</f>
        <v>300000</v>
      </c>
      <c r="J241" s="17">
        <f>IFERROR(H241/E241,0)</f>
        <v>0</v>
      </c>
      <c r="K241" s="18" t="str">
        <f>IF(E241=0,"Sin Plan",IF(J241&gt;=1,"Completado",IF(J241&gt;0.001,"En Progreso","Pendiente de ejecutar")))</f>
        <v>Pendiente de ejecutar</v>
      </c>
      <c r="L241" s="6" t="s">
        <v>321</v>
      </c>
      <c r="M241" s="6" t="s">
        <v>320</v>
      </c>
    </row>
    <row r="242" spans="1:13" hidden="1" x14ac:dyDescent="0.35">
      <c r="A242" s="19" t="s">
        <v>88</v>
      </c>
      <c r="B242" s="11" t="s">
        <v>319</v>
      </c>
      <c r="C242" s="19" t="s">
        <v>29</v>
      </c>
      <c r="D242" s="19" t="s">
        <v>30</v>
      </c>
      <c r="E242" s="13">
        <v>0</v>
      </c>
      <c r="F242" s="13">
        <v>164705.79999999999</v>
      </c>
      <c r="G242" s="13">
        <v>0</v>
      </c>
      <c r="H242" s="40">
        <f>F242+G242</f>
        <v>164705.79999999999</v>
      </c>
      <c r="I242" s="47">
        <f>E242-H242</f>
        <v>-164705.79999999999</v>
      </c>
      <c r="J242" s="17">
        <f>IFERROR(H242/E242,0)</f>
        <v>0</v>
      </c>
      <c r="K242" s="18" t="str">
        <f>IF(E242=0,"Sin Plan",IF(J242&gt;=1,"Completado",IF(J242&gt;0.001,"En Progreso","Pendiente de ejecutar")))</f>
        <v>Sin Plan</v>
      </c>
      <c r="L242" s="6" t="s">
        <v>323</v>
      </c>
      <c r="M242" s="6" t="s">
        <v>318</v>
      </c>
    </row>
    <row r="243" spans="1:13" hidden="1" x14ac:dyDescent="0.35">
      <c r="A243" s="11" t="s">
        <v>222</v>
      </c>
      <c r="B243" s="11" t="s">
        <v>205</v>
      </c>
      <c r="C243" s="11" t="s">
        <v>31</v>
      </c>
      <c r="D243" s="11" t="s">
        <v>32</v>
      </c>
      <c r="E243" s="14">
        <v>278000</v>
      </c>
      <c r="F243" s="15">
        <v>155000</v>
      </c>
      <c r="G243" s="14">
        <v>0</v>
      </c>
      <c r="H243" s="40">
        <f>F243+G243</f>
        <v>155000</v>
      </c>
      <c r="I243" s="47">
        <f>E243-H243</f>
        <v>123000</v>
      </c>
      <c r="J243" s="17">
        <f>IFERROR(H243/E243,0)</f>
        <v>0.55755395683453235</v>
      </c>
      <c r="K243" s="18" t="str">
        <f>IF(E243=0,"Sin Plan",IF(J243&gt;=1,"Completado",IF(J243&gt;0.001,"En Progreso","Pendiente de ejecutar")))</f>
        <v>En Progreso</v>
      </c>
      <c r="L243" s="6" t="s">
        <v>321</v>
      </c>
      <c r="M243" s="6" t="s">
        <v>320</v>
      </c>
    </row>
    <row r="244" spans="1:13" hidden="1" x14ac:dyDescent="0.35">
      <c r="A244" s="29" t="s">
        <v>207</v>
      </c>
      <c r="B244" s="20"/>
      <c r="C244" s="22"/>
      <c r="D244" s="22" t="s">
        <v>325</v>
      </c>
      <c r="E244" s="14">
        <v>-1128000</v>
      </c>
      <c r="F244" s="14"/>
      <c r="G244" s="14"/>
      <c r="H244" s="14"/>
      <c r="I244" s="37">
        <f>E244-H244</f>
        <v>-1128000</v>
      </c>
      <c r="J244" s="17">
        <f>IFERROR(H244/E244,0)</f>
        <v>0</v>
      </c>
      <c r="K244" s="18" t="str">
        <f>IF(E244=0,"Sin Plan",IF(J244&gt;=1,"Completado",IF(J244&gt;0.001,"En Progreso","Pendiente de ejecutar")))</f>
        <v>Pendiente de ejecutar</v>
      </c>
      <c r="L244" s="6" t="s">
        <v>323</v>
      </c>
      <c r="M244" s="6"/>
    </row>
    <row r="245" spans="1:13" hidden="1" x14ac:dyDescent="0.35">
      <c r="A245" s="20" t="s">
        <v>222</v>
      </c>
      <c r="B245" s="11" t="s">
        <v>205</v>
      </c>
      <c r="C245" s="20" t="s">
        <v>106</v>
      </c>
      <c r="D245" s="20" t="s">
        <v>107</v>
      </c>
      <c r="E245" s="14">
        <v>261750</v>
      </c>
      <c r="F245" s="14"/>
      <c r="G245" s="14">
        <v>0</v>
      </c>
      <c r="H245" s="40">
        <f>F245+G245</f>
        <v>0</v>
      </c>
      <c r="I245" s="47">
        <f>E245-H245</f>
        <v>261750</v>
      </c>
      <c r="J245" s="17">
        <f>IFERROR(H245/E245,0)</f>
        <v>0</v>
      </c>
      <c r="K245" s="18" t="str">
        <f>IF(E245=0,"Sin Plan",IF(J245&gt;=1,"Completado",IF(J245&gt;0.001,"En Progreso","Pendiente de ejecutar")))</f>
        <v>Pendiente de ejecutar</v>
      </c>
      <c r="L245" s="6" t="s">
        <v>323</v>
      </c>
      <c r="M245" s="6" t="s">
        <v>320</v>
      </c>
    </row>
    <row r="246" spans="1:13" x14ac:dyDescent="0.35">
      <c r="A246" s="29" t="s">
        <v>219</v>
      </c>
      <c r="B246" s="11" t="s">
        <v>205</v>
      </c>
      <c r="C246" s="29"/>
      <c r="D246" s="22" t="s">
        <v>325</v>
      </c>
      <c r="E246" s="14">
        <v>1735000</v>
      </c>
      <c r="F246" s="14"/>
      <c r="G246" s="14"/>
      <c r="H246" s="40">
        <f>F246+G246</f>
        <v>0</v>
      </c>
      <c r="I246" s="47">
        <f>E246-H246</f>
        <v>1735000</v>
      </c>
      <c r="J246" s="17"/>
      <c r="K246" s="18"/>
      <c r="L246" s="6" t="s">
        <v>323</v>
      </c>
      <c r="M246" s="6"/>
    </row>
    <row r="247" spans="1:13" hidden="1" x14ac:dyDescent="0.35">
      <c r="A247" s="19" t="s">
        <v>146</v>
      </c>
      <c r="B247" s="19" t="s">
        <v>147</v>
      </c>
      <c r="C247" s="19" t="s">
        <v>135</v>
      </c>
      <c r="D247" s="19" t="s">
        <v>136</v>
      </c>
      <c r="E247" s="13">
        <v>256500</v>
      </c>
      <c r="F247" s="35">
        <v>255337.83</v>
      </c>
      <c r="G247" s="13"/>
      <c r="H247" s="40">
        <f>F247+G752</f>
        <v>255337.83</v>
      </c>
      <c r="I247" s="47">
        <f>E247-H247</f>
        <v>1162.1700000000128</v>
      </c>
      <c r="J247" s="17">
        <f>IFERROR(H247/E247,0)</f>
        <v>0.99546912280701749</v>
      </c>
      <c r="K247" s="18" t="str">
        <f>IF(E247=0,"Sin Plan",IF(J247&gt;=1,"Completado",IF(J247&gt;0.001,"En Progreso","Pendiente de ejecutar")))</f>
        <v>En Progreso</v>
      </c>
      <c r="L247" s="6" t="s">
        <v>323</v>
      </c>
      <c r="M247" s="6" t="s">
        <v>320</v>
      </c>
    </row>
    <row r="248" spans="1:13" x14ac:dyDescent="0.35">
      <c r="A248" s="20" t="s">
        <v>219</v>
      </c>
      <c r="B248" s="11" t="s">
        <v>205</v>
      </c>
      <c r="C248" s="20" t="s">
        <v>39</v>
      </c>
      <c r="D248" s="20" t="s">
        <v>40</v>
      </c>
      <c r="E248" s="14">
        <v>1527720</v>
      </c>
      <c r="F248" s="36">
        <f>153120+959867.4+686340.98+102635.2+72500</f>
        <v>1974463.5799999998</v>
      </c>
      <c r="G248" s="14">
        <v>153120</v>
      </c>
      <c r="H248" s="40">
        <f>F248+G248</f>
        <v>2127583.58</v>
      </c>
      <c r="I248" s="47">
        <f>E248-H248</f>
        <v>-599863.58000000007</v>
      </c>
      <c r="J248" s="17">
        <f>IFERROR(H248/E248,0)</f>
        <v>1.3926528290524443</v>
      </c>
      <c r="K248" s="18" t="str">
        <f>IF(E248=0,"Sin Plan",IF(J248&gt;=1,"Completado",IF(J248&gt;0.001,"En Progreso","Pendiente de ejecutar")))</f>
        <v>Completado</v>
      </c>
      <c r="L248" s="6" t="s">
        <v>321</v>
      </c>
      <c r="M248" s="6" t="s">
        <v>320</v>
      </c>
    </row>
    <row r="249" spans="1:13" hidden="1" x14ac:dyDescent="0.35">
      <c r="A249" s="20" t="s">
        <v>154</v>
      </c>
      <c r="B249" s="20" t="s">
        <v>128</v>
      </c>
      <c r="C249" s="20" t="s">
        <v>47</v>
      </c>
      <c r="D249" s="20" t="s">
        <v>48</v>
      </c>
      <c r="E249" s="14">
        <v>252000</v>
      </c>
      <c r="F249" s="14">
        <v>0</v>
      </c>
      <c r="G249" s="14">
        <f>636439.74*2</f>
        <v>1272879.48</v>
      </c>
      <c r="H249" s="40">
        <f>F249+G249</f>
        <v>1272879.48</v>
      </c>
      <c r="I249" s="47">
        <f>E249-H249</f>
        <v>-1020879.48</v>
      </c>
      <c r="J249" s="17">
        <f>IFERROR(H249/E249,0)</f>
        <v>5.0511090476190477</v>
      </c>
      <c r="K249" s="18" t="str">
        <f>IF(E249=0,"Sin Plan",IF(J249&gt;=1,"Completado",IF(J249&gt;0.001,"En Progreso","Pendiente de ejecutar")))</f>
        <v>Completado</v>
      </c>
      <c r="L249" s="6" t="s">
        <v>323</v>
      </c>
      <c r="M249" s="6" t="s">
        <v>320</v>
      </c>
    </row>
    <row r="250" spans="1:13" hidden="1" x14ac:dyDescent="0.35">
      <c r="A250" s="11" t="s">
        <v>226</v>
      </c>
      <c r="B250" s="11" t="s">
        <v>205</v>
      </c>
      <c r="C250" s="11" t="s">
        <v>47</v>
      </c>
      <c r="D250" s="11" t="s">
        <v>48</v>
      </c>
      <c r="E250" s="13">
        <v>252000</v>
      </c>
      <c r="F250" s="13">
        <v>0</v>
      </c>
      <c r="G250" s="13">
        <v>246624.75</v>
      </c>
      <c r="H250" s="40">
        <f>F250+G250</f>
        <v>246624.75</v>
      </c>
      <c r="I250" s="47">
        <f>E250-H250</f>
        <v>5375.25</v>
      </c>
      <c r="J250" s="17">
        <f>IFERROR(H250/E250,0)</f>
        <v>0.97866964285714286</v>
      </c>
      <c r="K250" s="18" t="str">
        <f>IF(E250=0,"Sin Plan",IF(J250&gt;=1,"Completado",IF(J250&gt;0.001,"En Progreso","Pendiente de ejecutar")))</f>
        <v>En Progreso</v>
      </c>
      <c r="L250" s="6" t="s">
        <v>321</v>
      </c>
      <c r="M250" s="6" t="s">
        <v>320</v>
      </c>
    </row>
    <row r="251" spans="1:13" s="2" customFormat="1" hidden="1" x14ac:dyDescent="0.35">
      <c r="A251" s="19" t="s">
        <v>257</v>
      </c>
      <c r="B251" s="11" t="s">
        <v>205</v>
      </c>
      <c r="C251" s="19" t="s">
        <v>106</v>
      </c>
      <c r="D251" s="19" t="s">
        <v>107</v>
      </c>
      <c r="E251" s="13">
        <v>252000</v>
      </c>
      <c r="F251" s="13"/>
      <c r="G251" s="13">
        <v>0</v>
      </c>
      <c r="H251" s="40">
        <f>F251+G251</f>
        <v>0</v>
      </c>
      <c r="I251" s="47">
        <f>E251-H251</f>
        <v>252000</v>
      </c>
      <c r="J251" s="17">
        <f>IFERROR(H251/E251,0)</f>
        <v>0</v>
      </c>
      <c r="K251" s="18" t="str">
        <f>IF(E251=0,"Sin Plan",IF(J251&gt;=1,"Completado",IF(J251&gt;0.001,"En Progreso","Pendiente de ejecutar")))</f>
        <v>Pendiente de ejecutar</v>
      </c>
      <c r="L251" s="6" t="s">
        <v>323</v>
      </c>
      <c r="M251" s="6" t="s">
        <v>320</v>
      </c>
    </row>
    <row r="252" spans="1:13" hidden="1" x14ac:dyDescent="0.35">
      <c r="A252" s="20" t="s">
        <v>89</v>
      </c>
      <c r="B252" s="11" t="s">
        <v>319</v>
      </c>
      <c r="C252" s="20" t="s">
        <v>13</v>
      </c>
      <c r="D252" s="20" t="s">
        <v>14</v>
      </c>
      <c r="E252" s="14">
        <v>685000</v>
      </c>
      <c r="F252" s="14">
        <v>0</v>
      </c>
      <c r="G252" s="14">
        <v>871130</v>
      </c>
      <c r="H252" s="40">
        <f>F252+G252</f>
        <v>871130</v>
      </c>
      <c r="I252" s="47">
        <f>E252-H252</f>
        <v>-186130</v>
      </c>
      <c r="J252" s="17">
        <f>IFERROR(H252/E252,0)</f>
        <v>1.2717226277372262</v>
      </c>
      <c r="K252" s="18" t="str">
        <f>IF(E252=0,"Sin Plan",IF(J252&gt;=1,"Completado",IF(J252&gt;0.001,"En Progreso","Pendiente de ejecutar")))</f>
        <v>Completado</v>
      </c>
      <c r="L252" s="6" t="s">
        <v>323</v>
      </c>
      <c r="M252" s="6" t="s">
        <v>320</v>
      </c>
    </row>
    <row r="253" spans="1:13" hidden="1" x14ac:dyDescent="0.35">
      <c r="A253" s="11" t="s">
        <v>89</v>
      </c>
      <c r="B253" s="11" t="s">
        <v>319</v>
      </c>
      <c r="C253" s="11" t="s">
        <v>39</v>
      </c>
      <c r="D253" s="11" t="s">
        <v>40</v>
      </c>
      <c r="E253" s="13">
        <v>1367212</v>
      </c>
      <c r="F253" s="13">
        <v>274353.5</v>
      </c>
      <c r="G253" s="13">
        <v>0</v>
      </c>
      <c r="H253" s="40">
        <f>F253+G253</f>
        <v>274353.5</v>
      </c>
      <c r="I253" s="47">
        <f>E253-H253</f>
        <v>1092858.5</v>
      </c>
      <c r="J253" s="17">
        <f>IFERROR(H253/E253,0)</f>
        <v>0.20066639262967265</v>
      </c>
      <c r="K253" s="18" t="str">
        <f>IF(E253=0,"Sin Plan",IF(J253&gt;=1,"Completado",IF(J253&gt;0.001,"En Progreso","Pendiente de ejecutar")))</f>
        <v>En Progreso</v>
      </c>
      <c r="L253" s="6" t="s">
        <v>323</v>
      </c>
      <c r="M253" s="6" t="s">
        <v>320</v>
      </c>
    </row>
    <row r="254" spans="1:13" x14ac:dyDescent="0.35">
      <c r="A254" s="19" t="s">
        <v>219</v>
      </c>
      <c r="B254" s="11" t="s">
        <v>205</v>
      </c>
      <c r="C254" s="19" t="s">
        <v>66</v>
      </c>
      <c r="D254" s="19" t="s">
        <v>67</v>
      </c>
      <c r="E254" s="13">
        <v>685000</v>
      </c>
      <c r="F254" s="13">
        <v>0</v>
      </c>
      <c r="G254" s="35">
        <v>698498.5</v>
      </c>
      <c r="H254" s="40">
        <f>F254+G254</f>
        <v>698498.5</v>
      </c>
      <c r="I254" s="47">
        <f>E254-H254</f>
        <v>-13498.5</v>
      </c>
      <c r="J254" s="17">
        <f>IFERROR(H254/E254,0)</f>
        <v>1.0197058394160583</v>
      </c>
      <c r="K254" s="18" t="str">
        <f>IF(E254=0,"Sin Plan",IF(J254&gt;=1,"Completado",IF(J254&gt;0.001,"En Progreso","Pendiente de ejecutar")))</f>
        <v>Completado</v>
      </c>
      <c r="L254" s="6" t="s">
        <v>323</v>
      </c>
      <c r="M254" s="6" t="s">
        <v>320</v>
      </c>
    </row>
    <row r="255" spans="1:13" hidden="1" x14ac:dyDescent="0.35">
      <c r="A255" s="11" t="s">
        <v>168</v>
      </c>
      <c r="B255" s="11" t="s">
        <v>205</v>
      </c>
      <c r="C255" s="11" t="s">
        <v>176</v>
      </c>
      <c r="D255" s="11" t="s">
        <v>177</v>
      </c>
      <c r="E255" s="13">
        <v>245000</v>
      </c>
      <c r="F255" s="13">
        <v>218568.22</v>
      </c>
      <c r="G255" s="13">
        <v>0</v>
      </c>
      <c r="H255" s="40">
        <f>F255+G255</f>
        <v>218568.22</v>
      </c>
      <c r="I255" s="47">
        <f>E255-H255</f>
        <v>26431.78</v>
      </c>
      <c r="J255" s="17">
        <f>IFERROR(H255/E255,0)</f>
        <v>0.89211518367346943</v>
      </c>
      <c r="K255" s="18" t="str">
        <f>IF(E255=0,"Sin Plan",IF(J255&gt;=1,"Completado",IF(J255&gt;0.001,"En Progreso","Pendiente de ejecutar")))</f>
        <v>En Progreso</v>
      </c>
      <c r="L255" s="6" t="s">
        <v>321</v>
      </c>
      <c r="M255" s="6" t="s">
        <v>320</v>
      </c>
    </row>
    <row r="256" spans="1:13" hidden="1" x14ac:dyDescent="0.35">
      <c r="A256" s="11" t="s">
        <v>226</v>
      </c>
      <c r="B256" s="11" t="s">
        <v>205</v>
      </c>
      <c r="C256" s="11" t="s">
        <v>176</v>
      </c>
      <c r="D256" s="11" t="s">
        <v>177</v>
      </c>
      <c r="E256" s="13">
        <v>245000</v>
      </c>
      <c r="F256" s="13">
        <v>218568.22</v>
      </c>
      <c r="G256" s="13">
        <v>0</v>
      </c>
      <c r="H256" s="40">
        <f>F256+G256</f>
        <v>218568.22</v>
      </c>
      <c r="I256" s="47">
        <f>E256-H256</f>
        <v>26431.78</v>
      </c>
      <c r="J256" s="17">
        <f>IFERROR(H256/E256,0)</f>
        <v>0.89211518367346943</v>
      </c>
      <c r="K256" s="18" t="str">
        <f>IF(E256=0,"Sin Plan",IF(J256&gt;=1,"Completado",IF(J256&gt;0.001,"En Progreso","Pendiente de ejecutar")))</f>
        <v>En Progreso</v>
      </c>
      <c r="L256" s="6" t="s">
        <v>321</v>
      </c>
      <c r="M256" s="6" t="s">
        <v>320</v>
      </c>
    </row>
    <row r="257" spans="1:13" hidden="1" x14ac:dyDescent="0.35">
      <c r="A257" s="20" t="s">
        <v>267</v>
      </c>
      <c r="B257" s="20" t="s">
        <v>128</v>
      </c>
      <c r="C257" s="20" t="s">
        <v>31</v>
      </c>
      <c r="D257" s="20" t="s">
        <v>32</v>
      </c>
      <c r="E257" s="14">
        <v>235000</v>
      </c>
      <c r="F257" s="14">
        <v>0</v>
      </c>
      <c r="G257" s="14">
        <v>0</v>
      </c>
      <c r="H257" s="40">
        <f>F257+G257</f>
        <v>0</v>
      </c>
      <c r="I257" s="47">
        <f>E257-H257</f>
        <v>235000</v>
      </c>
      <c r="J257" s="17">
        <f>IFERROR(H257/E257,0)</f>
        <v>0</v>
      </c>
      <c r="K257" s="18" t="str">
        <f>IF(E257=0,"Sin Plan",IF(J257&gt;=1,"Completado",IF(J257&gt;0.001,"En Progreso","Pendiente de ejecutar")))</f>
        <v>Pendiente de ejecutar</v>
      </c>
      <c r="L257" s="6" t="s">
        <v>321</v>
      </c>
      <c r="M257" s="6" t="s">
        <v>320</v>
      </c>
    </row>
    <row r="258" spans="1:13" hidden="1" x14ac:dyDescent="0.35">
      <c r="A258" s="55" t="s">
        <v>11</v>
      </c>
      <c r="B258" s="11" t="s">
        <v>319</v>
      </c>
      <c r="C258" s="11" t="s">
        <v>21</v>
      </c>
      <c r="D258" s="11" t="s">
        <v>22</v>
      </c>
      <c r="E258" s="14">
        <v>0</v>
      </c>
      <c r="F258" s="14">
        <v>176791.66</v>
      </c>
      <c r="G258" s="15"/>
      <c r="H258" s="40">
        <f>F258+G258</f>
        <v>176791.66</v>
      </c>
      <c r="I258" s="47">
        <f>E258-H258</f>
        <v>-176791.66</v>
      </c>
      <c r="J258" s="17">
        <f>IFERROR(H258/E258,0)</f>
        <v>0</v>
      </c>
      <c r="K258" s="18" t="str">
        <f>IF(E258=0,"Sin Plan",IF(J258&gt;=1,"Completado",IF(J258&gt;0.001,"En Progreso","Pendiente de ejecutar")))</f>
        <v>Sin Plan</v>
      </c>
      <c r="L258" s="6" t="s">
        <v>321</v>
      </c>
      <c r="M258" s="6" t="s">
        <v>318</v>
      </c>
    </row>
    <row r="259" spans="1:13" hidden="1" x14ac:dyDescent="0.35">
      <c r="A259" s="11" t="s">
        <v>89</v>
      </c>
      <c r="B259" s="11" t="s">
        <v>319</v>
      </c>
      <c r="C259" s="11" t="s">
        <v>47</v>
      </c>
      <c r="D259" s="11" t="s">
        <v>48</v>
      </c>
      <c r="E259" s="14">
        <v>132300</v>
      </c>
      <c r="F259" s="14">
        <v>0</v>
      </c>
      <c r="G259" s="14">
        <v>137843.10999999999</v>
      </c>
      <c r="H259" s="40">
        <f>F259+G259</f>
        <v>137843.10999999999</v>
      </c>
      <c r="I259" s="47">
        <f>E259-H259</f>
        <v>-5543.109999999986</v>
      </c>
      <c r="J259" s="17">
        <f>IFERROR(H259/E259,0)</f>
        <v>1.0418980347694633</v>
      </c>
      <c r="K259" s="18" t="str">
        <f>IF(E259=0,"Sin Plan",IF(J259&gt;=1,"Completado",IF(J259&gt;0.001,"En Progreso","Pendiente de ejecutar")))</f>
        <v>Completado</v>
      </c>
      <c r="L259" s="6" t="s">
        <v>323</v>
      </c>
      <c r="M259" s="6" t="s">
        <v>320</v>
      </c>
    </row>
    <row r="260" spans="1:13" hidden="1" x14ac:dyDescent="0.35">
      <c r="A260" s="19" t="s">
        <v>89</v>
      </c>
      <c r="B260" s="11" t="s">
        <v>319</v>
      </c>
      <c r="C260" s="19" t="s">
        <v>90</v>
      </c>
      <c r="D260" s="19" t="s">
        <v>91</v>
      </c>
      <c r="E260" s="13">
        <v>155000</v>
      </c>
      <c r="F260" s="13">
        <v>0</v>
      </c>
      <c r="G260" s="13">
        <v>42919.1</v>
      </c>
      <c r="H260" s="40">
        <f>F260+G260</f>
        <v>42919.1</v>
      </c>
      <c r="I260" s="47">
        <f>E260-H260</f>
        <v>112080.9</v>
      </c>
      <c r="J260" s="17">
        <f>IFERROR(H260/E260,0)</f>
        <v>0.27689741935483869</v>
      </c>
      <c r="K260" s="18" t="str">
        <f>IF(E260=0,"Sin Plan",IF(J260&gt;=1,"Completado",IF(J260&gt;0.001,"En Progreso","Pendiente de ejecutar")))</f>
        <v>En Progreso</v>
      </c>
      <c r="L260" s="6" t="s">
        <v>323</v>
      </c>
      <c r="M260" s="6" t="s">
        <v>320</v>
      </c>
    </row>
    <row r="261" spans="1:13" hidden="1" x14ac:dyDescent="0.35">
      <c r="A261" s="11" t="s">
        <v>89</v>
      </c>
      <c r="B261" s="11" t="s">
        <v>319</v>
      </c>
      <c r="C261" s="11" t="s">
        <v>92</v>
      </c>
      <c r="D261" s="11" t="s">
        <v>93</v>
      </c>
      <c r="E261" s="13">
        <v>0</v>
      </c>
      <c r="F261" s="13">
        <v>0</v>
      </c>
      <c r="G261" s="13">
        <v>82425.95</v>
      </c>
      <c r="H261" s="40">
        <f>F261+G261</f>
        <v>82425.95</v>
      </c>
      <c r="I261" s="47">
        <f>E261-H261</f>
        <v>-82425.95</v>
      </c>
      <c r="J261" s="17">
        <f>IFERROR(H261/E261,0)</f>
        <v>0</v>
      </c>
      <c r="K261" s="18" t="str">
        <f>IF(E261=0,"Sin Plan",IF(J261&gt;=1,"Completado",IF(J261&gt;0.001,"En Progreso","Pendiente de ejecutar")))</f>
        <v>Sin Plan</v>
      </c>
      <c r="L261" s="6" t="s">
        <v>323</v>
      </c>
      <c r="M261" s="6" t="s">
        <v>318</v>
      </c>
    </row>
    <row r="262" spans="1:13" hidden="1" x14ac:dyDescent="0.35">
      <c r="A262" s="11" t="s">
        <v>94</v>
      </c>
      <c r="B262" s="11" t="s">
        <v>319</v>
      </c>
      <c r="C262" s="11" t="s">
        <v>95</v>
      </c>
      <c r="D262" s="11" t="s">
        <v>75</v>
      </c>
      <c r="E262" s="13">
        <v>46800</v>
      </c>
      <c r="F262" s="15">
        <v>48099.51</v>
      </c>
      <c r="G262" s="13">
        <v>0</v>
      </c>
      <c r="H262" s="40">
        <f>F262+G262</f>
        <v>48099.51</v>
      </c>
      <c r="I262" s="47">
        <f>E262-H262</f>
        <v>-1299.510000000002</v>
      </c>
      <c r="J262" s="17">
        <f>IFERROR(H262/E262,0)</f>
        <v>1.0277673076923077</v>
      </c>
      <c r="K262" s="18" t="str">
        <f>IF(E262=0,"Sin Plan",IF(J262&gt;=1,"Completado",IF(J262&gt;0.001,"En Progreso","Pendiente de ejecutar")))</f>
        <v>Completado</v>
      </c>
      <c r="L262" s="6" t="s">
        <v>323</v>
      </c>
      <c r="M262" s="6" t="s">
        <v>320</v>
      </c>
    </row>
    <row r="263" spans="1:13" s="2" customFormat="1" hidden="1" x14ac:dyDescent="0.35">
      <c r="A263" s="20" t="s">
        <v>222</v>
      </c>
      <c r="B263" s="11" t="s">
        <v>205</v>
      </c>
      <c r="C263" s="20" t="s">
        <v>174</v>
      </c>
      <c r="D263" s="20" t="s">
        <v>175</v>
      </c>
      <c r="E263" s="14">
        <v>221038</v>
      </c>
      <c r="F263" s="15">
        <v>220662</v>
      </c>
      <c r="G263" s="14">
        <v>0</v>
      </c>
      <c r="H263" s="40">
        <f>F263+G263</f>
        <v>220662</v>
      </c>
      <c r="I263" s="47">
        <f>E263-H263</f>
        <v>376</v>
      </c>
      <c r="J263" s="17">
        <f>IFERROR(H263/E263,0)</f>
        <v>0.99829893502474687</v>
      </c>
      <c r="K263" s="18" t="str">
        <f>IF(E263=0,"Sin Plan",IF(J263&gt;=1,"Completado",IF(J263&gt;0.001,"En Progreso","Pendiente de ejecutar")))</f>
        <v>En Progreso</v>
      </c>
      <c r="L263" s="6" t="s">
        <v>321</v>
      </c>
      <c r="M263" s="6" t="s">
        <v>320</v>
      </c>
    </row>
    <row r="264" spans="1:13" hidden="1" x14ac:dyDescent="0.35">
      <c r="A264" s="20" t="s">
        <v>94</v>
      </c>
      <c r="B264" s="11" t="s">
        <v>319</v>
      </c>
      <c r="C264" s="20" t="s">
        <v>68</v>
      </c>
      <c r="D264" s="20" t="s">
        <v>69</v>
      </c>
      <c r="E264" s="14">
        <v>39000</v>
      </c>
      <c r="F264" s="15">
        <v>29850</v>
      </c>
      <c r="G264" s="14">
        <v>0</v>
      </c>
      <c r="H264" s="40">
        <f>F264+G264</f>
        <v>29850</v>
      </c>
      <c r="I264" s="47">
        <f>E264-H264</f>
        <v>9150</v>
      </c>
      <c r="J264" s="17">
        <f>IFERROR(H264/E264,0)</f>
        <v>0.76538461538461533</v>
      </c>
      <c r="K264" s="18" t="str">
        <f>IF(E264=0,"Sin Plan",IF(J264&gt;=1,"Completado",IF(J264&gt;0.001,"En Progreso","Pendiente de ejecutar")))</f>
        <v>En Progreso</v>
      </c>
      <c r="L264" s="6" t="s">
        <v>323</v>
      </c>
      <c r="M264" s="6" t="s">
        <v>320</v>
      </c>
    </row>
    <row r="265" spans="1:13" hidden="1" x14ac:dyDescent="0.35">
      <c r="A265" s="11" t="s">
        <v>104</v>
      </c>
      <c r="B265" s="11" t="s">
        <v>319</v>
      </c>
      <c r="C265" s="11" t="s">
        <v>23</v>
      </c>
      <c r="D265" s="11" t="s">
        <v>24</v>
      </c>
      <c r="E265" s="13">
        <v>246000</v>
      </c>
      <c r="F265" s="13">
        <v>112100.8</v>
      </c>
      <c r="G265" s="13">
        <v>0</v>
      </c>
      <c r="H265" s="40">
        <f>F265+G265</f>
        <v>112100.8</v>
      </c>
      <c r="I265" s="47">
        <f>E265-H265</f>
        <v>133899.20000000001</v>
      </c>
      <c r="J265" s="17">
        <f>IFERROR(H265/E265,0)</f>
        <v>0.45569430894308943</v>
      </c>
      <c r="K265" s="18" t="str">
        <f>IF(E265=0,"Sin Plan",IF(J265&gt;=1,"Completado",IF(J265&gt;0.001,"En Progreso","Pendiente de ejecutar")))</f>
        <v>En Progreso</v>
      </c>
      <c r="L265" s="6" t="s">
        <v>321</v>
      </c>
      <c r="M265" s="6" t="s">
        <v>320</v>
      </c>
    </row>
    <row r="266" spans="1:13" hidden="1" x14ac:dyDescent="0.35">
      <c r="A266" s="20" t="s">
        <v>57</v>
      </c>
      <c r="B266" s="11" t="s">
        <v>319</v>
      </c>
      <c r="C266" s="20" t="s">
        <v>23</v>
      </c>
      <c r="D266" s="20" t="s">
        <v>24</v>
      </c>
      <c r="E266" s="14">
        <v>192000</v>
      </c>
      <c r="F266" s="14">
        <v>86781.81</v>
      </c>
      <c r="G266" s="14">
        <v>326810</v>
      </c>
      <c r="H266" s="40">
        <f>F266+G266</f>
        <v>413591.81</v>
      </c>
      <c r="I266" s="47">
        <f>E266-H266</f>
        <v>-221591.81</v>
      </c>
      <c r="J266" s="17">
        <f>IFERROR(H266/E266,0)</f>
        <v>2.1541240104166666</v>
      </c>
      <c r="K266" s="18" t="str">
        <f>IF(E266=0,"Sin Plan",IF(J266&gt;=1,"Completado",IF(J266&gt;0.001,"En Progreso","Pendiente de ejecutar")))</f>
        <v>Completado</v>
      </c>
      <c r="L266" s="6" t="s">
        <v>321</v>
      </c>
      <c r="M266" s="6" t="s">
        <v>320</v>
      </c>
    </row>
    <row r="267" spans="1:13" x14ac:dyDescent="0.35">
      <c r="A267" s="19" t="s">
        <v>219</v>
      </c>
      <c r="B267" s="11" t="s">
        <v>205</v>
      </c>
      <c r="C267" s="19" t="s">
        <v>174</v>
      </c>
      <c r="D267" s="19" t="s">
        <v>175</v>
      </c>
      <c r="E267" s="13">
        <v>450000</v>
      </c>
      <c r="F267" s="13">
        <v>0</v>
      </c>
      <c r="G267" s="13">
        <v>0</v>
      </c>
      <c r="H267" s="40">
        <f>F267+G267</f>
        <v>0</v>
      </c>
      <c r="I267" s="47">
        <f>E267-H267</f>
        <v>450000</v>
      </c>
      <c r="J267" s="17">
        <f>IFERROR(H267/E267,0)</f>
        <v>0</v>
      </c>
      <c r="K267" s="18" t="str">
        <f>IF(E267=0,"Sin Plan",IF(J267&gt;=1,"Completado",IF(J267&gt;0.001,"En Progreso","Pendiente de ejecutar")))</f>
        <v>Pendiente de ejecutar</v>
      </c>
      <c r="L267" s="6" t="s">
        <v>321</v>
      </c>
      <c r="M267" s="6" t="s">
        <v>320</v>
      </c>
    </row>
    <row r="268" spans="1:13" hidden="1" x14ac:dyDescent="0.35">
      <c r="A268" s="19" t="s">
        <v>257</v>
      </c>
      <c r="B268" s="11" t="s">
        <v>205</v>
      </c>
      <c r="C268" s="19" t="s">
        <v>83</v>
      </c>
      <c r="D268" s="19" t="s">
        <v>84</v>
      </c>
      <c r="E268" s="13">
        <v>213000</v>
      </c>
      <c r="F268" s="13">
        <v>0</v>
      </c>
      <c r="G268" s="13">
        <v>118600</v>
      </c>
      <c r="H268" s="40">
        <f>F268+G268</f>
        <v>118600</v>
      </c>
      <c r="I268" s="47">
        <f>E268-H268</f>
        <v>94400</v>
      </c>
      <c r="J268" s="17">
        <f>IFERROR(H268/E268,0)</f>
        <v>0.5568075117370892</v>
      </c>
      <c r="K268" s="18" t="str">
        <f>IF(E268=0,"Sin Plan",IF(J268&gt;=1,"Completado",IF(J268&gt;0.001,"En Progreso","Pendiente de ejecutar")))</f>
        <v>En Progreso</v>
      </c>
      <c r="L268" s="6" t="s">
        <v>321</v>
      </c>
      <c r="M268" s="6" t="s">
        <v>320</v>
      </c>
    </row>
    <row r="269" spans="1:13" hidden="1" x14ac:dyDescent="0.35">
      <c r="A269" s="11" t="s">
        <v>201</v>
      </c>
      <c r="B269" s="11" t="s">
        <v>205</v>
      </c>
      <c r="C269" s="11" t="s">
        <v>95</v>
      </c>
      <c r="D269" s="11" t="s">
        <v>331</v>
      </c>
      <c r="E269" s="36">
        <v>212500</v>
      </c>
      <c r="F269" s="14">
        <v>0</v>
      </c>
      <c r="G269" s="14">
        <v>0</v>
      </c>
      <c r="H269" s="40">
        <f>F269+G269</f>
        <v>0</v>
      </c>
      <c r="I269" s="47">
        <f>E269-H269</f>
        <v>212500</v>
      </c>
      <c r="J269" s="17">
        <f>IFERROR(H269/E269,0)</f>
        <v>0</v>
      </c>
      <c r="K269" s="18" t="str">
        <f>IF(E269=0,"Sin Plan",IF(J269&gt;=1,"Completado",IF(J269&gt;0.001,"En Progreso","Pendiente de ejecutar")))</f>
        <v>Pendiente de ejecutar</v>
      </c>
      <c r="L269" s="6" t="s">
        <v>323</v>
      </c>
      <c r="M269" s="6" t="s">
        <v>320</v>
      </c>
    </row>
    <row r="270" spans="1:13" hidden="1" x14ac:dyDescent="0.35">
      <c r="A270" s="19" t="s">
        <v>296</v>
      </c>
      <c r="B270" s="11" t="s">
        <v>205</v>
      </c>
      <c r="C270" s="19" t="s">
        <v>217</v>
      </c>
      <c r="D270" s="19" t="s">
        <v>218</v>
      </c>
      <c r="E270" s="13">
        <v>200000</v>
      </c>
      <c r="F270" s="13">
        <v>0</v>
      </c>
      <c r="G270" s="13">
        <v>0</v>
      </c>
      <c r="H270" s="40">
        <f>F270+G270</f>
        <v>0</v>
      </c>
      <c r="I270" s="47">
        <f>E270-H270</f>
        <v>200000</v>
      </c>
      <c r="J270" s="17">
        <f>IFERROR(H270/E270,0)</f>
        <v>0</v>
      </c>
      <c r="K270" s="18" t="str">
        <f>IF(E270=0,"Sin Plan",IF(J270&gt;=1,"Completado",IF(J270&gt;0.001,"En Progreso","Pendiente de ejecutar")))</f>
        <v>Pendiente de ejecutar</v>
      </c>
      <c r="L270" s="6" t="s">
        <v>321</v>
      </c>
      <c r="M270" s="6" t="s">
        <v>320</v>
      </c>
    </row>
    <row r="271" spans="1:13" hidden="1" x14ac:dyDescent="0.35">
      <c r="A271" s="11" t="s">
        <v>278</v>
      </c>
      <c r="B271" s="11" t="s">
        <v>273</v>
      </c>
      <c r="C271" s="11" t="s">
        <v>96</v>
      </c>
      <c r="D271" s="11" t="s">
        <v>97</v>
      </c>
      <c r="E271" s="13">
        <v>198000</v>
      </c>
      <c r="F271" s="13">
        <v>0</v>
      </c>
      <c r="G271" s="13">
        <v>243751.56</v>
      </c>
      <c r="H271" s="40">
        <f>F271+G271</f>
        <v>243751.56</v>
      </c>
      <c r="I271" s="47">
        <f>E271-H271</f>
        <v>-45751.56</v>
      </c>
      <c r="J271" s="17">
        <f>IFERROR(H271/E271,0)</f>
        <v>1.2310684848484847</v>
      </c>
      <c r="K271" s="18" t="str">
        <f>IF(E271=0,"Sin Plan",IF(J271&gt;=1,"Completado",IF(J271&gt;0.001,"En Progreso","Pendiente de ejecutar")))</f>
        <v>Completado</v>
      </c>
      <c r="L271" s="6" t="s">
        <v>323</v>
      </c>
      <c r="M271" s="6" t="s">
        <v>320</v>
      </c>
    </row>
    <row r="272" spans="1:13" hidden="1" x14ac:dyDescent="0.35">
      <c r="A272" s="55" t="s">
        <v>73</v>
      </c>
      <c r="B272" s="11" t="s">
        <v>319</v>
      </c>
      <c r="C272" s="11" t="s">
        <v>23</v>
      </c>
      <c r="D272" s="11" t="s">
        <v>24</v>
      </c>
      <c r="E272" s="14">
        <v>192000</v>
      </c>
      <c r="F272" s="14">
        <v>68760.78</v>
      </c>
      <c r="G272" s="14">
        <v>0</v>
      </c>
      <c r="H272" s="40">
        <f>F272+G272</f>
        <v>68760.78</v>
      </c>
      <c r="I272" s="47">
        <f>E272-H272</f>
        <v>123239.22</v>
      </c>
      <c r="J272" s="17">
        <f>IFERROR(H272/E272,0)</f>
        <v>0.35812906249999998</v>
      </c>
      <c r="K272" s="18" t="str">
        <f>IF(E272=0,"Sin Plan",IF(J272&gt;=1,"Completado",IF(J272&gt;0.001,"En Progreso","Pendiente de ejecutar")))</f>
        <v>En Progreso</v>
      </c>
      <c r="L272" s="6" t="s">
        <v>321</v>
      </c>
      <c r="M272" s="6" t="s">
        <v>320</v>
      </c>
    </row>
    <row r="273" spans="1:13" hidden="1" x14ac:dyDescent="0.35">
      <c r="A273" s="48" t="s">
        <v>76</v>
      </c>
      <c r="B273" s="29" t="s">
        <v>319</v>
      </c>
      <c r="C273" s="20" t="s">
        <v>23</v>
      </c>
      <c r="D273" s="48" t="s">
        <v>24</v>
      </c>
      <c r="E273" s="41">
        <v>192000</v>
      </c>
      <c r="F273" s="41">
        <v>0</v>
      </c>
      <c r="G273" s="41">
        <v>0</v>
      </c>
      <c r="H273" s="40">
        <f>F273+G273</f>
        <v>0</v>
      </c>
      <c r="I273" s="47">
        <f>E273-H273</f>
        <v>192000</v>
      </c>
      <c r="J273" s="17">
        <f>IFERROR(H273/E273,0)</f>
        <v>0</v>
      </c>
      <c r="K273" s="18" t="str">
        <f>IF(E273=0,"Sin Plan",IF(J273&gt;=1,"Completado",IF(J273&gt;0.001,"En Progreso","Pendiente de ejecutar")))</f>
        <v>Pendiente de ejecutar</v>
      </c>
      <c r="L273" s="70" t="s">
        <v>321</v>
      </c>
      <c r="M273" s="6" t="s">
        <v>320</v>
      </c>
    </row>
    <row r="274" spans="1:13" hidden="1" x14ac:dyDescent="0.35">
      <c r="A274" s="11" t="s">
        <v>89</v>
      </c>
      <c r="B274" s="11" t="s">
        <v>319</v>
      </c>
      <c r="C274" s="11" t="s">
        <v>23</v>
      </c>
      <c r="D274" s="11" t="s">
        <v>24</v>
      </c>
      <c r="E274" s="14">
        <v>192000</v>
      </c>
      <c r="F274" s="14">
        <v>91094.75</v>
      </c>
      <c r="G274" s="14">
        <v>0</v>
      </c>
      <c r="H274" s="40">
        <f>F274+G274</f>
        <v>91094.75</v>
      </c>
      <c r="I274" s="47">
        <f>E274-H274</f>
        <v>100905.25</v>
      </c>
      <c r="J274" s="17">
        <f>IFERROR(H274/E274,0)</f>
        <v>0.47445182291666665</v>
      </c>
      <c r="K274" s="18" t="str">
        <f>IF(E274=0,"Sin Plan",IF(J274&gt;=1,"Completado",IF(J274&gt;0.001,"En Progreso","Pendiente de ejecutar")))</f>
        <v>En Progreso</v>
      </c>
      <c r="L274" s="6" t="s">
        <v>321</v>
      </c>
      <c r="M274" s="6" t="s">
        <v>320</v>
      </c>
    </row>
    <row r="275" spans="1:13" hidden="1" x14ac:dyDescent="0.35">
      <c r="A275" s="11" t="s">
        <v>70</v>
      </c>
      <c r="B275" s="11" t="s">
        <v>319</v>
      </c>
      <c r="C275" s="11" t="s">
        <v>23</v>
      </c>
      <c r="D275" s="11" t="s">
        <v>24</v>
      </c>
      <c r="E275" s="14">
        <v>160000</v>
      </c>
      <c r="F275" s="14">
        <v>64307.7</v>
      </c>
      <c r="G275" s="14">
        <v>326810</v>
      </c>
      <c r="H275" s="40">
        <f>F275+G275</f>
        <v>391117.7</v>
      </c>
      <c r="I275" s="47">
        <f>E275-H275</f>
        <v>-231117.7</v>
      </c>
      <c r="J275" s="17">
        <f>IFERROR(H275/E275,0)</f>
        <v>2.444485625</v>
      </c>
      <c r="K275" s="18" t="str">
        <f>IF(E275=0,"Sin Plan",IF(J275&gt;=1,"Completado",IF(J275&gt;0.001,"En Progreso","Pendiente de ejecutar")))</f>
        <v>Completado</v>
      </c>
      <c r="L275" s="6" t="s">
        <v>321</v>
      </c>
      <c r="M275" s="6" t="s">
        <v>320</v>
      </c>
    </row>
    <row r="276" spans="1:13" hidden="1" x14ac:dyDescent="0.35">
      <c r="A276" s="11" t="s">
        <v>52</v>
      </c>
      <c r="B276" s="11" t="s">
        <v>319</v>
      </c>
      <c r="C276" s="11" t="s">
        <v>23</v>
      </c>
      <c r="D276" s="11" t="s">
        <v>24</v>
      </c>
      <c r="E276" s="14">
        <v>128000</v>
      </c>
      <c r="F276" s="15">
        <v>25662</v>
      </c>
      <c r="G276" s="36">
        <v>267560</v>
      </c>
      <c r="H276" s="40">
        <f>F276+G276</f>
        <v>293222</v>
      </c>
      <c r="I276" s="47">
        <f>E276-H276</f>
        <v>-165222</v>
      </c>
      <c r="J276" s="17">
        <f>IFERROR(H276/E276,0)</f>
        <v>2.2907968749999998</v>
      </c>
      <c r="K276" s="18" t="str">
        <f>IF(E276=0,"Sin Plan",IF(J276&gt;=1,"Completado",IF(J276&gt;0.001,"En Progreso","Pendiente de ejecutar")))</f>
        <v>Completado</v>
      </c>
      <c r="L276" s="6" t="s">
        <v>321</v>
      </c>
      <c r="M276" s="6" t="s">
        <v>320</v>
      </c>
    </row>
    <row r="277" spans="1:13" hidden="1" x14ac:dyDescent="0.35">
      <c r="A277" s="11" t="s">
        <v>185</v>
      </c>
      <c r="B277" s="11" t="s">
        <v>205</v>
      </c>
      <c r="C277" s="11" t="s">
        <v>135</v>
      </c>
      <c r="D277" s="11" t="s">
        <v>136</v>
      </c>
      <c r="E277" s="13">
        <v>188500</v>
      </c>
      <c r="F277" s="36">
        <v>193721.52</v>
      </c>
      <c r="G277" s="40">
        <v>0</v>
      </c>
      <c r="H277" s="40">
        <f>F277+G277</f>
        <v>193721.52</v>
      </c>
      <c r="I277" s="47">
        <f>E277-H277</f>
        <v>-5221.5199999999895</v>
      </c>
      <c r="J277" s="17">
        <f>IFERROR(H277/E277,0)</f>
        <v>1.027700371352785</v>
      </c>
      <c r="K277" s="18" t="str">
        <f>IF(E277=0,"Sin Plan",IF(J277&gt;=1,"Completado",IF(J277&gt;0.001,"En Progreso","Pendiente de ejecutar")))</f>
        <v>Completado</v>
      </c>
      <c r="L277" s="6" t="s">
        <v>323</v>
      </c>
      <c r="M277" s="6" t="s">
        <v>320</v>
      </c>
    </row>
    <row r="278" spans="1:13" hidden="1" x14ac:dyDescent="0.35">
      <c r="A278" s="20" t="s">
        <v>185</v>
      </c>
      <c r="B278" s="11" t="s">
        <v>205</v>
      </c>
      <c r="C278" s="20" t="s">
        <v>174</v>
      </c>
      <c r="D278" s="20" t="s">
        <v>175</v>
      </c>
      <c r="E278" s="14">
        <v>188000</v>
      </c>
      <c r="F278" s="36">
        <v>199248.88</v>
      </c>
      <c r="G278" s="41">
        <v>0</v>
      </c>
      <c r="H278" s="40">
        <f>F278+G278</f>
        <v>199248.88</v>
      </c>
      <c r="I278" s="47">
        <f>E278-H278</f>
        <v>-11248.880000000005</v>
      </c>
      <c r="J278" s="17">
        <f>IFERROR(H278/E278,0)</f>
        <v>1.0598344680851064</v>
      </c>
      <c r="K278" s="18" t="str">
        <f>IF(E278=0,"Sin Plan",IF(J278&gt;=1,"Completado",IF(J278&gt;0.001,"En Progreso","Pendiente de ejecutar")))</f>
        <v>Completado</v>
      </c>
      <c r="L278" s="6" t="s">
        <v>323</v>
      </c>
      <c r="M278" s="6" t="s">
        <v>320</v>
      </c>
    </row>
    <row r="279" spans="1:13" hidden="1" x14ac:dyDescent="0.35">
      <c r="A279" s="11" t="s">
        <v>185</v>
      </c>
      <c r="B279" s="11" t="s">
        <v>205</v>
      </c>
      <c r="C279" s="11" t="s">
        <v>170</v>
      </c>
      <c r="D279" s="11" t="s">
        <v>171</v>
      </c>
      <c r="E279" s="13">
        <v>180000</v>
      </c>
      <c r="F279" s="36">
        <v>157344</v>
      </c>
      <c r="G279" s="40">
        <v>0</v>
      </c>
      <c r="H279" s="40">
        <f>F279+G279</f>
        <v>157344</v>
      </c>
      <c r="I279" s="47">
        <f>E279-H279</f>
        <v>22656</v>
      </c>
      <c r="J279" s="17">
        <f>IFERROR(H279/E279,0)</f>
        <v>0.87413333333333332</v>
      </c>
      <c r="K279" s="18" t="str">
        <f>IF(E279=0,"Sin Plan",IF(J279&gt;=1,"Completado",IF(J279&gt;0.001,"En Progreso","Pendiente de ejecutar")))</f>
        <v>En Progreso</v>
      </c>
      <c r="L279" s="6" t="s">
        <v>323</v>
      </c>
      <c r="M279" s="6" t="s">
        <v>320</v>
      </c>
    </row>
    <row r="280" spans="1:13" hidden="1" x14ac:dyDescent="0.35">
      <c r="A280" s="19" t="s">
        <v>209</v>
      </c>
      <c r="B280" s="11" t="s">
        <v>205</v>
      </c>
      <c r="C280" s="19" t="s">
        <v>170</v>
      </c>
      <c r="D280" s="19" t="s">
        <v>171</v>
      </c>
      <c r="E280" s="13">
        <v>180000</v>
      </c>
      <c r="F280" s="13">
        <v>157344</v>
      </c>
      <c r="G280" s="13">
        <v>0</v>
      </c>
      <c r="H280" s="40">
        <f>F280+G280</f>
        <v>157344</v>
      </c>
      <c r="I280" s="47">
        <f>E280-H280</f>
        <v>22656</v>
      </c>
      <c r="J280" s="17">
        <f>IFERROR(H280/E280,0)</f>
        <v>0.87413333333333332</v>
      </c>
      <c r="K280" s="18" t="str">
        <f>IF(E280=0,"Sin Plan",IF(J280&gt;=1,"Completado",IF(J280&gt;0.001,"En Progreso","Pendiente de ejecutar")))</f>
        <v>En Progreso</v>
      </c>
      <c r="L280" s="6" t="s">
        <v>323</v>
      </c>
      <c r="M280" s="6" t="s">
        <v>320</v>
      </c>
    </row>
    <row r="281" spans="1:13" hidden="1" x14ac:dyDescent="0.35">
      <c r="A281" s="11" t="s">
        <v>260</v>
      </c>
      <c r="B281" s="11" t="s">
        <v>205</v>
      </c>
      <c r="C281" s="11" t="s">
        <v>170</v>
      </c>
      <c r="D281" s="11" t="s">
        <v>171</v>
      </c>
      <c r="E281" s="13">
        <v>180000</v>
      </c>
      <c r="F281" s="13">
        <v>0</v>
      </c>
      <c r="G281" s="13">
        <v>0</v>
      </c>
      <c r="H281" s="40">
        <f>F281+G281</f>
        <v>0</v>
      </c>
      <c r="I281" s="47">
        <f>E281-H281</f>
        <v>180000</v>
      </c>
      <c r="J281" s="17">
        <f>IFERROR(H281/E281,0)</f>
        <v>0</v>
      </c>
      <c r="K281" s="18" t="str">
        <f>IF(E281=0,"Sin Plan",IF(J281&gt;=1,"Completado",IF(J281&gt;0.001,"En Progreso","Pendiente de ejecutar")))</f>
        <v>Pendiente de ejecutar</v>
      </c>
      <c r="L281" s="6" t="s">
        <v>323</v>
      </c>
      <c r="M281" s="6" t="s">
        <v>320</v>
      </c>
    </row>
    <row r="282" spans="1:13" hidden="1" x14ac:dyDescent="0.35">
      <c r="A282" s="19" t="s">
        <v>260</v>
      </c>
      <c r="B282" s="11" t="s">
        <v>205</v>
      </c>
      <c r="C282" s="19" t="s">
        <v>29</v>
      </c>
      <c r="D282" s="19" t="s">
        <v>30</v>
      </c>
      <c r="E282" s="13">
        <v>180000</v>
      </c>
      <c r="F282" s="13">
        <v>0</v>
      </c>
      <c r="G282" s="13">
        <v>0</v>
      </c>
      <c r="H282" s="40">
        <f>F282+G282</f>
        <v>0</v>
      </c>
      <c r="I282" s="47">
        <f>E282-H282</f>
        <v>180000</v>
      </c>
      <c r="J282" s="17">
        <f>IFERROR(H282/E282,0)</f>
        <v>0</v>
      </c>
      <c r="K282" s="18" t="str">
        <f>IF(E282=0,"Sin Plan",IF(J282&gt;=1,"Completado",IF(J282&gt;0.001,"En Progreso","Pendiente de ejecutar")))</f>
        <v>Pendiente de ejecutar</v>
      </c>
      <c r="L282" s="6" t="s">
        <v>323</v>
      </c>
      <c r="M282" s="6" t="s">
        <v>320</v>
      </c>
    </row>
    <row r="283" spans="1:13" hidden="1" x14ac:dyDescent="0.35">
      <c r="A283" s="11" t="s">
        <v>293</v>
      </c>
      <c r="B283" s="11" t="s">
        <v>205</v>
      </c>
      <c r="C283" s="11" t="s">
        <v>170</v>
      </c>
      <c r="D283" s="11" t="s">
        <v>171</v>
      </c>
      <c r="E283" s="14">
        <v>180000</v>
      </c>
      <c r="F283" s="15">
        <v>157344</v>
      </c>
      <c r="G283" s="14">
        <v>0</v>
      </c>
      <c r="H283" s="40">
        <f>F283+G283</f>
        <v>157344</v>
      </c>
      <c r="I283" s="47">
        <f>E283-H283</f>
        <v>22656</v>
      </c>
      <c r="J283" s="17">
        <f>IFERROR(H283/E283,0)</f>
        <v>0.87413333333333332</v>
      </c>
      <c r="K283" s="18" t="str">
        <f>IF(E283=0,"Sin Plan",IF(J283&gt;=1,"Completado",IF(J283&gt;0.001,"En Progreso","Pendiente de ejecutar")))</f>
        <v>En Progreso</v>
      </c>
      <c r="L283" s="6" t="s">
        <v>323</v>
      </c>
      <c r="M283" s="6" t="s">
        <v>320</v>
      </c>
    </row>
    <row r="284" spans="1:13" hidden="1" x14ac:dyDescent="0.35">
      <c r="A284" s="29" t="s">
        <v>41</v>
      </c>
      <c r="B284" s="29" t="s">
        <v>319</v>
      </c>
      <c r="C284" s="11" t="s">
        <v>23</v>
      </c>
      <c r="D284" s="29" t="s">
        <v>24</v>
      </c>
      <c r="E284" s="40">
        <v>112000</v>
      </c>
      <c r="F284" s="40">
        <v>0</v>
      </c>
      <c r="G284" s="40">
        <v>267560</v>
      </c>
      <c r="H284" s="40">
        <f>F284+G284</f>
        <v>267560</v>
      </c>
      <c r="I284" s="47">
        <f>E284-H284</f>
        <v>-155560</v>
      </c>
      <c r="J284" s="17">
        <f>IFERROR(H284/E284,0)</f>
        <v>2.3889285714285715</v>
      </c>
      <c r="K284" s="18" t="str">
        <f>IF(E284=0,"Sin Plan",IF(J284&gt;=1,"Completado",IF(J284&gt;0.001,"En Progreso","Pendiente de ejecutar")))</f>
        <v>Completado</v>
      </c>
      <c r="L284" s="70" t="s">
        <v>321</v>
      </c>
      <c r="M284" s="6" t="s">
        <v>320</v>
      </c>
    </row>
    <row r="285" spans="1:13" x14ac:dyDescent="0.35">
      <c r="A285" s="11" t="s">
        <v>219</v>
      </c>
      <c r="B285" s="11" t="s">
        <v>205</v>
      </c>
      <c r="C285" s="11" t="s">
        <v>95</v>
      </c>
      <c r="D285" s="11" t="s">
        <v>75</v>
      </c>
      <c r="E285" s="14">
        <v>255000</v>
      </c>
      <c r="F285" s="14">
        <v>0</v>
      </c>
      <c r="G285" s="14">
        <v>0</v>
      </c>
      <c r="H285" s="40">
        <f>F285+G285</f>
        <v>0</v>
      </c>
      <c r="I285" s="47">
        <f>E285-H285</f>
        <v>255000</v>
      </c>
      <c r="J285" s="17">
        <f>IFERROR(H285/E285,0)</f>
        <v>0</v>
      </c>
      <c r="K285" s="18" t="str">
        <f>IF(E285=0,"Sin Plan",IF(J285&gt;=1,"Completado",IF(J285&gt;0.001,"En Progreso","Pendiente de ejecutar")))</f>
        <v>Pendiente de ejecutar</v>
      </c>
      <c r="L285" s="6" t="s">
        <v>323</v>
      </c>
      <c r="M285" s="6" t="s">
        <v>320</v>
      </c>
    </row>
    <row r="286" spans="1:13" s="2" customFormat="1" hidden="1" x14ac:dyDescent="0.35">
      <c r="A286" s="20" t="s">
        <v>287</v>
      </c>
      <c r="B286" s="11" t="s">
        <v>205</v>
      </c>
      <c r="C286" s="20" t="s">
        <v>135</v>
      </c>
      <c r="D286" s="20" t="s">
        <v>136</v>
      </c>
      <c r="E286" s="14">
        <v>173500</v>
      </c>
      <c r="F286" s="14">
        <v>0</v>
      </c>
      <c r="G286" s="14">
        <v>0</v>
      </c>
      <c r="H286" s="40">
        <f>F286+G286</f>
        <v>0</v>
      </c>
      <c r="I286" s="47">
        <f>E286-H286</f>
        <v>173500</v>
      </c>
      <c r="J286" s="17">
        <f>IFERROR(H286/E286,0)</f>
        <v>0</v>
      </c>
      <c r="K286" s="18" t="str">
        <f>IF(E286=0,"Sin Plan",IF(J286&gt;=1,"Completado",IF(J286&gt;0.001,"En Progreso","Pendiente de ejecutar")))</f>
        <v>Pendiente de ejecutar</v>
      </c>
      <c r="L286" s="6" t="s">
        <v>323</v>
      </c>
      <c r="M286" s="6" t="s">
        <v>320</v>
      </c>
    </row>
    <row r="287" spans="1:13" hidden="1" x14ac:dyDescent="0.35">
      <c r="A287" s="20" t="s">
        <v>257</v>
      </c>
      <c r="B287" s="11" t="s">
        <v>205</v>
      </c>
      <c r="C287" s="11" t="s">
        <v>96</v>
      </c>
      <c r="D287" s="11" t="s">
        <v>97</v>
      </c>
      <c r="E287" s="14">
        <v>172000</v>
      </c>
      <c r="F287" s="14">
        <v>0</v>
      </c>
      <c r="G287" s="14">
        <v>136076</v>
      </c>
      <c r="H287" s="40">
        <f>F287+G287</f>
        <v>136076</v>
      </c>
      <c r="I287" s="47">
        <f>E287-H287</f>
        <v>35924</v>
      </c>
      <c r="J287" s="17">
        <f>IFERROR(H287/E287,0)</f>
        <v>0.79113953488372091</v>
      </c>
      <c r="K287" s="18" t="str">
        <f>IF(E287=0,"Sin Plan",IF(J287&gt;=1,"Completado",IF(J287&gt;0.001,"En Progreso","Pendiente de ejecutar")))</f>
        <v>En Progreso</v>
      </c>
      <c r="L287" s="6" t="s">
        <v>321</v>
      </c>
      <c r="M287" s="6" t="s">
        <v>320</v>
      </c>
    </row>
    <row r="288" spans="1:13" hidden="1" x14ac:dyDescent="0.35">
      <c r="A288" s="20" t="s">
        <v>282</v>
      </c>
      <c r="B288" s="11" t="s">
        <v>205</v>
      </c>
      <c r="C288" s="20" t="s">
        <v>125</v>
      </c>
      <c r="D288" s="20" t="s">
        <v>126</v>
      </c>
      <c r="E288" s="14">
        <v>168000</v>
      </c>
      <c r="F288" s="14">
        <v>0</v>
      </c>
      <c r="G288" s="14">
        <v>0</v>
      </c>
      <c r="H288" s="40">
        <f>F288+G288</f>
        <v>0</v>
      </c>
      <c r="I288" s="47">
        <f>E288-H288</f>
        <v>168000</v>
      </c>
      <c r="J288" s="17">
        <f>IFERROR(H288/E288,0)</f>
        <v>0</v>
      </c>
      <c r="K288" s="18" t="str">
        <f>IF(E288=0,"Sin Plan",IF(J288&gt;=1,"Completado",IF(J288&gt;0.001,"En Progreso","Pendiente de ejecutar")))</f>
        <v>Pendiente de ejecutar</v>
      </c>
      <c r="L288" s="6" t="s">
        <v>321</v>
      </c>
      <c r="M288" s="6" t="s">
        <v>320</v>
      </c>
    </row>
    <row r="289" spans="1:13" hidden="1" x14ac:dyDescent="0.35">
      <c r="A289" s="11" t="s">
        <v>282</v>
      </c>
      <c r="B289" s="11" t="s">
        <v>205</v>
      </c>
      <c r="C289" s="11" t="s">
        <v>135</v>
      </c>
      <c r="D289" s="11" t="s">
        <v>136</v>
      </c>
      <c r="E289" s="14">
        <v>167500</v>
      </c>
      <c r="F289" s="14">
        <v>283708.7</v>
      </c>
      <c r="G289" s="14">
        <v>0</v>
      </c>
      <c r="H289" s="40">
        <f>F289+G289</f>
        <v>283708.7</v>
      </c>
      <c r="I289" s="47">
        <f>E289-H289</f>
        <v>-116208.70000000001</v>
      </c>
      <c r="J289" s="17">
        <f>IFERROR(H289/E289,0)</f>
        <v>1.6937832835820896</v>
      </c>
      <c r="K289" s="18" t="str">
        <f>IF(E289=0,"Sin Plan",IF(J289&gt;=1,"Completado",IF(J289&gt;0.001,"En Progreso","Pendiente de ejecutar")))</f>
        <v>Completado</v>
      </c>
      <c r="L289" s="6" t="s">
        <v>323</v>
      </c>
      <c r="M289" s="6" t="s">
        <v>320</v>
      </c>
    </row>
    <row r="290" spans="1:13" hidden="1" x14ac:dyDescent="0.35">
      <c r="A290" s="20" t="s">
        <v>239</v>
      </c>
      <c r="B290" s="11" t="s">
        <v>205</v>
      </c>
      <c r="C290" s="20" t="s">
        <v>192</v>
      </c>
      <c r="D290" s="20" t="s">
        <v>193</v>
      </c>
      <c r="E290" s="14">
        <v>166400</v>
      </c>
      <c r="F290" s="14">
        <v>137608.89000000001</v>
      </c>
      <c r="G290" s="14">
        <v>0</v>
      </c>
      <c r="H290" s="40">
        <f>F290+G290</f>
        <v>137608.89000000001</v>
      </c>
      <c r="I290" s="47">
        <f>E290-H290</f>
        <v>28791.109999999986</v>
      </c>
      <c r="J290" s="17">
        <f>IFERROR(H290/E290,0)</f>
        <v>0.82697650240384624</v>
      </c>
      <c r="K290" s="18" t="str">
        <f>IF(E290=0,"Sin Plan",IF(J290&gt;=1,"Completado",IF(J290&gt;0.001,"En Progreso","Pendiente de ejecutar")))</f>
        <v>En Progreso</v>
      </c>
      <c r="L290" s="6" t="s">
        <v>323</v>
      </c>
      <c r="M290" s="6" t="s">
        <v>320</v>
      </c>
    </row>
    <row r="291" spans="1:13" hidden="1" x14ac:dyDescent="0.35">
      <c r="A291" s="11" t="s">
        <v>295</v>
      </c>
      <c r="B291" s="11" t="s">
        <v>205</v>
      </c>
      <c r="C291" s="11" t="s">
        <v>181</v>
      </c>
      <c r="D291" s="11" t="s">
        <v>182</v>
      </c>
      <c r="E291" s="14">
        <v>165000</v>
      </c>
      <c r="F291" s="14">
        <v>0</v>
      </c>
      <c r="G291" s="14">
        <v>0</v>
      </c>
      <c r="H291" s="40">
        <f>F291+G291</f>
        <v>0</v>
      </c>
      <c r="I291" s="47">
        <f>E291-H291</f>
        <v>165000</v>
      </c>
      <c r="J291" s="17">
        <f>IFERROR(H291/E291,0)</f>
        <v>0</v>
      </c>
      <c r="K291" s="18" t="str">
        <f>IF(E291=0,"Sin Plan",IF(J291&gt;=1,"Completado",IF(J291&gt;0.001,"En Progreso","Pendiente de ejecutar")))</f>
        <v>Pendiente de ejecutar</v>
      </c>
      <c r="L291" s="6" t="s">
        <v>323</v>
      </c>
      <c r="M291" s="6" t="s">
        <v>320</v>
      </c>
    </row>
    <row r="292" spans="1:13" hidden="1" x14ac:dyDescent="0.35">
      <c r="A292" s="20" t="s">
        <v>201</v>
      </c>
      <c r="B292" s="11" t="s">
        <v>205</v>
      </c>
      <c r="C292" s="20" t="s">
        <v>135</v>
      </c>
      <c r="D292" s="20" t="s">
        <v>136</v>
      </c>
      <c r="E292" s="36">
        <v>162500</v>
      </c>
      <c r="F292" s="14">
        <v>0</v>
      </c>
      <c r="G292" s="14">
        <v>0</v>
      </c>
      <c r="H292" s="40">
        <f>F292+G292</f>
        <v>0</v>
      </c>
      <c r="I292" s="47">
        <f>E292-H292</f>
        <v>162500</v>
      </c>
      <c r="J292" s="17">
        <f>IFERROR(H292/E292,0)</f>
        <v>0</v>
      </c>
      <c r="K292" s="18" t="str">
        <f>IF(E292=0,"Sin Plan",IF(J292&gt;=1,"Completado",IF(J292&gt;0.001,"En Progreso","Pendiente de ejecutar")))</f>
        <v>Pendiente de ejecutar</v>
      </c>
      <c r="L292" s="6" t="s">
        <v>323</v>
      </c>
      <c r="M292" s="6" t="s">
        <v>320</v>
      </c>
    </row>
    <row r="293" spans="1:13" hidden="1" x14ac:dyDescent="0.35">
      <c r="A293" s="20" t="s">
        <v>86</v>
      </c>
      <c r="B293" s="11" t="s">
        <v>319</v>
      </c>
      <c r="C293" s="20" t="s">
        <v>23</v>
      </c>
      <c r="D293" s="20" t="s">
        <v>24</v>
      </c>
      <c r="E293" s="14">
        <v>112000</v>
      </c>
      <c r="F293" s="14">
        <v>59096.85</v>
      </c>
      <c r="G293" s="14">
        <v>0</v>
      </c>
      <c r="H293" s="40">
        <f>F293+G293</f>
        <v>59096.85</v>
      </c>
      <c r="I293" s="47">
        <f>E293-H293</f>
        <v>52903.15</v>
      </c>
      <c r="J293" s="17">
        <f>IFERROR(H293/E293,0)</f>
        <v>0.5276504464285714</v>
      </c>
      <c r="K293" s="18" t="str">
        <f>IF(E293=0,"Sin Plan",IF(J293&gt;=1,"Completado",IF(J293&gt;0.001,"En Progreso","Pendiente de ejecutar")))</f>
        <v>En Progreso</v>
      </c>
      <c r="L293" s="6" t="s">
        <v>321</v>
      </c>
      <c r="M293" s="6" t="s">
        <v>320</v>
      </c>
    </row>
    <row r="294" spans="1:13" s="2" customFormat="1" hidden="1" x14ac:dyDescent="0.35">
      <c r="A294" s="28" t="s">
        <v>198</v>
      </c>
      <c r="B294" s="11" t="s">
        <v>205</v>
      </c>
      <c r="C294" s="20" t="s">
        <v>135</v>
      </c>
      <c r="D294" s="20" t="s">
        <v>136</v>
      </c>
      <c r="E294" s="14">
        <v>160000</v>
      </c>
      <c r="F294" s="14">
        <v>161434.6</v>
      </c>
      <c r="G294" s="14"/>
      <c r="H294" s="40">
        <f>F294+G294</f>
        <v>161434.6</v>
      </c>
      <c r="I294" s="47">
        <f>E294-H294</f>
        <v>-1434.6000000000058</v>
      </c>
      <c r="J294" s="17">
        <f>IFERROR(H294/E294,0)</f>
        <v>1.0089662500000001</v>
      </c>
      <c r="K294" s="18" t="str">
        <f>IF(E294=0,"Sin Plan",IF(J294&gt;=1,"Completado",IF(J294&gt;0.001,"En Progreso","Pendiente de ejecutar")))</f>
        <v>Completado</v>
      </c>
      <c r="L294" s="6" t="s">
        <v>323</v>
      </c>
      <c r="M294" s="6" t="s">
        <v>320</v>
      </c>
    </row>
    <row r="295" spans="1:13" hidden="1" x14ac:dyDescent="0.35">
      <c r="A295" s="11" t="s">
        <v>293</v>
      </c>
      <c r="B295" s="11" t="s">
        <v>205</v>
      </c>
      <c r="C295" s="11" t="s">
        <v>135</v>
      </c>
      <c r="D295" s="11" t="s">
        <v>136</v>
      </c>
      <c r="E295" s="13">
        <v>160000</v>
      </c>
      <c r="F295" s="13">
        <v>0</v>
      </c>
      <c r="G295" s="35">
        <v>161434.6</v>
      </c>
      <c r="H295" s="40">
        <f>F295+G295</f>
        <v>161434.6</v>
      </c>
      <c r="I295" s="47">
        <f>E295-H295</f>
        <v>-1434.6000000000058</v>
      </c>
      <c r="J295" s="17">
        <f>IFERROR(H295/E295,0)</f>
        <v>1.0089662500000001</v>
      </c>
      <c r="K295" s="18" t="str">
        <f>IF(E295=0,"Sin Plan",IF(J295&gt;=1,"Completado",IF(J295&gt;0.001,"En Progreso","Pendiente de ejecutar")))</f>
        <v>Completado</v>
      </c>
      <c r="L295" s="6" t="s">
        <v>323</v>
      </c>
      <c r="M295" s="6" t="s">
        <v>320</v>
      </c>
    </row>
    <row r="296" spans="1:13" hidden="1" x14ac:dyDescent="0.35">
      <c r="A296" s="19" t="s">
        <v>295</v>
      </c>
      <c r="B296" s="11" t="s">
        <v>205</v>
      </c>
      <c r="C296" s="19" t="s">
        <v>135</v>
      </c>
      <c r="D296" s="19" t="s">
        <v>136</v>
      </c>
      <c r="E296" s="13">
        <v>160000</v>
      </c>
      <c r="F296" s="13">
        <v>0</v>
      </c>
      <c r="G296" s="13">
        <v>161434.6</v>
      </c>
      <c r="H296" s="40">
        <f>F296+G296</f>
        <v>161434.6</v>
      </c>
      <c r="I296" s="47">
        <f>E296-H296</f>
        <v>-1434.6000000000058</v>
      </c>
      <c r="J296" s="17">
        <f>IFERROR(H296/E296,0)</f>
        <v>1.0089662500000001</v>
      </c>
      <c r="K296" s="18" t="str">
        <f>IF(E296=0,"Sin Plan",IF(J296&gt;=1,"Completado",IF(J296&gt;0.001,"En Progreso","Pendiente de ejecutar")))</f>
        <v>Completado</v>
      </c>
      <c r="L296" s="6" t="s">
        <v>323</v>
      </c>
      <c r="M296" s="6" t="s">
        <v>320</v>
      </c>
    </row>
    <row r="297" spans="1:13" x14ac:dyDescent="0.35">
      <c r="A297" s="19" t="s">
        <v>219</v>
      </c>
      <c r="B297" s="11" t="s">
        <v>205</v>
      </c>
      <c r="C297" s="19" t="s">
        <v>27</v>
      </c>
      <c r="D297" s="19" t="s">
        <v>28</v>
      </c>
      <c r="E297" s="13">
        <v>128000</v>
      </c>
      <c r="F297" s="13">
        <v>0</v>
      </c>
      <c r="G297" s="13">
        <v>0</v>
      </c>
      <c r="H297" s="40">
        <f>F297+G297</f>
        <v>0</v>
      </c>
      <c r="I297" s="47">
        <f>E297-H297</f>
        <v>128000</v>
      </c>
      <c r="J297" s="17">
        <f>IFERROR(H297/E297,0)</f>
        <v>0</v>
      </c>
      <c r="K297" s="18" t="str">
        <f>IF(E297=0,"Sin Plan",IF(J297&gt;=1,"Completado",IF(J297&gt;0.001,"En Progreso","Pendiente de ejecutar")))</f>
        <v>Pendiente de ejecutar</v>
      </c>
      <c r="L297" s="6" t="s">
        <v>323</v>
      </c>
      <c r="M297" s="6" t="s">
        <v>320</v>
      </c>
    </row>
    <row r="298" spans="1:13" x14ac:dyDescent="0.35">
      <c r="A298" s="11" t="s">
        <v>219</v>
      </c>
      <c r="B298" s="11" t="s">
        <v>205</v>
      </c>
      <c r="C298" s="11" t="s">
        <v>135</v>
      </c>
      <c r="D298" s="11" t="s">
        <v>136</v>
      </c>
      <c r="E298" s="14">
        <v>41000</v>
      </c>
      <c r="F298" s="36">
        <v>32286.92</v>
      </c>
      <c r="G298" s="14">
        <v>0</v>
      </c>
      <c r="H298" s="40">
        <f>F298+G298</f>
        <v>32286.92</v>
      </c>
      <c r="I298" s="47">
        <f>E298-H298</f>
        <v>8713.0800000000017</v>
      </c>
      <c r="J298" s="17">
        <f>IFERROR(H298/E298,0)</f>
        <v>0.78748585365853652</v>
      </c>
      <c r="K298" s="18" t="str">
        <f>IF(E298=0,"Sin Plan",IF(J298&gt;=1,"Completado",IF(J298&gt;0.001,"En Progreso","Pendiente de ejecutar")))</f>
        <v>En Progreso</v>
      </c>
      <c r="L298" s="6" t="s">
        <v>323</v>
      </c>
      <c r="M298" s="6" t="s">
        <v>320</v>
      </c>
    </row>
    <row r="299" spans="1:13" hidden="1" x14ac:dyDescent="0.35">
      <c r="A299" s="11" t="s">
        <v>87</v>
      </c>
      <c r="B299" s="11" t="s">
        <v>319</v>
      </c>
      <c r="C299" s="11" t="s">
        <v>23</v>
      </c>
      <c r="D299" s="11" t="s">
        <v>24</v>
      </c>
      <c r="E299" s="14">
        <v>112000</v>
      </c>
      <c r="F299" s="15">
        <v>39353.85</v>
      </c>
      <c r="G299" s="14">
        <v>0</v>
      </c>
      <c r="H299" s="40">
        <f>F299+G299</f>
        <v>39353.85</v>
      </c>
      <c r="I299" s="47">
        <f>E299-H299</f>
        <v>72646.149999999994</v>
      </c>
      <c r="J299" s="17">
        <f>IFERROR(H299/E299,0)</f>
        <v>0.35137366071428572</v>
      </c>
      <c r="K299" s="18" t="str">
        <f>IF(E299=0,"Sin Plan",IF(J299&gt;=1,"Completado",IF(J299&gt;0.001,"En Progreso","Pendiente de ejecutar")))</f>
        <v>En Progreso</v>
      </c>
      <c r="L299" s="6" t="s">
        <v>321</v>
      </c>
      <c r="M299" s="6" t="s">
        <v>320</v>
      </c>
    </row>
    <row r="300" spans="1:13" hidden="1" x14ac:dyDescent="0.35">
      <c r="A300" s="11" t="s">
        <v>168</v>
      </c>
      <c r="B300" s="11" t="s">
        <v>205</v>
      </c>
      <c r="C300" s="11" t="s">
        <v>83</v>
      </c>
      <c r="D300" s="11" t="s">
        <v>84</v>
      </c>
      <c r="E300" s="14">
        <v>154000</v>
      </c>
      <c r="F300" s="14"/>
      <c r="G300" s="36">
        <v>158800</v>
      </c>
      <c r="H300" s="40">
        <f>F300+G300</f>
        <v>158800</v>
      </c>
      <c r="I300" s="47">
        <f>E300-H300</f>
        <v>-4800</v>
      </c>
      <c r="J300" s="17">
        <f>IFERROR(H300/E300,0)</f>
        <v>1.0311688311688312</v>
      </c>
      <c r="K300" s="18" t="str">
        <f>IF(E300=0,"Sin Plan",IF(J300&gt;=1,"Completado",IF(J300&gt;0.001,"En Progreso","Pendiente de ejecutar")))</f>
        <v>Completado</v>
      </c>
      <c r="L300" s="6" t="s">
        <v>321</v>
      </c>
      <c r="M300" s="6" t="s">
        <v>320</v>
      </c>
    </row>
    <row r="301" spans="1:13" hidden="1" x14ac:dyDescent="0.35">
      <c r="A301" s="20" t="s">
        <v>98</v>
      </c>
      <c r="B301" s="11" t="s">
        <v>319</v>
      </c>
      <c r="C301" s="20" t="s">
        <v>23</v>
      </c>
      <c r="D301" s="20" t="s">
        <v>24</v>
      </c>
      <c r="E301" s="14">
        <v>112000</v>
      </c>
      <c r="F301" s="14">
        <v>64877.85</v>
      </c>
      <c r="G301" s="15">
        <f>267560+137581.3</f>
        <v>405141.3</v>
      </c>
      <c r="H301" s="40">
        <f>F301+G301</f>
        <v>470019.14999999997</v>
      </c>
      <c r="I301" s="47">
        <f>E301-H301</f>
        <v>-358019.14999999997</v>
      </c>
      <c r="J301" s="17">
        <f>IFERROR(H301/E301,0)</f>
        <v>4.1965995535714287</v>
      </c>
      <c r="K301" s="18" t="str">
        <f>IF(E301=0,"Sin Plan",IF(J301&gt;=1,"Completado",IF(J301&gt;0.001,"En Progreso","Pendiente de ejecutar")))</f>
        <v>Completado</v>
      </c>
      <c r="L301" s="6" t="s">
        <v>321</v>
      </c>
      <c r="M301" s="6" t="s">
        <v>320</v>
      </c>
    </row>
    <row r="302" spans="1:13" hidden="1" x14ac:dyDescent="0.35">
      <c r="A302" s="11" t="s">
        <v>295</v>
      </c>
      <c r="B302" s="11" t="s">
        <v>205</v>
      </c>
      <c r="C302" s="11" t="s">
        <v>170</v>
      </c>
      <c r="D302" s="11" t="s">
        <v>171</v>
      </c>
      <c r="E302" s="14">
        <v>150000</v>
      </c>
      <c r="F302" s="14">
        <v>131120</v>
      </c>
      <c r="G302" s="14">
        <v>0</v>
      </c>
      <c r="H302" s="40">
        <f>F302+G302</f>
        <v>131120</v>
      </c>
      <c r="I302" s="47">
        <f>E302-H302</f>
        <v>18880</v>
      </c>
      <c r="J302" s="17">
        <f>IFERROR(H302/E302,0)</f>
        <v>0.87413333333333332</v>
      </c>
      <c r="K302" s="18" t="str">
        <f>IF(E302=0,"Sin Plan",IF(J302&gt;=1,"Completado",IF(J302&gt;0.001,"En Progreso","Pendiente de ejecutar")))</f>
        <v>En Progreso</v>
      </c>
      <c r="L302" s="6" t="s">
        <v>323</v>
      </c>
      <c r="M302" s="6" t="s">
        <v>320</v>
      </c>
    </row>
    <row r="303" spans="1:13" hidden="1" x14ac:dyDescent="0.35">
      <c r="A303" s="11" t="s">
        <v>115</v>
      </c>
      <c r="B303" s="11" t="s">
        <v>319</v>
      </c>
      <c r="C303" s="11" t="s">
        <v>23</v>
      </c>
      <c r="D303" s="11" t="s">
        <v>24</v>
      </c>
      <c r="E303" s="14">
        <v>112000</v>
      </c>
      <c r="F303" s="14">
        <v>132990.26</v>
      </c>
      <c r="G303" s="14">
        <v>0</v>
      </c>
      <c r="H303" s="40">
        <f>F303+G303</f>
        <v>132990.26</v>
      </c>
      <c r="I303" s="47">
        <f>E303-H303</f>
        <v>-20990.260000000009</v>
      </c>
      <c r="J303" s="17">
        <f>IFERROR(H303/E303,0)</f>
        <v>1.1874130357142858</v>
      </c>
      <c r="K303" s="18" t="str">
        <f>IF(E303=0,"Sin Plan",IF(J303&gt;=1,"Completado",IF(J303&gt;0.001,"En Progreso","Pendiente de ejecutar")))</f>
        <v>Completado</v>
      </c>
      <c r="L303" s="6" t="s">
        <v>321</v>
      </c>
      <c r="M303" s="6" t="s">
        <v>320</v>
      </c>
    </row>
    <row r="304" spans="1:13" hidden="1" x14ac:dyDescent="0.35">
      <c r="A304" s="11" t="s">
        <v>287</v>
      </c>
      <c r="B304" s="11" t="s">
        <v>205</v>
      </c>
      <c r="C304" s="11" t="s">
        <v>29</v>
      </c>
      <c r="D304" s="11" t="s">
        <v>30</v>
      </c>
      <c r="E304" s="13">
        <v>144000</v>
      </c>
      <c r="F304" s="13">
        <v>0</v>
      </c>
      <c r="G304" s="13">
        <v>0</v>
      </c>
      <c r="H304" s="40">
        <f>F304+G304</f>
        <v>0</v>
      </c>
      <c r="I304" s="47">
        <f>E304-H304</f>
        <v>144000</v>
      </c>
      <c r="J304" s="17">
        <f>IFERROR(H304/E304,0)</f>
        <v>0</v>
      </c>
      <c r="K304" s="18" t="str">
        <f>IF(E304=0,"Sin Plan",IF(J304&gt;=1,"Completado",IF(J304&gt;0.001,"En Progreso","Pendiente de ejecutar")))</f>
        <v>Pendiente de ejecutar</v>
      </c>
      <c r="L304" s="6" t="s">
        <v>323</v>
      </c>
      <c r="M304" s="6" t="s">
        <v>320</v>
      </c>
    </row>
    <row r="305" spans="1:13" x14ac:dyDescent="0.35">
      <c r="A305" s="29" t="s">
        <v>219</v>
      </c>
      <c r="B305" s="11" t="s">
        <v>205</v>
      </c>
      <c r="C305" s="22"/>
      <c r="D305" s="22" t="s">
        <v>325</v>
      </c>
      <c r="E305" s="14">
        <v>29336.330000000075</v>
      </c>
      <c r="F305" s="14"/>
      <c r="G305" s="14"/>
      <c r="H305" s="40">
        <f>F305+G305</f>
        <v>0</v>
      </c>
      <c r="I305" s="47">
        <f>E305-H305</f>
        <v>29336.330000000075</v>
      </c>
      <c r="J305" s="17">
        <f>IFERROR(H305/E305,0)</f>
        <v>0</v>
      </c>
      <c r="K305" s="18" t="str">
        <f>IF(E305=0,"Sin Plan",IF(J305&gt;=1,"Completado",IF(J305&gt;0.001,"En Progreso","Pendiente de ejecutar")))</f>
        <v>Pendiente de ejecutar</v>
      </c>
      <c r="L305" s="6" t="s">
        <v>323</v>
      </c>
      <c r="M305" s="6"/>
    </row>
    <row r="306" spans="1:13" hidden="1" x14ac:dyDescent="0.35">
      <c r="A306" s="11" t="s">
        <v>127</v>
      </c>
      <c r="B306" s="11" t="s">
        <v>128</v>
      </c>
      <c r="C306" s="11" t="s">
        <v>135</v>
      </c>
      <c r="D306" s="11" t="s">
        <v>136</v>
      </c>
      <c r="E306" s="13">
        <v>142500</v>
      </c>
      <c r="F306" s="13">
        <v>141854.35</v>
      </c>
      <c r="G306" s="13">
        <v>0</v>
      </c>
      <c r="H306" s="40">
        <f>F306+G306</f>
        <v>141854.35</v>
      </c>
      <c r="I306" s="47">
        <f>E306-H306</f>
        <v>645.64999999999418</v>
      </c>
      <c r="J306" s="17">
        <f>IFERROR(H306/E306,0)</f>
        <v>0.9954691228070176</v>
      </c>
      <c r="K306" s="18" t="str">
        <f>IF(E306=0,"Sin Plan",IF(J306&gt;=1,"Completado",IF(J306&gt;0.001,"En Progreso","Pendiente de ejecutar")))</f>
        <v>En Progreso</v>
      </c>
      <c r="L306" s="6" t="s">
        <v>323</v>
      </c>
      <c r="M306" s="6" t="s">
        <v>320</v>
      </c>
    </row>
    <row r="307" spans="1:13" hidden="1" x14ac:dyDescent="0.35">
      <c r="A307" s="20" t="s">
        <v>153</v>
      </c>
      <c r="B307" s="20" t="s">
        <v>128</v>
      </c>
      <c r="C307" s="20" t="s">
        <v>135</v>
      </c>
      <c r="D307" s="20" t="s">
        <v>136</v>
      </c>
      <c r="E307" s="14">
        <v>142500</v>
      </c>
      <c r="F307" s="14">
        <v>113483.48</v>
      </c>
      <c r="G307" s="89"/>
      <c r="H307" s="40" t="e">
        <f>#REF!+F307</f>
        <v>#REF!</v>
      </c>
      <c r="I307" s="47" t="e">
        <f>E307-H307</f>
        <v>#REF!</v>
      </c>
      <c r="J307" s="17">
        <f>IFERROR(H307/E307,0)</f>
        <v>0</v>
      </c>
      <c r="K307" s="18" t="str">
        <f>IF(E307=0,"Sin Plan",IF(J307&gt;=1,"Completado",IF(J307&gt;0.001,"En Progreso","Pendiente de ejecutar")))</f>
        <v>Pendiente de ejecutar</v>
      </c>
      <c r="L307" s="6" t="s">
        <v>323</v>
      </c>
      <c r="M307" s="6" t="s">
        <v>320</v>
      </c>
    </row>
    <row r="308" spans="1:13" s="2" customFormat="1" hidden="1" x14ac:dyDescent="0.35">
      <c r="A308" s="55" t="s">
        <v>11</v>
      </c>
      <c r="B308" s="11" t="s">
        <v>319</v>
      </c>
      <c r="C308" s="11" t="s">
        <v>23</v>
      </c>
      <c r="D308" s="11" t="s">
        <v>24</v>
      </c>
      <c r="E308" s="13">
        <v>112000</v>
      </c>
      <c r="F308" s="35">
        <v>50224</v>
      </c>
      <c r="G308" s="13">
        <v>0</v>
      </c>
      <c r="H308" s="40">
        <f>F308+G308</f>
        <v>50224</v>
      </c>
      <c r="I308" s="47">
        <f>E308-H308</f>
        <v>61776</v>
      </c>
      <c r="J308" s="17">
        <f>IFERROR(H308/E308,0)</f>
        <v>0.44842857142857145</v>
      </c>
      <c r="K308" s="18" t="str">
        <f>IF(E308=0,"Sin Plan",IF(J308&gt;=1,"Completado",IF(J308&gt;0.001,"En Progreso","Pendiente de ejecutar")))</f>
        <v>En Progreso</v>
      </c>
      <c r="L308" s="6" t="s">
        <v>321</v>
      </c>
      <c r="M308" s="6" t="s">
        <v>318</v>
      </c>
    </row>
    <row r="309" spans="1:13" hidden="1" x14ac:dyDescent="0.35">
      <c r="A309" s="20" t="s">
        <v>225</v>
      </c>
      <c r="B309" s="11" t="s">
        <v>205</v>
      </c>
      <c r="C309" s="20" t="s">
        <v>83</v>
      </c>
      <c r="D309" s="20" t="s">
        <v>84</v>
      </c>
      <c r="E309" s="14">
        <v>138500</v>
      </c>
      <c r="F309" s="14">
        <v>81650</v>
      </c>
      <c r="G309" s="14">
        <v>96550</v>
      </c>
      <c r="H309" s="40">
        <f>F309+G309</f>
        <v>178200</v>
      </c>
      <c r="I309" s="47">
        <f>E309-H309</f>
        <v>-39700</v>
      </c>
      <c r="J309" s="17">
        <f>IFERROR(H309/E309,0)</f>
        <v>1.2866425992779784</v>
      </c>
      <c r="K309" s="18" t="str">
        <f>IF(E309=0,"Sin Plan",IF(J309&gt;=1,"Completado",IF(J309&gt;0.001,"En Progreso","Pendiente de ejecutar")))</f>
        <v>Completado</v>
      </c>
      <c r="L309" s="6" t="s">
        <v>321</v>
      </c>
      <c r="M309" s="6" t="s">
        <v>320</v>
      </c>
    </row>
    <row r="310" spans="1:13" hidden="1" x14ac:dyDescent="0.35">
      <c r="A310" s="11" t="s">
        <v>227</v>
      </c>
      <c r="B310" s="11" t="s">
        <v>205</v>
      </c>
      <c r="C310" s="11" t="s">
        <v>83</v>
      </c>
      <c r="D310" s="11" t="s">
        <v>84</v>
      </c>
      <c r="E310" s="14">
        <v>138500</v>
      </c>
      <c r="F310" s="14">
        <v>124050</v>
      </c>
      <c r="G310" s="14"/>
      <c r="H310" s="40">
        <f>F310+G310</f>
        <v>124050</v>
      </c>
      <c r="I310" s="47">
        <f>E310-H310</f>
        <v>14450</v>
      </c>
      <c r="J310" s="17">
        <f>IFERROR(H310/E310,0)</f>
        <v>0.89566787003610104</v>
      </c>
      <c r="K310" s="18" t="str">
        <f>IF(E310=0,"Sin Plan",IF(J310&gt;=1,"Completado",IF(J310&gt;0.001,"En Progreso","Pendiente de ejecutar")))</f>
        <v>En Progreso</v>
      </c>
      <c r="L310" s="6" t="s">
        <v>321</v>
      </c>
      <c r="M310" s="6" t="s">
        <v>320</v>
      </c>
    </row>
    <row r="311" spans="1:13" hidden="1" x14ac:dyDescent="0.35">
      <c r="A311" s="20" t="s">
        <v>185</v>
      </c>
      <c r="B311" s="11" t="s">
        <v>205</v>
      </c>
      <c r="C311" s="20" t="s">
        <v>96</v>
      </c>
      <c r="D311" s="20" t="s">
        <v>97</v>
      </c>
      <c r="E311" s="14">
        <v>136000</v>
      </c>
      <c r="F311" s="41">
        <v>0</v>
      </c>
      <c r="G311" s="41">
        <v>0</v>
      </c>
      <c r="H311" s="40">
        <f>F311+G311</f>
        <v>0</v>
      </c>
      <c r="I311" s="47">
        <f>E311-H311</f>
        <v>136000</v>
      </c>
      <c r="J311" s="17">
        <f>IFERROR(H311/E311,0)</f>
        <v>0</v>
      </c>
      <c r="K311" s="18" t="str">
        <f>IF(E311=0,"Sin Plan",IF(J311&gt;=1,"Completado",IF(J311&gt;0.001,"En Progreso","Pendiente de ejecutar")))</f>
        <v>Pendiente de ejecutar</v>
      </c>
      <c r="L311" s="6" t="s">
        <v>323</v>
      </c>
      <c r="M311" s="6" t="s">
        <v>320</v>
      </c>
    </row>
    <row r="312" spans="1:13" hidden="1" x14ac:dyDescent="0.35">
      <c r="A312" s="11" t="s">
        <v>105</v>
      </c>
      <c r="B312" s="11" t="s">
        <v>319</v>
      </c>
      <c r="C312" s="22"/>
      <c r="D312" s="23" t="s">
        <v>24</v>
      </c>
      <c r="E312" s="14"/>
      <c r="F312" s="14"/>
      <c r="G312" s="15">
        <v>267560</v>
      </c>
      <c r="H312" s="40">
        <f>F312+G312</f>
        <v>267560</v>
      </c>
      <c r="I312" s="47">
        <f>E312-H312</f>
        <v>-267560</v>
      </c>
      <c r="J312" s="17">
        <f>IFERROR(H312/E312,0)</f>
        <v>0</v>
      </c>
      <c r="K312" s="18" t="str">
        <f>IF(E312=0,"Sin Plan",IF(J312&gt;=1,"Completado",IF(J312&gt;0.001,"En Progreso","Pendiente de ejecutar")))</f>
        <v>Sin Plan</v>
      </c>
      <c r="L312" s="6" t="s">
        <v>321</v>
      </c>
      <c r="M312" s="6" t="s">
        <v>318</v>
      </c>
    </row>
    <row r="313" spans="1:13" hidden="1" x14ac:dyDescent="0.35">
      <c r="A313" s="19" t="s">
        <v>110</v>
      </c>
      <c r="B313" s="11" t="s">
        <v>319</v>
      </c>
      <c r="C313" s="12"/>
      <c r="D313" s="24" t="s">
        <v>24</v>
      </c>
      <c r="E313" s="13"/>
      <c r="F313" s="15"/>
      <c r="G313" s="25">
        <v>320721.71000000002</v>
      </c>
      <c r="H313" s="40">
        <f>F313+G313</f>
        <v>320721.71000000002</v>
      </c>
      <c r="I313" s="47">
        <f>E313-H313</f>
        <v>-320721.71000000002</v>
      </c>
      <c r="J313" s="17">
        <f>IFERROR(H313/E313,0)</f>
        <v>0</v>
      </c>
      <c r="K313" s="18" t="str">
        <f>IF(E313=0,"Sin Plan",IF(J313&gt;=1,"Completado",IF(J313&gt;0.001,"En Progreso","Pendiente de ejecutar")))</f>
        <v>Sin Plan</v>
      </c>
      <c r="L313" s="6" t="s">
        <v>321</v>
      </c>
      <c r="M313" s="6" t="s">
        <v>318</v>
      </c>
    </row>
    <row r="314" spans="1:13" hidden="1" x14ac:dyDescent="0.35">
      <c r="A314" s="19" t="s">
        <v>52</v>
      </c>
      <c r="B314" s="11" t="s">
        <v>319</v>
      </c>
      <c r="C314" s="19" t="s">
        <v>39</v>
      </c>
      <c r="D314" s="19" t="s">
        <v>40</v>
      </c>
      <c r="E314" s="13">
        <v>2049812</v>
      </c>
      <c r="F314" s="13"/>
      <c r="G314" s="13">
        <v>171600</v>
      </c>
      <c r="H314" s="40">
        <f>F314+G314</f>
        <v>171600</v>
      </c>
      <c r="I314" s="47">
        <f>E314-H314</f>
        <v>1878212</v>
      </c>
      <c r="J314" s="17">
        <f>IFERROR(H314/E314,0)</f>
        <v>8.3714994350701427E-2</v>
      </c>
      <c r="K314" s="18" t="str">
        <f>IF(E314=0,"Sin Plan",IF(J314&gt;=1,"Completado",IF(J314&gt;0.001,"En Progreso","Pendiente de ejecutar")))</f>
        <v>En Progreso</v>
      </c>
      <c r="L314" s="6" t="s">
        <v>321</v>
      </c>
      <c r="M314" s="6" t="s">
        <v>320</v>
      </c>
    </row>
    <row r="315" spans="1:13" hidden="1" x14ac:dyDescent="0.35">
      <c r="A315" s="11" t="s">
        <v>82</v>
      </c>
      <c r="B315" s="11" t="s">
        <v>319</v>
      </c>
      <c r="C315" s="11" t="s">
        <v>39</v>
      </c>
      <c r="D315" s="11" t="s">
        <v>40</v>
      </c>
      <c r="E315" s="13">
        <v>1872500</v>
      </c>
      <c r="F315" s="13">
        <v>0</v>
      </c>
      <c r="G315" s="15">
        <v>2093961.33</v>
      </c>
      <c r="H315" s="40">
        <f>F315+G315</f>
        <v>2093961.33</v>
      </c>
      <c r="I315" s="47">
        <f>E315-H315</f>
        <v>-221461.33000000007</v>
      </c>
      <c r="J315" s="17">
        <f>IFERROR(H315/E315,0)</f>
        <v>1.1182704032042725</v>
      </c>
      <c r="K315" s="18" t="str">
        <f>IF(E315=0,"Sin Plan",IF(J315&gt;=1,"Completado",IF(J315&gt;0.001,"En Progreso","Pendiente de ejecutar")))</f>
        <v>Completado</v>
      </c>
      <c r="L315" s="6" t="s">
        <v>321</v>
      </c>
      <c r="M315" s="6" t="s">
        <v>320</v>
      </c>
    </row>
    <row r="316" spans="1:13" hidden="1" x14ac:dyDescent="0.35">
      <c r="A316" s="11" t="s">
        <v>94</v>
      </c>
      <c r="B316" s="11" t="s">
        <v>319</v>
      </c>
      <c r="C316" s="11" t="s">
        <v>13</v>
      </c>
      <c r="D316" s="11" t="s">
        <v>14</v>
      </c>
      <c r="E316" s="13">
        <v>685000</v>
      </c>
      <c r="F316" s="13">
        <v>0</v>
      </c>
      <c r="G316" s="13">
        <v>865300</v>
      </c>
      <c r="H316" s="40">
        <f>F316+G316</f>
        <v>865300</v>
      </c>
      <c r="I316" s="47">
        <f>E316-H316</f>
        <v>-180300</v>
      </c>
      <c r="J316" s="17">
        <f>IFERROR(H316/E316,0)</f>
        <v>1.2632116788321168</v>
      </c>
      <c r="K316" s="18" t="str">
        <f>IF(E316=0,"Sin Plan",IF(J316&gt;=1,"Completado",IF(J316&gt;0.001,"En Progreso","Pendiente de ejecutar")))</f>
        <v>Completado</v>
      </c>
      <c r="L316" s="6" t="s">
        <v>323</v>
      </c>
      <c r="M316" s="6" t="s">
        <v>320</v>
      </c>
    </row>
    <row r="317" spans="1:13" hidden="1" x14ac:dyDescent="0.35">
      <c r="A317" s="11" t="s">
        <v>42</v>
      </c>
      <c r="B317" s="11" t="s">
        <v>319</v>
      </c>
      <c r="C317" s="11" t="s">
        <v>39</v>
      </c>
      <c r="D317" s="11" t="s">
        <v>40</v>
      </c>
      <c r="E317" s="14">
        <v>1080000</v>
      </c>
      <c r="F317" s="14">
        <f>456512.02+327144.41</f>
        <v>783656.42999999993</v>
      </c>
      <c r="G317" s="89"/>
      <c r="H317" s="40" t="e">
        <f>#REF!+F317</f>
        <v>#REF!</v>
      </c>
      <c r="I317" s="47" t="e">
        <f>E317-H317</f>
        <v>#REF!</v>
      </c>
      <c r="J317" s="17">
        <f>IFERROR(H317/E317,0)</f>
        <v>0</v>
      </c>
      <c r="K317" s="18" t="str">
        <f>IF(E317=0,"Sin Plan",IF(J317&gt;=1,"Completado",IF(J317&gt;0.001,"En Progreso","Pendiente de ejecutar")))</f>
        <v>Pendiente de ejecutar</v>
      </c>
      <c r="L317" s="6" t="s">
        <v>321</v>
      </c>
      <c r="M317" s="6" t="s">
        <v>320</v>
      </c>
    </row>
    <row r="318" spans="1:13" hidden="1" x14ac:dyDescent="0.35">
      <c r="A318" s="11" t="s">
        <v>108</v>
      </c>
      <c r="B318" s="11" t="s">
        <v>319</v>
      </c>
      <c r="C318" s="11" t="s">
        <v>39</v>
      </c>
      <c r="D318" s="11" t="s">
        <v>40</v>
      </c>
      <c r="E318" s="14">
        <v>655465.19999999995</v>
      </c>
      <c r="F318" s="14">
        <v>152858.07999999999</v>
      </c>
      <c r="G318" s="14">
        <v>0</v>
      </c>
      <c r="H318" s="40">
        <f>F318+G318</f>
        <v>152858.07999999999</v>
      </c>
      <c r="I318" s="47">
        <f>E318-H318</f>
        <v>502607.12</v>
      </c>
      <c r="J318" s="17">
        <f>IFERROR(H318/E318,0)</f>
        <v>0.233205485203486</v>
      </c>
      <c r="K318" s="18" t="str">
        <f>IF(E318=0,"Sin Plan",IF(J318&gt;=1,"Completado",IF(J318&gt;0.001,"En Progreso","Pendiente de ejecutar")))</f>
        <v>En Progreso</v>
      </c>
      <c r="L318" s="6" t="s">
        <v>321</v>
      </c>
      <c r="M318" s="6" t="s">
        <v>320</v>
      </c>
    </row>
    <row r="319" spans="1:13" hidden="1" x14ac:dyDescent="0.35">
      <c r="A319" s="11" t="s">
        <v>87</v>
      </c>
      <c r="B319" s="11" t="s">
        <v>319</v>
      </c>
      <c r="C319" s="11" t="s">
        <v>39</v>
      </c>
      <c r="D319" s="11" t="s">
        <v>40</v>
      </c>
      <c r="E319" s="13">
        <v>530000</v>
      </c>
      <c r="F319" s="13">
        <v>380758.84</v>
      </c>
      <c r="G319" s="13"/>
      <c r="H319" s="40">
        <f>F319+G319</f>
        <v>380758.84</v>
      </c>
      <c r="I319" s="47">
        <f>E319-H319</f>
        <v>149241.15999999997</v>
      </c>
      <c r="J319" s="17">
        <f>IFERROR(H319/E319,0)</f>
        <v>0.71841290566037741</v>
      </c>
      <c r="K319" s="18" t="str">
        <f>IF(E319=0,"Sin Plan",IF(J319&gt;=1,"Completado",IF(J319&gt;0.001,"En Progreso","Pendiente de ejecutar")))</f>
        <v>En Progreso</v>
      </c>
      <c r="L319" s="6" t="s">
        <v>321</v>
      </c>
      <c r="M319" s="6" t="s">
        <v>320</v>
      </c>
    </row>
    <row r="320" spans="1:13" hidden="1" x14ac:dyDescent="0.35">
      <c r="A320" s="11" t="s">
        <v>113</v>
      </c>
      <c r="B320" s="11" t="s">
        <v>319</v>
      </c>
      <c r="C320" s="11" t="s">
        <v>39</v>
      </c>
      <c r="D320" s="11" t="s">
        <v>40</v>
      </c>
      <c r="E320" s="14">
        <v>514800</v>
      </c>
      <c r="F320" s="14"/>
      <c r="G320" s="14">
        <v>345050</v>
      </c>
      <c r="H320" s="40">
        <f>F320+G320</f>
        <v>345050</v>
      </c>
      <c r="I320" s="47">
        <f>E320-H320</f>
        <v>169750</v>
      </c>
      <c r="J320" s="17">
        <f>IFERROR(H320/E320,0)</f>
        <v>0.67026029526029529</v>
      </c>
      <c r="K320" s="18" t="str">
        <f>IF(E320=0,"Sin Plan",IF(J320&gt;=1,"Completado",IF(J320&gt;0.001,"En Progreso","Pendiente de ejecutar")))</f>
        <v>En Progreso</v>
      </c>
      <c r="L320" s="6" t="s">
        <v>321</v>
      </c>
      <c r="M320" s="6" t="s">
        <v>320</v>
      </c>
    </row>
    <row r="321" spans="1:13" hidden="1" x14ac:dyDescent="0.35">
      <c r="A321" s="20" t="s">
        <v>94</v>
      </c>
      <c r="B321" s="11" t="s">
        <v>319</v>
      </c>
      <c r="C321" s="20" t="s">
        <v>96</v>
      </c>
      <c r="D321" s="20" t="s">
        <v>329</v>
      </c>
      <c r="E321" s="14">
        <v>0</v>
      </c>
      <c r="F321" s="15">
        <v>302580</v>
      </c>
      <c r="G321" s="14">
        <v>0</v>
      </c>
      <c r="H321" s="40">
        <f>F321+G321</f>
        <v>302580</v>
      </c>
      <c r="I321" s="47">
        <f>E321-H321</f>
        <v>-302580</v>
      </c>
      <c r="J321" s="17">
        <f>IFERROR(H321/E321,0)</f>
        <v>0</v>
      </c>
      <c r="K321" s="18" t="str">
        <f>IF(E321=0,"Sin Plan",IF(J321&gt;=1,"Completado",IF(J321&gt;0.001,"En Progreso","Pendiente de ejecutar")))</f>
        <v>Sin Plan</v>
      </c>
      <c r="L321" s="6" t="s">
        <v>323</v>
      </c>
      <c r="M321" s="6" t="s">
        <v>318</v>
      </c>
    </row>
    <row r="322" spans="1:13" hidden="1" x14ac:dyDescent="0.35">
      <c r="A322" s="49" t="s">
        <v>120</v>
      </c>
      <c r="B322" s="29" t="s">
        <v>319</v>
      </c>
      <c r="C322" s="19" t="s">
        <v>39</v>
      </c>
      <c r="D322" s="49" t="s">
        <v>40</v>
      </c>
      <c r="E322" s="40">
        <v>450000</v>
      </c>
      <c r="F322" s="40">
        <v>0</v>
      </c>
      <c r="G322" s="40">
        <v>0</v>
      </c>
      <c r="H322" s="40">
        <f>F322+G322</f>
        <v>0</v>
      </c>
      <c r="I322" s="47">
        <f>E322-H322</f>
        <v>450000</v>
      </c>
      <c r="J322" s="17">
        <f>IFERROR(H322/E322,0)</f>
        <v>0</v>
      </c>
      <c r="K322" s="18" t="str">
        <f>IF(E322=0,"Sin Plan",IF(J322&gt;=1,"Completado",IF(J322&gt;0.001,"En Progreso","Pendiente de ejecutar")))</f>
        <v>Pendiente de ejecutar</v>
      </c>
      <c r="L322" s="70" t="s">
        <v>321</v>
      </c>
      <c r="M322" s="6" t="s">
        <v>320</v>
      </c>
    </row>
    <row r="323" spans="1:13" hidden="1" x14ac:dyDescent="0.35">
      <c r="A323" s="11" t="s">
        <v>36</v>
      </c>
      <c r="B323" s="11" t="s">
        <v>319</v>
      </c>
      <c r="C323" s="11" t="s">
        <v>39</v>
      </c>
      <c r="D323" s="11" t="s">
        <v>40</v>
      </c>
      <c r="E323" s="13">
        <v>435000</v>
      </c>
      <c r="F323" s="13">
        <v>326891.09999999998</v>
      </c>
      <c r="G323" s="13">
        <v>0</v>
      </c>
      <c r="H323" s="40">
        <f>F323+G323</f>
        <v>326891.09999999998</v>
      </c>
      <c r="I323" s="47">
        <f>E323-H323</f>
        <v>108108.90000000002</v>
      </c>
      <c r="J323" s="17">
        <f>IFERROR(H323/E323,0)</f>
        <v>0.7514737931034482</v>
      </c>
      <c r="K323" s="18" t="str">
        <f>IF(E323=0,"Sin Plan",IF(J323&gt;=1,"Completado",IF(J323&gt;0.001,"En Progreso","Pendiente de ejecutar")))</f>
        <v>En Progreso</v>
      </c>
      <c r="L323" s="6" t="s">
        <v>321</v>
      </c>
      <c r="M323" s="6" t="s">
        <v>320</v>
      </c>
    </row>
    <row r="324" spans="1:13" hidden="1" x14ac:dyDescent="0.35">
      <c r="A324" s="19" t="s">
        <v>115</v>
      </c>
      <c r="B324" s="11" t="s">
        <v>319</v>
      </c>
      <c r="C324" s="19" t="s">
        <v>39</v>
      </c>
      <c r="D324" s="19" t="s">
        <v>40</v>
      </c>
      <c r="E324" s="13">
        <v>176160</v>
      </c>
      <c r="F324" s="13">
        <v>235610.58</v>
      </c>
      <c r="G324" s="13">
        <v>0</v>
      </c>
      <c r="H324" s="40">
        <f>F324+G324</f>
        <v>235610.58</v>
      </c>
      <c r="I324" s="47">
        <f>E324-H324</f>
        <v>-59450.579999999987</v>
      </c>
      <c r="J324" s="17">
        <f>IFERROR(H324/E324,0)</f>
        <v>1.3374805858310626</v>
      </c>
      <c r="K324" s="18" t="str">
        <f>IF(E324=0,"Sin Plan",IF(J324&gt;=1,"Completado",IF(J324&gt;0.001,"En Progreso","Pendiente de ejecutar")))</f>
        <v>Completado</v>
      </c>
      <c r="L324" s="6" t="s">
        <v>321</v>
      </c>
      <c r="M324" s="6" t="s">
        <v>320</v>
      </c>
    </row>
    <row r="325" spans="1:13" hidden="1" x14ac:dyDescent="0.35">
      <c r="A325" s="19" t="s">
        <v>257</v>
      </c>
      <c r="B325" s="11" t="s">
        <v>205</v>
      </c>
      <c r="C325" s="19" t="s">
        <v>135</v>
      </c>
      <c r="D325" s="19" t="s">
        <v>136</v>
      </c>
      <c r="E325" s="13">
        <v>131500</v>
      </c>
      <c r="F325" s="13">
        <v>129147.68</v>
      </c>
      <c r="G325" s="13">
        <v>0</v>
      </c>
      <c r="H325" s="40">
        <f>F325+G325</f>
        <v>129147.68</v>
      </c>
      <c r="I325" s="47">
        <f>E325-H325</f>
        <v>2352.320000000007</v>
      </c>
      <c r="J325" s="17">
        <f>IFERROR(H325/E325,0)</f>
        <v>0.98211163498098852</v>
      </c>
      <c r="K325" s="18" t="str">
        <f>IF(E325=0,"Sin Plan",IF(J325&gt;=1,"Completado",IF(J325&gt;0.001,"En Progreso","Pendiente de ejecutar")))</f>
        <v>En Progreso</v>
      </c>
      <c r="L325" s="6" t="s">
        <v>323</v>
      </c>
      <c r="M325" s="6" t="s">
        <v>320</v>
      </c>
    </row>
    <row r="326" spans="1:13" hidden="1" x14ac:dyDescent="0.35">
      <c r="A326" s="49" t="s">
        <v>86</v>
      </c>
      <c r="B326" s="29" t="s">
        <v>319</v>
      </c>
      <c r="C326" s="19" t="s">
        <v>39</v>
      </c>
      <c r="D326" s="49" t="s">
        <v>40</v>
      </c>
      <c r="E326" s="40">
        <v>147392</v>
      </c>
      <c r="F326" s="40">
        <v>0</v>
      </c>
      <c r="G326" s="40">
        <v>0</v>
      </c>
      <c r="H326" s="40">
        <f>F326+G326</f>
        <v>0</v>
      </c>
      <c r="I326" s="47">
        <f>E326-H326</f>
        <v>147392</v>
      </c>
      <c r="J326" s="17">
        <f>IFERROR(H326/E326,0)</f>
        <v>0</v>
      </c>
      <c r="K326" s="18" t="str">
        <f>IF(E326=0,"Sin Plan",IF(J326&gt;=1,"Completado",IF(J326&gt;0.001,"En Progreso","Pendiente de ejecutar")))</f>
        <v>Pendiente de ejecutar</v>
      </c>
      <c r="L326" s="70" t="s">
        <v>321</v>
      </c>
      <c r="M326" s="6" t="s">
        <v>320</v>
      </c>
    </row>
    <row r="327" spans="1:13" x14ac:dyDescent="0.35">
      <c r="A327" s="11" t="s">
        <v>219</v>
      </c>
      <c r="B327" s="11" t="s">
        <v>205</v>
      </c>
      <c r="C327" s="11" t="s">
        <v>37</v>
      </c>
      <c r="D327" s="11" t="s">
        <v>38</v>
      </c>
      <c r="E327" s="14">
        <v>0</v>
      </c>
      <c r="F327" s="14">
        <v>3162744.59</v>
      </c>
      <c r="G327" s="36">
        <f>97000+266400+1231666.28</f>
        <v>1595066.28</v>
      </c>
      <c r="H327" s="40">
        <f>F327+G327</f>
        <v>4757810.87</v>
      </c>
      <c r="I327" s="47">
        <f>E327-H327</f>
        <v>-4757810.87</v>
      </c>
      <c r="J327" s="17">
        <f>IFERROR(H327/E327,0)</f>
        <v>0</v>
      </c>
      <c r="K327" s="18" t="str">
        <f>IF(E327=0,"Sin Plan",IF(J327&gt;=1,"Completado",IF(J327&gt;0.001,"En Progreso","Pendiente de ejecutar")))</f>
        <v>Sin Plan</v>
      </c>
      <c r="L327" s="6" t="s">
        <v>323</v>
      </c>
      <c r="M327" s="6" t="s">
        <v>318</v>
      </c>
    </row>
    <row r="328" spans="1:13" hidden="1" x14ac:dyDescent="0.35">
      <c r="A328" s="20" t="s">
        <v>201</v>
      </c>
      <c r="B328" s="11" t="s">
        <v>205</v>
      </c>
      <c r="C328" s="20" t="s">
        <v>196</v>
      </c>
      <c r="D328" s="20" t="s">
        <v>197</v>
      </c>
      <c r="E328" s="36">
        <v>130000</v>
      </c>
      <c r="F328" s="14">
        <v>98659.839999999997</v>
      </c>
      <c r="G328" s="14">
        <v>0</v>
      </c>
      <c r="H328" s="40">
        <f>F328+G328</f>
        <v>98659.839999999997</v>
      </c>
      <c r="I328" s="47">
        <f>E328-H328</f>
        <v>31340.160000000003</v>
      </c>
      <c r="J328" s="17">
        <f>IFERROR(H328/E328,0)</f>
        <v>0.75892184615384617</v>
      </c>
      <c r="K328" s="18" t="str">
        <f>IF(E328=0,"Sin Plan",IF(J328&gt;=1,"Completado",IF(J328&gt;0.001,"En Progreso","Pendiente de ejecutar")))</f>
        <v>En Progreso</v>
      </c>
      <c r="L328" s="6" t="s">
        <v>323</v>
      </c>
      <c r="M328" s="6" t="s">
        <v>320</v>
      </c>
    </row>
    <row r="329" spans="1:13" hidden="1" x14ac:dyDescent="0.35">
      <c r="A329" s="11" t="s">
        <v>226</v>
      </c>
      <c r="B329" s="11" t="s">
        <v>205</v>
      </c>
      <c r="C329" s="11" t="s">
        <v>196</v>
      </c>
      <c r="D329" s="11" t="s">
        <v>197</v>
      </c>
      <c r="E329" s="14">
        <v>130000</v>
      </c>
      <c r="F329" s="14">
        <v>98659.839999999997</v>
      </c>
      <c r="G329" s="14">
        <v>0</v>
      </c>
      <c r="H329" s="40">
        <f>F329+G329</f>
        <v>98659.839999999997</v>
      </c>
      <c r="I329" s="47">
        <f>E329-H329</f>
        <v>31340.160000000003</v>
      </c>
      <c r="J329" s="17">
        <f>IFERROR(H329/E329,0)</f>
        <v>0.75892184615384617</v>
      </c>
      <c r="K329" s="18" t="str">
        <f>IF(E329=0,"Sin Plan",IF(J329&gt;=1,"Completado",IF(J329&gt;0.001,"En Progreso","Pendiente de ejecutar")))</f>
        <v>En Progreso</v>
      </c>
      <c r="L329" s="6" t="s">
        <v>323</v>
      </c>
      <c r="M329" s="6" t="s">
        <v>320</v>
      </c>
    </row>
    <row r="330" spans="1:13" hidden="1" x14ac:dyDescent="0.35">
      <c r="A330" s="11" t="s">
        <v>281</v>
      </c>
      <c r="B330" s="11"/>
      <c r="C330" s="11"/>
      <c r="D330" s="11" t="s">
        <v>382</v>
      </c>
      <c r="E330" s="14"/>
      <c r="F330" s="14"/>
      <c r="G330" s="14">
        <v>106515</v>
      </c>
      <c r="H330" s="40"/>
      <c r="I330" s="47">
        <f>E330-H330</f>
        <v>0</v>
      </c>
      <c r="J330" s="17">
        <f>IFERROR(H330/E330,0)</f>
        <v>0</v>
      </c>
      <c r="K330" s="18" t="str">
        <f>IF(E330=0,"Sin Plan",IF(J330&gt;=1,"Completado",IF(J330&gt;0.001,"En Progreso","Pendiente de ejecutar")))</f>
        <v>Sin Plan</v>
      </c>
      <c r="L330" s="6" t="s">
        <v>323</v>
      </c>
      <c r="M330" s="6"/>
    </row>
    <row r="331" spans="1:13" hidden="1" x14ac:dyDescent="0.35">
      <c r="A331" s="11" t="s">
        <v>281</v>
      </c>
      <c r="B331" s="11" t="s">
        <v>205</v>
      </c>
      <c r="C331" s="11" t="s">
        <v>196</v>
      </c>
      <c r="D331" s="11" t="s">
        <v>197</v>
      </c>
      <c r="E331" s="13">
        <v>130000</v>
      </c>
      <c r="F331" s="13">
        <v>98659.839999999997</v>
      </c>
      <c r="G331" s="13">
        <v>0</v>
      </c>
      <c r="H331" s="40">
        <f>F331+G331</f>
        <v>98659.839999999997</v>
      </c>
      <c r="I331" s="47">
        <f>E331-H331</f>
        <v>31340.160000000003</v>
      </c>
      <c r="J331" s="17">
        <f>IFERROR(H331/E331,0)</f>
        <v>0.75892184615384617</v>
      </c>
      <c r="K331" s="18" t="str">
        <f>IF(E331=0,"Sin Plan",IF(J331&gt;=1,"Completado",IF(J331&gt;0.001,"En Progreso","Pendiente de ejecutar")))</f>
        <v>En Progreso</v>
      </c>
      <c r="L331" s="6" t="s">
        <v>323</v>
      </c>
      <c r="M331" s="6" t="s">
        <v>320</v>
      </c>
    </row>
    <row r="332" spans="1:13" hidden="1" x14ac:dyDescent="0.35">
      <c r="A332" s="19" t="s">
        <v>292</v>
      </c>
      <c r="B332" s="11" t="s">
        <v>205</v>
      </c>
      <c r="C332" s="19" t="s">
        <v>196</v>
      </c>
      <c r="D332" s="19" t="s">
        <v>197</v>
      </c>
      <c r="E332" s="13">
        <v>130000</v>
      </c>
      <c r="F332" s="13">
        <v>98659.839999999997</v>
      </c>
      <c r="G332" s="13">
        <v>0</v>
      </c>
      <c r="H332" s="40">
        <f>F332+G332</f>
        <v>98659.839999999997</v>
      </c>
      <c r="I332" s="47">
        <f>E332-H332</f>
        <v>31340.160000000003</v>
      </c>
      <c r="J332" s="17">
        <f>IFERROR(H332/E332,0)</f>
        <v>0.75892184615384617</v>
      </c>
      <c r="K332" s="18" t="str">
        <f>IF(E332=0,"Sin Plan",IF(J332&gt;=1,"Completado",IF(J332&gt;0.001,"En Progreso","Pendiente de ejecutar")))</f>
        <v>En Progreso</v>
      </c>
      <c r="L332" s="6" t="s">
        <v>323</v>
      </c>
      <c r="M332" s="6" t="s">
        <v>320</v>
      </c>
    </row>
    <row r="333" spans="1:13" hidden="1" x14ac:dyDescent="0.35">
      <c r="A333" s="11" t="s">
        <v>105</v>
      </c>
      <c r="B333" s="11" t="s">
        <v>319</v>
      </c>
      <c r="C333" s="11" t="s">
        <v>39</v>
      </c>
      <c r="D333" s="11" t="s">
        <v>40</v>
      </c>
      <c r="E333" s="13">
        <v>140870.39999999999</v>
      </c>
      <c r="F333" s="13">
        <v>114515</v>
      </c>
      <c r="G333" s="13">
        <v>0</v>
      </c>
      <c r="H333" s="40">
        <f>F333+G333</f>
        <v>114515</v>
      </c>
      <c r="I333" s="47">
        <f>E333-H333</f>
        <v>26355.399999999994</v>
      </c>
      <c r="J333" s="17">
        <f>IFERROR(H333/E333,0)</f>
        <v>0.81291030621053117</v>
      </c>
      <c r="K333" s="18" t="str">
        <f>IF(E333=0,"Sin Plan",IF(J333&gt;=1,"Completado",IF(J333&gt;0.001,"En Progreso","Pendiente de ejecutar")))</f>
        <v>En Progreso</v>
      </c>
      <c r="L333" s="6" t="s">
        <v>321</v>
      </c>
      <c r="M333" s="6" t="s">
        <v>320</v>
      </c>
    </row>
    <row r="334" spans="1:13" x14ac:dyDescent="0.35">
      <c r="A334" s="11" t="s">
        <v>219</v>
      </c>
      <c r="B334" s="11" t="s">
        <v>205</v>
      </c>
      <c r="C334" s="11" t="s">
        <v>83</v>
      </c>
      <c r="D334" s="11" t="s">
        <v>84</v>
      </c>
      <c r="E334" s="13">
        <v>0</v>
      </c>
      <c r="F334" s="35">
        <v>152140</v>
      </c>
      <c r="G334" s="13">
        <v>0</v>
      </c>
      <c r="H334" s="40">
        <f>F334+G334</f>
        <v>152140</v>
      </c>
      <c r="I334" s="47">
        <f>E334-H334</f>
        <v>-152140</v>
      </c>
      <c r="J334" s="17">
        <f>IFERROR(H334/E334,0)</f>
        <v>0</v>
      </c>
      <c r="K334" s="18" t="str">
        <f>IF(E334=0,"Sin Plan",IF(J334&gt;=1,"Completado",IF(J334&gt;0.001,"En Progreso","Pendiente de ejecutar")))</f>
        <v>Sin Plan</v>
      </c>
      <c r="L334" s="6" t="s">
        <v>321</v>
      </c>
      <c r="M334" s="6" t="s">
        <v>318</v>
      </c>
    </row>
    <row r="335" spans="1:13" hidden="1" x14ac:dyDescent="0.35">
      <c r="A335" s="11" t="s">
        <v>241</v>
      </c>
      <c r="B335" s="11" t="s">
        <v>205</v>
      </c>
      <c r="C335" s="11" t="s">
        <v>95</v>
      </c>
      <c r="D335" s="11" t="s">
        <v>75</v>
      </c>
      <c r="E335" s="13">
        <v>127500</v>
      </c>
      <c r="F335" s="13">
        <v>0</v>
      </c>
      <c r="G335" s="13">
        <v>0</v>
      </c>
      <c r="H335" s="40">
        <f>F335+G335</f>
        <v>0</v>
      </c>
      <c r="I335" s="47">
        <f>E335-H335</f>
        <v>127500</v>
      </c>
      <c r="J335" s="17">
        <f>IFERROR(H335/E335,0)</f>
        <v>0</v>
      </c>
      <c r="K335" s="18" t="str">
        <f>IF(E335=0,"Sin Plan",IF(J335&gt;=1,"Completado",IF(J335&gt;0.001,"En Progreso","Pendiente de ejecutar")))</f>
        <v>Pendiente de ejecutar</v>
      </c>
      <c r="L335" s="6" t="s">
        <v>323</v>
      </c>
      <c r="M335" s="6" t="s">
        <v>320</v>
      </c>
    </row>
    <row r="336" spans="1:13" hidden="1" x14ac:dyDescent="0.35">
      <c r="A336" s="20" t="s">
        <v>110</v>
      </c>
      <c r="B336" s="11" t="s">
        <v>319</v>
      </c>
      <c r="C336" s="20" t="s">
        <v>39</v>
      </c>
      <c r="D336" s="20" t="s">
        <v>40</v>
      </c>
      <c r="E336" s="14">
        <v>0</v>
      </c>
      <c r="F336" s="14">
        <v>300210.71999999997</v>
      </c>
      <c r="G336" s="14">
        <v>0</v>
      </c>
      <c r="H336" s="40">
        <f>F336+G336</f>
        <v>300210.71999999997</v>
      </c>
      <c r="I336" s="47">
        <f>E336-H336</f>
        <v>-300210.71999999997</v>
      </c>
      <c r="J336" s="17">
        <f>IFERROR(H336/E336,0)</f>
        <v>0</v>
      </c>
      <c r="K336" s="18" t="str">
        <f>IF(E336=0,"Sin Plan",IF(J336&gt;=1,"Completado",IF(J336&gt;0.001,"En Progreso","Pendiente de ejecutar")))</f>
        <v>Sin Plan</v>
      </c>
      <c r="L336" s="6" t="s">
        <v>321</v>
      </c>
      <c r="M336" s="6" t="s">
        <v>318</v>
      </c>
    </row>
    <row r="337" spans="1:13" hidden="1" x14ac:dyDescent="0.35">
      <c r="A337" s="11" t="s">
        <v>94</v>
      </c>
      <c r="B337" s="11" t="s">
        <v>319</v>
      </c>
      <c r="C337" s="11" t="s">
        <v>47</v>
      </c>
      <c r="D337" s="11" t="s">
        <v>48</v>
      </c>
      <c r="E337" s="13">
        <v>126000</v>
      </c>
      <c r="F337" s="13">
        <v>0</v>
      </c>
      <c r="G337" s="13">
        <v>246624.75</v>
      </c>
      <c r="H337" s="40">
        <f>F337+G337</f>
        <v>246624.75</v>
      </c>
      <c r="I337" s="47">
        <f>E337-H337</f>
        <v>-120624.75</v>
      </c>
      <c r="J337" s="17">
        <f>IFERROR(H337/E337,0)</f>
        <v>1.9573392857142857</v>
      </c>
      <c r="K337" s="18" t="str">
        <f>IF(E337=0,"Sin Plan",IF(J337&gt;=1,"Completado",IF(J337&gt;0.001,"En Progreso","Pendiente de ejecutar")))</f>
        <v>Completado</v>
      </c>
      <c r="L337" s="6" t="s">
        <v>323</v>
      </c>
      <c r="M337" s="6" t="s">
        <v>320</v>
      </c>
    </row>
    <row r="338" spans="1:13" hidden="1" x14ac:dyDescent="0.35">
      <c r="A338" s="20" t="s">
        <v>94</v>
      </c>
      <c r="B338" s="11" t="s">
        <v>319</v>
      </c>
      <c r="C338" s="20" t="s">
        <v>27</v>
      </c>
      <c r="D338" s="20" t="s">
        <v>28</v>
      </c>
      <c r="E338" s="14">
        <v>356000</v>
      </c>
      <c r="F338" s="14">
        <v>0</v>
      </c>
      <c r="G338" s="14">
        <v>116499.8</v>
      </c>
      <c r="H338" s="40">
        <f>F338+G338</f>
        <v>116499.8</v>
      </c>
      <c r="I338" s="47">
        <f>E338-H338</f>
        <v>239500.2</v>
      </c>
      <c r="J338" s="17">
        <f>IFERROR(H338/E338,0)</f>
        <v>0.32724662921348313</v>
      </c>
      <c r="K338" s="18" t="str">
        <f>IF(E338=0,"Sin Plan",IF(J338&gt;=1,"Completado",IF(J338&gt;0.001,"En Progreso","Pendiente de ejecutar")))</f>
        <v>En Progreso</v>
      </c>
      <c r="L338" s="6" t="s">
        <v>323</v>
      </c>
      <c r="M338" s="6" t="s">
        <v>320</v>
      </c>
    </row>
    <row r="339" spans="1:13" hidden="1" x14ac:dyDescent="0.35">
      <c r="A339" s="11" t="s">
        <v>94</v>
      </c>
      <c r="B339" s="11" t="s">
        <v>319</v>
      </c>
      <c r="C339" s="11" t="s">
        <v>53</v>
      </c>
      <c r="D339" s="11" t="s">
        <v>54</v>
      </c>
      <c r="E339" s="14">
        <v>26000</v>
      </c>
      <c r="F339" s="15">
        <v>25662.27</v>
      </c>
      <c r="G339" s="14">
        <v>0</v>
      </c>
      <c r="H339" s="40">
        <f>F339+G339</f>
        <v>25662.27</v>
      </c>
      <c r="I339" s="47">
        <f>E339-H339</f>
        <v>337.72999999999956</v>
      </c>
      <c r="J339" s="17">
        <f>IFERROR(H339/E339,0)</f>
        <v>0.9870103846153846</v>
      </c>
      <c r="K339" s="18" t="str">
        <f>IF(E339=0,"Sin Plan",IF(J339&gt;=1,"Completado",IF(J339&gt;0.001,"En Progreso","Pendiente de ejecutar")))</f>
        <v>En Progreso</v>
      </c>
      <c r="L339" s="6" t="s">
        <v>323</v>
      </c>
      <c r="M339" s="6" t="s">
        <v>320</v>
      </c>
    </row>
    <row r="340" spans="1:13" hidden="1" x14ac:dyDescent="0.35">
      <c r="A340" s="11" t="s">
        <v>98</v>
      </c>
      <c r="B340" s="11" t="s">
        <v>319</v>
      </c>
      <c r="C340" s="11" t="s">
        <v>99</v>
      </c>
      <c r="D340" s="11" t="s">
        <v>100</v>
      </c>
      <c r="E340" s="13">
        <v>0</v>
      </c>
      <c r="F340" s="13">
        <v>432987.06</v>
      </c>
      <c r="G340" s="25"/>
      <c r="H340" s="40">
        <f>F340+G340</f>
        <v>432987.06</v>
      </c>
      <c r="I340" s="47">
        <f>E340-H340</f>
        <v>-432987.06</v>
      </c>
      <c r="J340" s="17">
        <f>IFERROR(H340/E340,0)</f>
        <v>0</v>
      </c>
      <c r="K340" s="18" t="str">
        <f>IF(E340=0,"Sin Plan",IF(J340&gt;=1,"Completado",IF(J340&gt;0.001,"En Progreso","Pendiente de ejecutar")))</f>
        <v>Sin Plan</v>
      </c>
      <c r="L340" s="6" t="s">
        <v>323</v>
      </c>
      <c r="M340" s="6" t="s">
        <v>318</v>
      </c>
    </row>
    <row r="341" spans="1:13" hidden="1" x14ac:dyDescent="0.35">
      <c r="A341" s="20" t="s">
        <v>98</v>
      </c>
      <c r="B341" s="11" t="s">
        <v>319</v>
      </c>
      <c r="C341" s="20" t="s">
        <v>13</v>
      </c>
      <c r="D341" s="20" t="s">
        <v>14</v>
      </c>
      <c r="E341" s="14">
        <v>685000</v>
      </c>
      <c r="F341" s="14">
        <v>0</v>
      </c>
      <c r="G341" s="15">
        <v>827100</v>
      </c>
      <c r="H341" s="40">
        <f>F341+G341</f>
        <v>827100</v>
      </c>
      <c r="I341" s="47">
        <f>E341-H341</f>
        <v>-142100</v>
      </c>
      <c r="J341" s="17">
        <f>IFERROR(H341/E341,0)</f>
        <v>1.2074452554744526</v>
      </c>
      <c r="K341" s="18" t="str">
        <f>IF(E341=0,"Sin Plan",IF(J341&gt;=1,"Completado",IF(J341&gt;0.001,"En Progreso","Pendiente de ejecutar")))</f>
        <v>Completado</v>
      </c>
      <c r="L341" s="6" t="s">
        <v>323</v>
      </c>
      <c r="M341" s="6" t="s">
        <v>320</v>
      </c>
    </row>
    <row r="342" spans="1:13" hidden="1" x14ac:dyDescent="0.35">
      <c r="A342" s="19" t="s">
        <v>169</v>
      </c>
      <c r="B342" s="11" t="s">
        <v>205</v>
      </c>
      <c r="C342" s="19" t="s">
        <v>47</v>
      </c>
      <c r="D342" s="19" t="s">
        <v>48</v>
      </c>
      <c r="E342" s="13">
        <v>126000</v>
      </c>
      <c r="F342" s="13"/>
      <c r="G342" s="13">
        <v>0</v>
      </c>
      <c r="H342" s="40">
        <f>F342+G342</f>
        <v>0</v>
      </c>
      <c r="I342" s="47">
        <f>E342-H342</f>
        <v>126000</v>
      </c>
      <c r="J342" s="17">
        <f>IFERROR(H342/E342,0)</f>
        <v>0</v>
      </c>
      <c r="K342" s="18" t="str">
        <f>IF(E342=0,"Sin Plan",IF(J342&gt;=1,"Completado",IF(J342&gt;0.001,"En Progreso","Pendiente de ejecutar")))</f>
        <v>Pendiente de ejecutar</v>
      </c>
      <c r="L342" s="6" t="s">
        <v>323</v>
      </c>
      <c r="M342" s="6" t="s">
        <v>320</v>
      </c>
    </row>
    <row r="343" spans="1:13" x14ac:dyDescent="0.35">
      <c r="A343" s="26" t="s">
        <v>219</v>
      </c>
      <c r="B343" s="11" t="s">
        <v>205</v>
      </c>
      <c r="C343" s="26" t="s">
        <v>220</v>
      </c>
      <c r="D343" s="26" t="s">
        <v>221</v>
      </c>
      <c r="E343" s="14">
        <v>0</v>
      </c>
      <c r="F343" s="14">
        <v>0</v>
      </c>
      <c r="G343" s="36">
        <v>520823.23</v>
      </c>
      <c r="H343" s="40">
        <f>F343+G343</f>
        <v>520823.23</v>
      </c>
      <c r="I343" s="47">
        <f>E343-H343</f>
        <v>-520823.23</v>
      </c>
      <c r="J343" s="17">
        <f>IFERROR(H343/E343,0)</f>
        <v>0</v>
      </c>
      <c r="K343" s="18" t="str">
        <f>IF(E343=0,"Sin Plan",IF(J343&gt;=1,"Completado",IF(J343&gt;0.001,"En Progreso","Pendiente de ejecutar")))</f>
        <v>Sin Plan</v>
      </c>
      <c r="L343" s="6" t="s">
        <v>321</v>
      </c>
      <c r="M343" s="6" t="s">
        <v>318</v>
      </c>
    </row>
    <row r="344" spans="1:13" hidden="1" x14ac:dyDescent="0.35">
      <c r="A344" s="11" t="s">
        <v>209</v>
      </c>
      <c r="B344" s="11" t="s">
        <v>205</v>
      </c>
      <c r="C344" s="11" t="s">
        <v>125</v>
      </c>
      <c r="D344" s="11" t="s">
        <v>126</v>
      </c>
      <c r="E344" s="13">
        <v>126000</v>
      </c>
      <c r="F344" s="13">
        <v>0</v>
      </c>
      <c r="G344" s="13">
        <v>0</v>
      </c>
      <c r="H344" s="40">
        <f>F344+G344</f>
        <v>0</v>
      </c>
      <c r="I344" s="47">
        <f>E344-H344</f>
        <v>126000</v>
      </c>
      <c r="J344" s="17">
        <f>IFERROR(H344/E344,0)</f>
        <v>0</v>
      </c>
      <c r="K344" s="18" t="str">
        <f>IF(E344=0,"Sin Plan",IF(J344&gt;=1,"Completado",IF(J344&gt;0.001,"En Progreso","Pendiente de ejecutar")))</f>
        <v>Pendiente de ejecutar</v>
      </c>
      <c r="L344" s="6" t="s">
        <v>321</v>
      </c>
      <c r="M344" s="6" t="s">
        <v>320</v>
      </c>
    </row>
    <row r="345" spans="1:13" hidden="1" x14ac:dyDescent="0.35">
      <c r="A345" s="11" t="s">
        <v>296</v>
      </c>
      <c r="B345" s="11" t="s">
        <v>205</v>
      </c>
      <c r="C345" s="11" t="s">
        <v>47</v>
      </c>
      <c r="D345" s="11" t="s">
        <v>48</v>
      </c>
      <c r="E345" s="14">
        <v>126000</v>
      </c>
      <c r="F345" s="14">
        <v>0</v>
      </c>
      <c r="G345" s="14">
        <v>0</v>
      </c>
      <c r="H345" s="40">
        <f>F345+G345</f>
        <v>0</v>
      </c>
      <c r="I345" s="47">
        <f>E345-H345</f>
        <v>126000</v>
      </c>
      <c r="J345" s="17">
        <f>IFERROR(H345/E345,0)</f>
        <v>0</v>
      </c>
      <c r="K345" s="18" t="str">
        <f>IF(E345=0,"Sin Plan",IF(J345&gt;=1,"Completado",IF(J345&gt;0.001,"En Progreso","Pendiente de ejecutar")))</f>
        <v>Pendiente de ejecutar</v>
      </c>
      <c r="L345" s="6" t="s">
        <v>323</v>
      </c>
      <c r="M345" s="6" t="s">
        <v>320</v>
      </c>
    </row>
    <row r="346" spans="1:13" hidden="1" x14ac:dyDescent="0.35">
      <c r="A346" s="19" t="s">
        <v>285</v>
      </c>
      <c r="B346" s="11" t="s">
        <v>205</v>
      </c>
      <c r="C346" s="19" t="s">
        <v>135</v>
      </c>
      <c r="D346" s="19" t="s">
        <v>136</v>
      </c>
      <c r="E346" s="13">
        <v>124000</v>
      </c>
      <c r="F346" s="13">
        <v>0</v>
      </c>
      <c r="G346" s="13">
        <v>0</v>
      </c>
      <c r="H346" s="40">
        <f>F346+G346</f>
        <v>0</v>
      </c>
      <c r="I346" s="47">
        <f>E346-H346</f>
        <v>124000</v>
      </c>
      <c r="J346" s="17">
        <f>IFERROR(H346/E346,0)</f>
        <v>0</v>
      </c>
      <c r="K346" s="18" t="str">
        <f>IF(E346=0,"Sin Plan",IF(J346&gt;=1,"Completado",IF(J346&gt;0.001,"En Progreso","Pendiente de ejecutar")))</f>
        <v>Pendiente de ejecutar</v>
      </c>
      <c r="L346" s="6" t="s">
        <v>323</v>
      </c>
      <c r="M346" s="6" t="s">
        <v>320</v>
      </c>
    </row>
    <row r="347" spans="1:13" hidden="1" x14ac:dyDescent="0.35">
      <c r="A347" s="11" t="s">
        <v>98</v>
      </c>
      <c r="B347" s="11" t="s">
        <v>319</v>
      </c>
      <c r="C347" s="11" t="s">
        <v>101</v>
      </c>
      <c r="D347" s="11" t="s">
        <v>102</v>
      </c>
      <c r="E347" s="13">
        <v>0</v>
      </c>
      <c r="F347" s="13">
        <v>68295.77</v>
      </c>
      <c r="G347" s="25"/>
      <c r="H347" s="40">
        <f>F347+G347</f>
        <v>68295.77</v>
      </c>
      <c r="I347" s="47">
        <f>E347-H347</f>
        <v>-68295.77</v>
      </c>
      <c r="J347" s="17">
        <f>IFERROR(H347/E347,0)</f>
        <v>0</v>
      </c>
      <c r="K347" s="18" t="str">
        <f>IF(E347=0,"Sin Plan",IF(J347&gt;=1,"Completado",IF(J347&gt;0.001,"En Progreso","Pendiente de ejecutar")))</f>
        <v>Sin Plan</v>
      </c>
      <c r="L347" s="6" t="s">
        <v>323</v>
      </c>
      <c r="M347" s="6" t="s">
        <v>318</v>
      </c>
    </row>
    <row r="348" spans="1:13" hidden="1" x14ac:dyDescent="0.35">
      <c r="A348" s="19" t="s">
        <v>98</v>
      </c>
      <c r="B348" s="11" t="s">
        <v>319</v>
      </c>
      <c r="C348" s="19" t="s">
        <v>47</v>
      </c>
      <c r="D348" s="19" t="s">
        <v>48</v>
      </c>
      <c r="E348" s="13">
        <v>132300</v>
      </c>
      <c r="F348" s="13">
        <v>0</v>
      </c>
      <c r="G348" s="15">
        <v>246624.75</v>
      </c>
      <c r="H348" s="40">
        <f>F348+G348</f>
        <v>246624.75</v>
      </c>
      <c r="I348" s="47">
        <f>E348-H348</f>
        <v>-114324.75</v>
      </c>
      <c r="J348" s="17">
        <f>IFERROR(H348/E348,0)</f>
        <v>1.8641326530612246</v>
      </c>
      <c r="K348" s="18" t="str">
        <f>IF(E348=0,"Sin Plan",IF(J348&gt;=1,"Completado",IF(J348&gt;0.001,"En Progreso","Pendiente de ejecutar")))</f>
        <v>Completado</v>
      </c>
      <c r="L348" s="6" t="s">
        <v>323</v>
      </c>
      <c r="M348" s="6" t="s">
        <v>320</v>
      </c>
    </row>
    <row r="349" spans="1:13" hidden="1" x14ac:dyDescent="0.35">
      <c r="A349" s="92" t="s">
        <v>146</v>
      </c>
      <c r="B349" s="20"/>
      <c r="C349" s="22"/>
      <c r="D349" s="22" t="s">
        <v>325</v>
      </c>
      <c r="E349" s="14">
        <v>-452647</v>
      </c>
      <c r="F349" s="14"/>
      <c r="G349" s="14"/>
      <c r="H349" s="40">
        <f>F349+G851</f>
        <v>0</v>
      </c>
      <c r="I349" s="37">
        <f>E349-H349</f>
        <v>-452647</v>
      </c>
      <c r="J349" s="17"/>
      <c r="K349" s="18"/>
      <c r="L349" s="6" t="s">
        <v>323</v>
      </c>
      <c r="M349" s="6"/>
    </row>
    <row r="350" spans="1:13" x14ac:dyDescent="0.35">
      <c r="A350" s="11" t="s">
        <v>219</v>
      </c>
      <c r="B350" s="11" t="s">
        <v>205</v>
      </c>
      <c r="C350" s="49"/>
      <c r="D350" s="29" t="s">
        <v>393</v>
      </c>
      <c r="E350" s="40"/>
      <c r="F350" s="40">
        <v>1509270.2</v>
      </c>
      <c r="G350" s="40"/>
      <c r="H350" s="40">
        <f>F350+G350</f>
        <v>1509270.2</v>
      </c>
      <c r="I350" s="47">
        <f>E350-H350</f>
        <v>-1509270.2</v>
      </c>
      <c r="J350" s="17">
        <f>IFERROR(H350/E350,0)</f>
        <v>0</v>
      </c>
      <c r="K350" s="18" t="str">
        <f>IF(E350=0,"Sin Plan",IF(J350&gt;=1,"Completado",IF(J350&gt;0.001,"En Progreso","Pendiente de ejecutar")))</f>
        <v>Sin Plan</v>
      </c>
      <c r="L350" s="81" t="s">
        <v>323</v>
      </c>
      <c r="M350" s="6"/>
    </row>
    <row r="351" spans="1:13" hidden="1" x14ac:dyDescent="0.35">
      <c r="A351" s="20" t="s">
        <v>257</v>
      </c>
      <c r="B351" s="11" t="s">
        <v>205</v>
      </c>
      <c r="C351" s="11" t="s">
        <v>47</v>
      </c>
      <c r="D351" s="11" t="s">
        <v>48</v>
      </c>
      <c r="E351" s="14">
        <v>120000</v>
      </c>
      <c r="F351" s="14">
        <v>0</v>
      </c>
      <c r="G351" s="14">
        <v>0</v>
      </c>
      <c r="H351" s="40">
        <f>F351+G351</f>
        <v>0</v>
      </c>
      <c r="I351" s="47">
        <f>E351-H351</f>
        <v>120000</v>
      </c>
      <c r="J351" s="17">
        <f>IFERROR(H351/E351,0)</f>
        <v>0</v>
      </c>
      <c r="K351" s="18" t="str">
        <f>IF(E351=0,"Sin Plan",IF(J351&gt;=1,"Completado",IF(J351&gt;0.001,"En Progreso","Pendiente de ejecutar")))</f>
        <v>Pendiente de ejecutar</v>
      </c>
      <c r="L351" s="6" t="s">
        <v>323</v>
      </c>
      <c r="M351" s="6" t="s">
        <v>320</v>
      </c>
    </row>
    <row r="352" spans="1:13" hidden="1" x14ac:dyDescent="0.35">
      <c r="A352" s="19" t="s">
        <v>287</v>
      </c>
      <c r="B352" s="11" t="s">
        <v>205</v>
      </c>
      <c r="C352" s="19" t="s">
        <v>47</v>
      </c>
      <c r="D352" s="19" t="s">
        <v>48</v>
      </c>
      <c r="E352" s="13">
        <v>120000</v>
      </c>
      <c r="F352" s="13">
        <v>0</v>
      </c>
      <c r="G352" s="13">
        <v>246624.75</v>
      </c>
      <c r="H352" s="40">
        <f>F352+G352</f>
        <v>246624.75</v>
      </c>
      <c r="I352" s="47">
        <f>E352-H352</f>
        <v>-126624.75</v>
      </c>
      <c r="J352" s="17">
        <f>IFERROR(H352/E352,0)</f>
        <v>2.0552062499999999</v>
      </c>
      <c r="K352" s="18" t="str">
        <f>IF(E352=0,"Sin Plan",IF(J352&gt;=1,"Completado",IF(J352&gt;0.001,"En Progreso","Pendiente de ejecutar")))</f>
        <v>Completado</v>
      </c>
      <c r="L352" s="6" t="s">
        <v>323</v>
      </c>
      <c r="M352" s="6" t="s">
        <v>320</v>
      </c>
    </row>
    <row r="353" spans="1:13" s="2" customFormat="1" hidden="1" x14ac:dyDescent="0.35">
      <c r="A353" s="11" t="s">
        <v>253</v>
      </c>
      <c r="B353" s="11" t="s">
        <v>205</v>
      </c>
      <c r="C353" s="11" t="s">
        <v>188</v>
      </c>
      <c r="D353" s="11" t="s">
        <v>189</v>
      </c>
      <c r="E353" s="13">
        <v>115000</v>
      </c>
      <c r="F353" s="13">
        <v>0</v>
      </c>
      <c r="G353" s="13">
        <v>0</v>
      </c>
      <c r="H353" s="40">
        <f>F353+G353</f>
        <v>0</v>
      </c>
      <c r="I353" s="47">
        <f>E353-H353</f>
        <v>115000</v>
      </c>
      <c r="J353" s="17">
        <f>IFERROR(H353/E353,0)</f>
        <v>0</v>
      </c>
      <c r="K353" s="18" t="str">
        <f>IF(E353=0,"Sin Plan",IF(J353&gt;=1,"Completado",IF(J353&gt;0.001,"En Progreso","Pendiente de ejecutar")))</f>
        <v>Pendiente de ejecutar</v>
      </c>
      <c r="L353" s="6" t="s">
        <v>323</v>
      </c>
      <c r="M353" s="6" t="s">
        <v>320</v>
      </c>
    </row>
    <row r="354" spans="1:13" hidden="1" x14ac:dyDescent="0.35">
      <c r="A354" s="19" t="s">
        <v>104</v>
      </c>
      <c r="B354" s="11" t="s">
        <v>319</v>
      </c>
      <c r="C354" s="19" t="s">
        <v>66</v>
      </c>
      <c r="D354" s="19" t="s">
        <v>67</v>
      </c>
      <c r="E354" s="13">
        <v>285000</v>
      </c>
      <c r="F354" s="13">
        <v>0</v>
      </c>
      <c r="G354" s="13">
        <v>168640.32</v>
      </c>
      <c r="H354" s="40">
        <f>F354+G354</f>
        <v>168640.32</v>
      </c>
      <c r="I354" s="47">
        <f>E354-H354</f>
        <v>116359.67999999999</v>
      </c>
      <c r="J354" s="17">
        <f>IFERROR(H354/E354,0)</f>
        <v>0.59172042105263156</v>
      </c>
      <c r="K354" s="18" t="str">
        <f>IF(E354=0,"Sin Plan",IF(J354&gt;=1,"Completado",IF(J354&gt;0.001,"En Progreso","Pendiente de ejecutar")))</f>
        <v>En Progreso</v>
      </c>
      <c r="L354" s="6" t="s">
        <v>323</v>
      </c>
      <c r="M354" s="6" t="s">
        <v>320</v>
      </c>
    </row>
    <row r="355" spans="1:13" hidden="1" x14ac:dyDescent="0.35">
      <c r="A355" s="11" t="s">
        <v>185</v>
      </c>
      <c r="B355" s="11" t="s">
        <v>205</v>
      </c>
      <c r="C355" s="11" t="s">
        <v>188</v>
      </c>
      <c r="D355" s="11" t="s">
        <v>189</v>
      </c>
      <c r="E355" s="13">
        <v>114000</v>
      </c>
      <c r="F355" s="40">
        <v>0</v>
      </c>
      <c r="G355" s="40">
        <v>0</v>
      </c>
      <c r="H355" s="40">
        <f>F355+G355</f>
        <v>0</v>
      </c>
      <c r="I355" s="47">
        <f>E355-H355</f>
        <v>114000</v>
      </c>
      <c r="J355" s="17">
        <f>IFERROR(H355/E355,0)</f>
        <v>0</v>
      </c>
      <c r="K355" s="18" t="str">
        <f>IF(E355=0,"Sin Plan",IF(J355&gt;=1,"Completado",IF(J355&gt;0.001,"En Progreso","Pendiente de ejecutar")))</f>
        <v>Pendiente de ejecutar</v>
      </c>
      <c r="L355" s="6" t="s">
        <v>323</v>
      </c>
      <c r="M355" s="6" t="s">
        <v>320</v>
      </c>
    </row>
    <row r="356" spans="1:13" hidden="1" x14ac:dyDescent="0.35">
      <c r="A356" s="20" t="s">
        <v>209</v>
      </c>
      <c r="B356" s="11" t="s">
        <v>205</v>
      </c>
      <c r="C356" s="20" t="s">
        <v>188</v>
      </c>
      <c r="D356" s="20" t="s">
        <v>189</v>
      </c>
      <c r="E356" s="14">
        <v>114000</v>
      </c>
      <c r="F356" s="14">
        <v>0</v>
      </c>
      <c r="G356" s="14">
        <v>0</v>
      </c>
      <c r="H356" s="40">
        <f>F356+G356</f>
        <v>0</v>
      </c>
      <c r="I356" s="47">
        <f>E356-H356</f>
        <v>114000</v>
      </c>
      <c r="J356" s="17">
        <f>IFERROR(H356/E356,0)</f>
        <v>0</v>
      </c>
      <c r="K356" s="18" t="str">
        <f>IF(E356=0,"Sin Plan",IF(J356&gt;=1,"Completado",IF(J356&gt;0.001,"En Progreso","Pendiente de ejecutar")))</f>
        <v>Pendiente de ejecutar</v>
      </c>
      <c r="L356" s="6" t="s">
        <v>323</v>
      </c>
      <c r="M356" s="6" t="s">
        <v>320</v>
      </c>
    </row>
    <row r="357" spans="1:13" hidden="1" x14ac:dyDescent="0.35">
      <c r="A357" s="11" t="s">
        <v>104</v>
      </c>
      <c r="B357" s="11" t="s">
        <v>319</v>
      </c>
      <c r="C357" s="11" t="s">
        <v>13</v>
      </c>
      <c r="D357" s="11" t="s">
        <v>14</v>
      </c>
      <c r="E357" s="14">
        <v>685000</v>
      </c>
      <c r="F357" s="14">
        <v>0</v>
      </c>
      <c r="G357" s="14">
        <v>826100</v>
      </c>
      <c r="H357" s="40">
        <f>F357+G357</f>
        <v>826100</v>
      </c>
      <c r="I357" s="47">
        <f>E357-H357</f>
        <v>-141100</v>
      </c>
      <c r="J357" s="17">
        <f>IFERROR(H357/E357,0)</f>
        <v>1.2059854014598541</v>
      </c>
      <c r="K357" s="18" t="str">
        <f>IF(E357=0,"Sin Plan",IF(J357&gt;=1,"Completado",IF(J357&gt;0.001,"En Progreso","Pendiente de ejecutar")))</f>
        <v>Completado</v>
      </c>
      <c r="L357" s="6" t="s">
        <v>323</v>
      </c>
      <c r="M357" s="6" t="s">
        <v>320</v>
      </c>
    </row>
    <row r="358" spans="1:13" hidden="1" x14ac:dyDescent="0.35">
      <c r="A358" s="11" t="s">
        <v>104</v>
      </c>
      <c r="B358" s="11" t="s">
        <v>319</v>
      </c>
      <c r="C358" s="11" t="s">
        <v>47</v>
      </c>
      <c r="D358" s="11" t="s">
        <v>48</v>
      </c>
      <c r="E358" s="14">
        <v>132300</v>
      </c>
      <c r="F358" s="14">
        <v>137843.10999999999</v>
      </c>
      <c r="G358" s="14">
        <v>0</v>
      </c>
      <c r="H358" s="40">
        <f>F358+G358</f>
        <v>137843.10999999999</v>
      </c>
      <c r="I358" s="47">
        <f>E358-H358</f>
        <v>-5543.109999999986</v>
      </c>
      <c r="J358" s="17">
        <f>IFERROR(H358/E358,0)</f>
        <v>1.0418980347694633</v>
      </c>
      <c r="K358" s="18" t="str">
        <f>IF(E358=0,"Sin Plan",IF(J358&gt;=1,"Completado",IF(J358&gt;0.001,"En Progreso","Pendiente de ejecutar")))</f>
        <v>Completado</v>
      </c>
      <c r="L358" s="6" t="s">
        <v>323</v>
      </c>
      <c r="M358" s="6" t="s">
        <v>320</v>
      </c>
    </row>
    <row r="359" spans="1:13" hidden="1" x14ac:dyDescent="0.35">
      <c r="A359" s="20" t="s">
        <v>104</v>
      </c>
      <c r="B359" s="11" t="s">
        <v>319</v>
      </c>
      <c r="C359" s="20" t="s">
        <v>53</v>
      </c>
      <c r="D359" s="20" t="s">
        <v>54</v>
      </c>
      <c r="E359" s="14">
        <v>26000</v>
      </c>
      <c r="F359" s="14">
        <v>25662.27</v>
      </c>
      <c r="G359" s="14">
        <v>0</v>
      </c>
      <c r="H359" s="40">
        <f>F359+G359</f>
        <v>25662.27</v>
      </c>
      <c r="I359" s="47">
        <f>E359-H359</f>
        <v>337.72999999999956</v>
      </c>
      <c r="J359" s="17">
        <f>IFERROR(H359/E359,0)</f>
        <v>0.9870103846153846</v>
      </c>
      <c r="K359" s="18" t="str">
        <f>IF(E359=0,"Sin Plan",IF(J359&gt;=1,"Completado",IF(J359&gt;0.001,"En Progreso","Pendiente de ejecutar")))</f>
        <v>En Progreso</v>
      </c>
      <c r="L359" s="6" t="s">
        <v>323</v>
      </c>
      <c r="M359" s="6" t="s">
        <v>320</v>
      </c>
    </row>
    <row r="360" spans="1:13" hidden="1" x14ac:dyDescent="0.35">
      <c r="A360" s="29" t="s">
        <v>239</v>
      </c>
      <c r="B360" s="29" t="s">
        <v>205</v>
      </c>
      <c r="C360" s="29" t="s">
        <v>37</v>
      </c>
      <c r="D360" s="29" t="s">
        <v>38</v>
      </c>
      <c r="E360" s="41">
        <v>21240000</v>
      </c>
      <c r="F360" s="41">
        <v>0</v>
      </c>
      <c r="G360" s="41">
        <v>0</v>
      </c>
      <c r="H360" s="40">
        <f>F360+G360</f>
        <v>0</v>
      </c>
      <c r="I360" s="47">
        <f>E360-H360</f>
        <v>21240000</v>
      </c>
      <c r="J360" s="17">
        <f>IFERROR(H360/E360,0)</f>
        <v>0</v>
      </c>
      <c r="K360" s="18" t="str">
        <f>IF(E360=0,"Sin Plan",IF(J360&gt;=1,"Completado",IF(J360&gt;0.001,"En Progreso","Pendiente de ejecutar")))</f>
        <v>Pendiente de ejecutar</v>
      </c>
      <c r="L360" s="6" t="s">
        <v>321</v>
      </c>
      <c r="M360" s="6" t="s">
        <v>320</v>
      </c>
    </row>
    <row r="361" spans="1:13" hidden="1" x14ac:dyDescent="0.35">
      <c r="A361" s="11" t="s">
        <v>105</v>
      </c>
      <c r="B361" s="11" t="s">
        <v>319</v>
      </c>
      <c r="C361" s="11" t="s">
        <v>13</v>
      </c>
      <c r="D361" s="11" t="s">
        <v>14</v>
      </c>
      <c r="E361" s="14">
        <v>0</v>
      </c>
      <c r="F361" s="14">
        <v>0</v>
      </c>
      <c r="G361" s="14">
        <v>88300</v>
      </c>
      <c r="H361" s="40">
        <f>F361+G361</f>
        <v>88300</v>
      </c>
      <c r="I361" s="47">
        <f>E361-H361</f>
        <v>-88300</v>
      </c>
      <c r="J361" s="17">
        <f>IFERROR(H361/E361,0)</f>
        <v>0</v>
      </c>
      <c r="K361" s="18" t="str">
        <f>IF(E361=0,"Sin Plan",IF(J361&gt;=1,"Completado",IF(J361&gt;0.001,"En Progreso","Pendiente de ejecutar")))</f>
        <v>Sin Plan</v>
      </c>
      <c r="L361" s="6" t="s">
        <v>323</v>
      </c>
      <c r="M361" s="6" t="s">
        <v>318</v>
      </c>
    </row>
    <row r="362" spans="1:13" hidden="1" x14ac:dyDescent="0.35">
      <c r="A362" s="20" t="s">
        <v>226</v>
      </c>
      <c r="B362" s="11" t="s">
        <v>205</v>
      </c>
      <c r="C362" s="20" t="s">
        <v>19</v>
      </c>
      <c r="D362" s="20" t="s">
        <v>20</v>
      </c>
      <c r="E362" s="14">
        <v>112000</v>
      </c>
      <c r="F362" s="14">
        <v>0</v>
      </c>
      <c r="G362" s="14">
        <v>0</v>
      </c>
      <c r="H362" s="40">
        <f>F362+G362</f>
        <v>0</v>
      </c>
      <c r="I362" s="47">
        <f>E362-H362</f>
        <v>112000</v>
      </c>
      <c r="J362" s="17">
        <f>IFERROR(H362/E362,0)</f>
        <v>0</v>
      </c>
      <c r="K362" s="18" t="str">
        <f>IF(E362=0,"Sin Plan",IF(J362&gt;=1,"Completado",IF(J362&gt;0.001,"En Progreso","Pendiente de ejecutar")))</f>
        <v>Pendiente de ejecutar</v>
      </c>
      <c r="L362" s="6" t="s">
        <v>321</v>
      </c>
      <c r="M362" s="6" t="s">
        <v>320</v>
      </c>
    </row>
    <row r="363" spans="1:13" hidden="1" x14ac:dyDescent="0.35">
      <c r="A363" s="19" t="s">
        <v>105</v>
      </c>
      <c r="B363" s="11" t="s">
        <v>319</v>
      </c>
      <c r="C363" s="19" t="s">
        <v>106</v>
      </c>
      <c r="D363" s="19" t="s">
        <v>107</v>
      </c>
      <c r="E363" s="13">
        <v>34900</v>
      </c>
      <c r="F363" s="13">
        <v>66020</v>
      </c>
      <c r="G363" s="13">
        <v>0</v>
      </c>
      <c r="H363" s="40">
        <f>F363+G363</f>
        <v>66020</v>
      </c>
      <c r="I363" s="47">
        <f>E363-H363</f>
        <v>-31120</v>
      </c>
      <c r="J363" s="17">
        <f>IFERROR(H363/E363,0)</f>
        <v>1.8916905444126075</v>
      </c>
      <c r="K363" s="18" t="str">
        <f>IF(E363=0,"Sin Plan",IF(J363&gt;=1,"Completado",IF(J363&gt;0.001,"En Progreso","Pendiente de ejecutar")))</f>
        <v>Completado</v>
      </c>
      <c r="L363" s="6" t="s">
        <v>323</v>
      </c>
      <c r="M363" s="6" t="s">
        <v>320</v>
      </c>
    </row>
    <row r="364" spans="1:13" hidden="1" x14ac:dyDescent="0.35">
      <c r="A364" s="20" t="s">
        <v>168</v>
      </c>
      <c r="B364" s="11" t="s">
        <v>205</v>
      </c>
      <c r="C364" s="20" t="s">
        <v>29</v>
      </c>
      <c r="D364" s="20" t="s">
        <v>30</v>
      </c>
      <c r="E364" s="14">
        <v>108000</v>
      </c>
      <c r="F364" s="14">
        <v>647947.23</v>
      </c>
      <c r="G364" s="14"/>
      <c r="H364" s="40">
        <f>F364+G364</f>
        <v>647947.23</v>
      </c>
      <c r="I364" s="47">
        <f>E364-H364</f>
        <v>-539947.23</v>
      </c>
      <c r="J364" s="17">
        <f>IFERROR(H364/E364,0)</f>
        <v>5.9995113888888891</v>
      </c>
      <c r="K364" s="18" t="str">
        <f>IF(E364=0,"Sin Plan",IF(J364&gt;=1,"Completado",IF(J364&gt;0.001,"En Progreso","Pendiente de ejecutar")))</f>
        <v>Completado</v>
      </c>
      <c r="L364" s="6" t="s">
        <v>323</v>
      </c>
      <c r="M364" s="6" t="s">
        <v>320</v>
      </c>
    </row>
    <row r="365" spans="1:13" s="2" customFormat="1" hidden="1" x14ac:dyDescent="0.35">
      <c r="A365" s="11" t="s">
        <v>185</v>
      </c>
      <c r="B365" s="11" t="s">
        <v>205</v>
      </c>
      <c r="C365" s="11" t="s">
        <v>29</v>
      </c>
      <c r="D365" s="11" t="s">
        <v>30</v>
      </c>
      <c r="E365" s="14">
        <v>108000</v>
      </c>
      <c r="F365" s="41">
        <v>0</v>
      </c>
      <c r="G365" s="41">
        <v>0</v>
      </c>
      <c r="H365" s="40">
        <f>F365+G365</f>
        <v>0</v>
      </c>
      <c r="I365" s="47">
        <f>E365-H365</f>
        <v>108000</v>
      </c>
      <c r="J365" s="17">
        <f>IFERROR(H365/E365,0)</f>
        <v>0</v>
      </c>
      <c r="K365" s="18" t="str">
        <f>IF(E365=0,"Sin Plan",IF(J365&gt;=1,"Completado",IF(J365&gt;0.001,"En Progreso","Pendiente de ejecutar")))</f>
        <v>Pendiente de ejecutar</v>
      </c>
      <c r="L365" s="6" t="s">
        <v>323</v>
      </c>
      <c r="M365" s="6" t="s">
        <v>320</v>
      </c>
    </row>
    <row r="366" spans="1:13" s="2" customFormat="1" hidden="1" x14ac:dyDescent="0.35">
      <c r="A366" s="19" t="s">
        <v>290</v>
      </c>
      <c r="B366" s="11" t="s">
        <v>205</v>
      </c>
      <c r="C366" s="19" t="s">
        <v>29</v>
      </c>
      <c r="D366" s="19" t="s">
        <v>30</v>
      </c>
      <c r="E366" s="13">
        <v>108000</v>
      </c>
      <c r="F366" s="13">
        <v>37145</v>
      </c>
      <c r="G366" s="13">
        <v>0</v>
      </c>
      <c r="H366" s="40">
        <f>F366+G366</f>
        <v>37145</v>
      </c>
      <c r="I366" s="47">
        <f>E366-H366</f>
        <v>70855</v>
      </c>
      <c r="J366" s="17">
        <f>IFERROR(H366/E366,0)</f>
        <v>0.34393518518518518</v>
      </c>
      <c r="K366" s="18" t="str">
        <f>IF(E366=0,"Sin Plan",IF(J366&gt;=1,"Completado",IF(J366&gt;0.001,"En Progreso","Pendiente de ejecutar")))</f>
        <v>En Progreso</v>
      </c>
      <c r="L366" s="6" t="s">
        <v>321</v>
      </c>
      <c r="M366" s="6" t="s">
        <v>320</v>
      </c>
    </row>
    <row r="367" spans="1:13" s="2" customFormat="1" hidden="1" x14ac:dyDescent="0.35">
      <c r="A367" s="20" t="s">
        <v>105</v>
      </c>
      <c r="B367" s="11" t="s">
        <v>319</v>
      </c>
      <c r="C367" s="20" t="s">
        <v>47</v>
      </c>
      <c r="D367" s="20" t="s">
        <v>48</v>
      </c>
      <c r="E367" s="14">
        <v>132300</v>
      </c>
      <c r="F367" s="14">
        <v>0</v>
      </c>
      <c r="G367" s="14">
        <v>137843.10999999999</v>
      </c>
      <c r="H367" s="40">
        <f>F367+G367</f>
        <v>137843.10999999999</v>
      </c>
      <c r="I367" s="47">
        <f>E367-H367</f>
        <v>-5543.109999999986</v>
      </c>
      <c r="J367" s="17">
        <f>IFERROR(H367/E367,0)</f>
        <v>1.0418980347694633</v>
      </c>
      <c r="K367" s="18" t="str">
        <f>IF(E367=0,"Sin Plan",IF(J367&gt;=1,"Completado",IF(J367&gt;0.001,"En Progreso","Pendiente de ejecutar")))</f>
        <v>Completado</v>
      </c>
      <c r="L367" s="6" t="s">
        <v>323</v>
      </c>
      <c r="M367" s="6" t="s">
        <v>320</v>
      </c>
    </row>
    <row r="368" spans="1:13" x14ac:dyDescent="0.35">
      <c r="A368" s="11" t="s">
        <v>229</v>
      </c>
      <c r="B368" s="11" t="s">
        <v>205</v>
      </c>
      <c r="C368" s="11" t="s">
        <v>66</v>
      </c>
      <c r="D368" s="11" t="s">
        <v>67</v>
      </c>
      <c r="E368" s="35">
        <v>3750000</v>
      </c>
      <c r="F368" s="100">
        <v>0</v>
      </c>
      <c r="G368" s="36">
        <v>3613918.33</v>
      </c>
      <c r="H368" s="40">
        <f>F368+G368</f>
        <v>3613918.33</v>
      </c>
      <c r="I368" s="47">
        <f>E368-H368</f>
        <v>136081.66999999993</v>
      </c>
      <c r="J368" s="17">
        <f>IFERROR(H368/E368,0)</f>
        <v>0.96371155466666669</v>
      </c>
      <c r="K368" s="18" t="str">
        <f>IF(E368=0,"Sin Plan",IF(J368&gt;=1,"Completado",IF(J368&gt;0.001,"En Progreso","Pendiente de ejecutar")))</f>
        <v>En Progreso</v>
      </c>
      <c r="L368" s="6" t="s">
        <v>323</v>
      </c>
      <c r="M368" s="6" t="s">
        <v>320</v>
      </c>
    </row>
    <row r="369" spans="1:13" hidden="1" x14ac:dyDescent="0.35">
      <c r="A369" s="11" t="s">
        <v>105</v>
      </c>
      <c r="B369" s="11" t="s">
        <v>319</v>
      </c>
      <c r="C369" s="11" t="s">
        <v>27</v>
      </c>
      <c r="D369" s="11" t="s">
        <v>28</v>
      </c>
      <c r="E369" s="13">
        <v>356000</v>
      </c>
      <c r="F369" s="13"/>
      <c r="G369" s="13">
        <v>116499.8</v>
      </c>
      <c r="H369" s="40">
        <f>F369+G369</f>
        <v>116499.8</v>
      </c>
      <c r="I369" s="47">
        <f>E369-H369</f>
        <v>239500.2</v>
      </c>
      <c r="J369" s="17">
        <f>IFERROR(H369/E369,0)</f>
        <v>0.32724662921348313</v>
      </c>
      <c r="K369" s="18" t="str">
        <f>IF(E369=0,"Sin Plan",IF(J369&gt;=1,"Completado",IF(J369&gt;0.001,"En Progreso","Pendiente de ejecutar")))</f>
        <v>En Progreso</v>
      </c>
      <c r="L369" s="6" t="s">
        <v>323</v>
      </c>
      <c r="M369" s="6" t="s">
        <v>320</v>
      </c>
    </row>
    <row r="370" spans="1:13" x14ac:dyDescent="0.35">
      <c r="A370" s="20" t="s">
        <v>229</v>
      </c>
      <c r="B370" s="11" t="s">
        <v>205</v>
      </c>
      <c r="C370" s="20" t="s">
        <v>166</v>
      </c>
      <c r="D370" s="20" t="s">
        <v>167</v>
      </c>
      <c r="E370" s="36">
        <v>2200000</v>
      </c>
      <c r="F370" s="100">
        <v>0</v>
      </c>
      <c r="G370" s="100">
        <v>0</v>
      </c>
      <c r="H370" s="40">
        <f>F370+G370</f>
        <v>0</v>
      </c>
      <c r="I370" s="47">
        <f>E370-H370</f>
        <v>2200000</v>
      </c>
      <c r="J370" s="17">
        <f>IFERROR(H370/E370,0)</f>
        <v>0</v>
      </c>
      <c r="K370" s="18" t="str">
        <f>IF(E370=0,"Sin Plan",IF(J370&gt;=1,"Completado",IF(J370&gt;0.001,"En Progreso","Pendiente de ejecutar")))</f>
        <v>Pendiente de ejecutar</v>
      </c>
      <c r="L370" s="6" t="s">
        <v>323</v>
      </c>
      <c r="M370" s="6" t="s">
        <v>320</v>
      </c>
    </row>
    <row r="371" spans="1:13" hidden="1" x14ac:dyDescent="0.35">
      <c r="A371" s="11" t="s">
        <v>185</v>
      </c>
      <c r="B371" s="11" t="s">
        <v>205</v>
      </c>
      <c r="C371" s="11" t="s">
        <v>137</v>
      </c>
      <c r="D371" s="11" t="s">
        <v>138</v>
      </c>
      <c r="E371" s="13">
        <v>104400</v>
      </c>
      <c r="F371" s="40"/>
      <c r="G371" s="91">
        <v>56732.4</v>
      </c>
      <c r="H371" s="40" t="e">
        <f>#REF!+F371</f>
        <v>#REF!</v>
      </c>
      <c r="I371" s="47" t="e">
        <f>E371-H371</f>
        <v>#REF!</v>
      </c>
      <c r="J371" s="17">
        <f>IFERROR(H371/E371,0)</f>
        <v>0</v>
      </c>
      <c r="K371" s="18" t="str">
        <f>IF(E371=0,"Sin Plan",IF(J371&gt;=1,"Completado",IF(J371&gt;0.001,"En Progreso","Pendiente de ejecutar")))</f>
        <v>Pendiente de ejecutar</v>
      </c>
      <c r="L371" s="6" t="s">
        <v>323</v>
      </c>
      <c r="M371" s="6" t="s">
        <v>320</v>
      </c>
    </row>
    <row r="372" spans="1:13" hidden="1" x14ac:dyDescent="0.35">
      <c r="A372" s="20" t="s">
        <v>256</v>
      </c>
      <c r="B372" s="11" t="s">
        <v>205</v>
      </c>
      <c r="C372" s="20" t="s">
        <v>135</v>
      </c>
      <c r="D372" s="20" t="s">
        <v>136</v>
      </c>
      <c r="E372" s="14">
        <v>103000</v>
      </c>
      <c r="F372" s="14">
        <v>0</v>
      </c>
      <c r="G372" s="14">
        <v>0</v>
      </c>
      <c r="H372" s="40">
        <f>F372+G372</f>
        <v>0</v>
      </c>
      <c r="I372" s="47">
        <f>E372-H372</f>
        <v>103000</v>
      </c>
      <c r="J372" s="17">
        <f>IFERROR(H372/E372,0)</f>
        <v>0</v>
      </c>
      <c r="K372" s="18" t="str">
        <f>IF(E372=0,"Sin Plan",IF(J372&gt;=1,"Completado",IF(J372&gt;0.001,"En Progreso","Pendiente de ejecutar")))</f>
        <v>Pendiente de ejecutar</v>
      </c>
      <c r="L372" s="6" t="s">
        <v>323</v>
      </c>
      <c r="M372" s="6" t="s">
        <v>320</v>
      </c>
    </row>
    <row r="373" spans="1:13" hidden="1" x14ac:dyDescent="0.35">
      <c r="A373" s="11" t="s">
        <v>260</v>
      </c>
      <c r="B373" s="11" t="s">
        <v>205</v>
      </c>
      <c r="C373" s="11" t="s">
        <v>135</v>
      </c>
      <c r="D373" s="11" t="s">
        <v>136</v>
      </c>
      <c r="E373" s="14">
        <v>103000</v>
      </c>
      <c r="F373" s="14">
        <v>295456.84999999998</v>
      </c>
      <c r="G373" s="14"/>
      <c r="H373" s="40">
        <f>F373+G373</f>
        <v>295456.84999999998</v>
      </c>
      <c r="I373" s="47">
        <f>E373-H373</f>
        <v>-192456.84999999998</v>
      </c>
      <c r="J373" s="17">
        <f>IFERROR(H373/E373,0)</f>
        <v>2.8685131067961165</v>
      </c>
      <c r="K373" s="18" t="str">
        <f>IF(E373=0,"Sin Plan",IF(J373&gt;=1,"Completado",IF(J373&gt;0.001,"En Progreso","Pendiente de ejecutar")))</f>
        <v>Completado</v>
      </c>
      <c r="L373" s="6" t="s">
        <v>323</v>
      </c>
      <c r="M373" s="6" t="s">
        <v>320</v>
      </c>
    </row>
    <row r="374" spans="1:13" hidden="1" x14ac:dyDescent="0.35">
      <c r="A374" s="20" t="s">
        <v>290</v>
      </c>
      <c r="B374" s="11" t="s">
        <v>205</v>
      </c>
      <c r="C374" s="20" t="s">
        <v>135</v>
      </c>
      <c r="D374" s="20" t="s">
        <v>136</v>
      </c>
      <c r="E374" s="14">
        <v>103000</v>
      </c>
      <c r="F374" s="14">
        <v>96860.76</v>
      </c>
      <c r="G374" s="36">
        <v>141854.35</v>
      </c>
      <c r="H374" s="40">
        <f>F374+G374</f>
        <v>238715.11</v>
      </c>
      <c r="I374" s="47">
        <f>E374-H374</f>
        <v>-135715.10999999999</v>
      </c>
      <c r="J374" s="17">
        <f>IFERROR(H374/E374,0)</f>
        <v>2.3176224271844661</v>
      </c>
      <c r="K374" s="18" t="str">
        <f>IF(E374=0,"Sin Plan",IF(J374&gt;=1,"Completado",IF(J374&gt;0.001,"En Progreso","Pendiente de ejecutar")))</f>
        <v>Completado</v>
      </c>
      <c r="L374" s="6" t="s">
        <v>323</v>
      </c>
      <c r="M374" s="6" t="s">
        <v>320</v>
      </c>
    </row>
    <row r="375" spans="1:13" hidden="1" x14ac:dyDescent="0.35">
      <c r="A375" s="19" t="s">
        <v>257</v>
      </c>
      <c r="B375" s="11" t="s">
        <v>205</v>
      </c>
      <c r="C375" s="11" t="s">
        <v>66</v>
      </c>
      <c r="D375" s="11" t="s">
        <v>67</v>
      </c>
      <c r="E375" s="13">
        <v>90000</v>
      </c>
      <c r="F375" s="13">
        <v>0</v>
      </c>
      <c r="G375" s="35">
        <v>82130.42</v>
      </c>
      <c r="H375" s="40">
        <f>F375+G375</f>
        <v>82130.42</v>
      </c>
      <c r="I375" s="47">
        <f>E375-H375</f>
        <v>7869.5800000000017</v>
      </c>
      <c r="J375" s="17">
        <f>IFERROR(H375/E375,0)</f>
        <v>0.91256022222222222</v>
      </c>
      <c r="K375" s="18" t="str">
        <f>IF(E375=0,"Sin Plan",IF(J375&gt;=1,"Completado",IF(J375&gt;0.001,"En Progreso","Pendiente de ejecutar")))</f>
        <v>En Progreso</v>
      </c>
      <c r="L375" s="6" t="s">
        <v>323</v>
      </c>
      <c r="M375" s="6" t="s">
        <v>320</v>
      </c>
    </row>
    <row r="376" spans="1:13" hidden="1" x14ac:dyDescent="0.35">
      <c r="A376" s="20" t="s">
        <v>285</v>
      </c>
      <c r="B376" s="11" t="s">
        <v>205</v>
      </c>
      <c r="C376" s="20" t="s">
        <v>96</v>
      </c>
      <c r="D376" s="20" t="s">
        <v>97</v>
      </c>
      <c r="E376" s="14">
        <v>86000</v>
      </c>
      <c r="F376" s="14">
        <v>0</v>
      </c>
      <c r="G376" s="14">
        <v>0</v>
      </c>
      <c r="H376" s="40">
        <f>F376+G376</f>
        <v>0</v>
      </c>
      <c r="I376" s="47">
        <f>E376-H376</f>
        <v>86000</v>
      </c>
      <c r="J376" s="17">
        <f>IFERROR(H376/E376,0)</f>
        <v>0</v>
      </c>
      <c r="K376" s="18" t="str">
        <f>IF(E376=0,"Sin Plan",IF(J376&gt;=1,"Completado",IF(J376&gt;0.001,"En Progreso","Pendiente de ejecutar")))</f>
        <v>Pendiente de ejecutar</v>
      </c>
      <c r="L376" s="6" t="s">
        <v>323</v>
      </c>
      <c r="M376" s="6" t="s">
        <v>320</v>
      </c>
    </row>
    <row r="377" spans="1:13" hidden="1" x14ac:dyDescent="0.35">
      <c r="A377" s="11" t="s">
        <v>295</v>
      </c>
      <c r="B377" s="11" t="s">
        <v>205</v>
      </c>
      <c r="C377" s="11" t="s">
        <v>83</v>
      </c>
      <c r="D377" s="11" t="s">
        <v>84</v>
      </c>
      <c r="E377" s="13">
        <v>86000</v>
      </c>
      <c r="F377" s="13">
        <v>37202.5</v>
      </c>
      <c r="G377" s="14"/>
      <c r="H377" s="40">
        <f>F377+G377</f>
        <v>37202.5</v>
      </c>
      <c r="I377" s="47">
        <f>E377-H377</f>
        <v>48797.5</v>
      </c>
      <c r="J377" s="17">
        <f>IFERROR(H377/E377,0)</f>
        <v>0.43258720930232558</v>
      </c>
      <c r="K377" s="18" t="str">
        <f>IF(E377=0,"Sin Plan",IF(J377&gt;=1,"Completado",IF(J377&gt;0.001,"En Progreso","Pendiente de ejecutar")))</f>
        <v>En Progreso</v>
      </c>
      <c r="L377" s="6" t="s">
        <v>321</v>
      </c>
      <c r="M377" s="6" t="s">
        <v>320</v>
      </c>
    </row>
    <row r="378" spans="1:13" hidden="1" x14ac:dyDescent="0.35">
      <c r="A378" s="19" t="s">
        <v>210</v>
      </c>
      <c r="B378" s="11" t="s">
        <v>205</v>
      </c>
      <c r="C378" s="19" t="s">
        <v>96</v>
      </c>
      <c r="D378" s="19" t="s">
        <v>97</v>
      </c>
      <c r="E378" s="13">
        <v>81000</v>
      </c>
      <c r="F378" s="13">
        <v>0</v>
      </c>
      <c r="G378" s="13">
        <v>0</v>
      </c>
      <c r="H378" s="40">
        <f>F378+G378</f>
        <v>0</v>
      </c>
      <c r="I378" s="47">
        <f>E378-H378</f>
        <v>81000</v>
      </c>
      <c r="J378" s="17">
        <f>IFERROR(H378/E378,0)</f>
        <v>0</v>
      </c>
      <c r="K378" s="18" t="str">
        <f>IF(E378=0,"Sin Plan",IF(J378&gt;=1,"Completado",IF(J378&gt;0.001,"En Progreso","Pendiente de ejecutar")))</f>
        <v>Pendiente de ejecutar</v>
      </c>
      <c r="L378" s="6" t="s">
        <v>323</v>
      </c>
      <c r="M378" s="6" t="s">
        <v>320</v>
      </c>
    </row>
    <row r="379" spans="1:13" hidden="1" x14ac:dyDescent="0.35">
      <c r="A379" s="11" t="s">
        <v>228</v>
      </c>
      <c r="B379" s="11" t="s">
        <v>205</v>
      </c>
      <c r="C379" s="11" t="s">
        <v>135</v>
      </c>
      <c r="D379" s="11" t="s">
        <v>136</v>
      </c>
      <c r="E379" s="13">
        <v>74500</v>
      </c>
      <c r="F379" s="13">
        <v>64573.84</v>
      </c>
      <c r="G379" s="13"/>
      <c r="H379" s="40">
        <f>F379+G379</f>
        <v>64573.84</v>
      </c>
      <c r="I379" s="47">
        <f>E379-H379</f>
        <v>9926.1600000000035</v>
      </c>
      <c r="J379" s="17">
        <f>IFERROR(H379/E379,0)</f>
        <v>0.86676295302013417</v>
      </c>
      <c r="K379" s="18" t="str">
        <f>IF(E379=0,"Sin Plan",IF(J379&gt;=1,"Completado",IF(J379&gt;0.001,"En Progreso","Pendiente de ejecutar")))</f>
        <v>En Progreso</v>
      </c>
      <c r="L379" s="6" t="s">
        <v>323</v>
      </c>
      <c r="M379" s="6" t="s">
        <v>320</v>
      </c>
    </row>
    <row r="380" spans="1:13" hidden="1" x14ac:dyDescent="0.35">
      <c r="A380" s="92" t="s">
        <v>146</v>
      </c>
      <c r="B380" s="20"/>
      <c r="C380" s="22"/>
      <c r="D380" s="22" t="s">
        <v>325</v>
      </c>
      <c r="E380" s="14">
        <v>-452647</v>
      </c>
      <c r="F380" s="14"/>
      <c r="G380" s="14"/>
      <c r="H380" s="40">
        <f>F380+G882</f>
        <v>0</v>
      </c>
      <c r="I380" s="37">
        <f>E380-H380</f>
        <v>-452647</v>
      </c>
      <c r="J380" s="17"/>
      <c r="K380" s="18"/>
      <c r="L380" s="6" t="s">
        <v>323</v>
      </c>
      <c r="M380" s="6"/>
    </row>
    <row r="381" spans="1:13" hidden="1" x14ac:dyDescent="0.35">
      <c r="A381" s="11" t="s">
        <v>108</v>
      </c>
      <c r="B381" s="11" t="s">
        <v>319</v>
      </c>
      <c r="C381" s="11" t="s">
        <v>47</v>
      </c>
      <c r="D381" s="11" t="s">
        <v>48</v>
      </c>
      <c r="E381" s="13">
        <v>132300</v>
      </c>
      <c r="F381" s="13">
        <v>0</v>
      </c>
      <c r="G381" s="13">
        <v>137843.10999999999</v>
      </c>
      <c r="H381" s="40">
        <f>F381+G381</f>
        <v>137843.10999999999</v>
      </c>
      <c r="I381" s="47">
        <f>E381-H381</f>
        <v>-5543.109999999986</v>
      </c>
      <c r="J381" s="17">
        <f>IFERROR(H381/E381,0)</f>
        <v>1.0418980347694633</v>
      </c>
      <c r="K381" s="18" t="str">
        <f>IF(E381=0,"Sin Plan",IF(J381&gt;=1,"Completado",IF(J381&gt;0.001,"En Progreso","Pendiente de ejecutar")))</f>
        <v>Completado</v>
      </c>
      <c r="L381" s="6" t="s">
        <v>323</v>
      </c>
      <c r="M381" s="6" t="s">
        <v>320</v>
      </c>
    </row>
    <row r="382" spans="1:13" hidden="1" x14ac:dyDescent="0.35">
      <c r="A382" s="19" t="s">
        <v>109</v>
      </c>
      <c r="B382" s="11" t="s">
        <v>319</v>
      </c>
      <c r="C382" s="19" t="s">
        <v>13</v>
      </c>
      <c r="D382" s="19" t="s">
        <v>14</v>
      </c>
      <c r="E382" s="13">
        <v>685000</v>
      </c>
      <c r="F382" s="13">
        <v>0</v>
      </c>
      <c r="G382" s="13">
        <v>806100</v>
      </c>
      <c r="H382" s="40">
        <f>F382+G382</f>
        <v>806100</v>
      </c>
      <c r="I382" s="47">
        <f>E382-H382</f>
        <v>-121100</v>
      </c>
      <c r="J382" s="17">
        <f>IFERROR(H382/E382,0)</f>
        <v>1.1767883211678831</v>
      </c>
      <c r="K382" s="18" t="str">
        <f>IF(E382=0,"Sin Plan",IF(J382&gt;=1,"Completado",IF(J382&gt;0.001,"En Progreso","Pendiente de ejecutar")))</f>
        <v>Completado</v>
      </c>
      <c r="L382" s="6" t="s">
        <v>323</v>
      </c>
      <c r="M382" s="6" t="s">
        <v>320</v>
      </c>
    </row>
    <row r="383" spans="1:13" hidden="1" x14ac:dyDescent="0.35">
      <c r="A383" s="20" t="s">
        <v>109</v>
      </c>
      <c r="B383" s="11" t="s">
        <v>319</v>
      </c>
      <c r="C383" s="20" t="s">
        <v>47</v>
      </c>
      <c r="D383" s="20" t="s">
        <v>48</v>
      </c>
      <c r="E383" s="14">
        <v>126000</v>
      </c>
      <c r="F383" s="14">
        <v>136751.45000000001</v>
      </c>
      <c r="G383" s="14">
        <v>0</v>
      </c>
      <c r="H383" s="40">
        <f>F383+G383</f>
        <v>136751.45000000001</v>
      </c>
      <c r="I383" s="47">
        <f>E383-H383</f>
        <v>-10751.450000000012</v>
      </c>
      <c r="J383" s="17">
        <f>IFERROR(H383/E383,0)</f>
        <v>1.0853289682539684</v>
      </c>
      <c r="K383" s="18" t="str">
        <f>IF(E383=0,"Sin Plan",IF(J383&gt;=1,"Completado",IF(J383&gt;0.001,"En Progreso","Pendiente de ejecutar")))</f>
        <v>Completado</v>
      </c>
      <c r="L383" s="6" t="s">
        <v>323</v>
      </c>
      <c r="M383" s="6" t="s">
        <v>320</v>
      </c>
    </row>
    <row r="384" spans="1:13" hidden="1" x14ac:dyDescent="0.35">
      <c r="A384" s="11" t="s">
        <v>109</v>
      </c>
      <c r="B384" s="11" t="s">
        <v>319</v>
      </c>
      <c r="C384" s="11" t="s">
        <v>27</v>
      </c>
      <c r="D384" s="11" t="s">
        <v>28</v>
      </c>
      <c r="E384" s="13">
        <v>222000</v>
      </c>
      <c r="F384" s="13">
        <v>0</v>
      </c>
      <c r="G384" s="13">
        <v>116499.8</v>
      </c>
      <c r="H384" s="40">
        <f>F384+G384</f>
        <v>116499.8</v>
      </c>
      <c r="I384" s="47">
        <f>E384-H384</f>
        <v>105500.2</v>
      </c>
      <c r="J384" s="17">
        <f>IFERROR(H384/E384,0)</f>
        <v>0.52477387387387386</v>
      </c>
      <c r="K384" s="18" t="str">
        <f>IF(E384=0,"Sin Plan",IF(J384&gt;=1,"Completado",IF(J384&gt;0.001,"En Progreso","Pendiente de ejecutar")))</f>
        <v>En Progreso</v>
      </c>
      <c r="L384" s="6" t="s">
        <v>323</v>
      </c>
      <c r="M384" s="6" t="s">
        <v>320</v>
      </c>
    </row>
    <row r="385" spans="1:13" hidden="1" x14ac:dyDescent="0.35">
      <c r="A385" s="19" t="s">
        <v>110</v>
      </c>
      <c r="B385" s="11" t="s">
        <v>319</v>
      </c>
      <c r="C385" s="19" t="s">
        <v>47</v>
      </c>
      <c r="D385" s="19" t="s">
        <v>48</v>
      </c>
      <c r="E385" s="13">
        <v>132300</v>
      </c>
      <c r="F385" s="13">
        <v>0</v>
      </c>
      <c r="G385" s="13">
        <v>246624.75</v>
      </c>
      <c r="H385" s="40">
        <f>F385+G385</f>
        <v>246624.75</v>
      </c>
      <c r="I385" s="47">
        <f>E385-H385</f>
        <v>-114324.75</v>
      </c>
      <c r="J385" s="17">
        <f>IFERROR(H385/E385,0)</f>
        <v>1.8641326530612246</v>
      </c>
      <c r="K385" s="18" t="str">
        <f>IF(E385=0,"Sin Plan",IF(J385&gt;=1,"Completado",IF(J385&gt;0.001,"En Progreso","Pendiente de ejecutar")))</f>
        <v>Completado</v>
      </c>
      <c r="L385" s="6" t="s">
        <v>323</v>
      </c>
      <c r="M385" s="6" t="s">
        <v>320</v>
      </c>
    </row>
    <row r="386" spans="1:13" hidden="1" x14ac:dyDescent="0.35">
      <c r="A386" s="20" t="s">
        <v>110</v>
      </c>
      <c r="B386" s="11" t="s">
        <v>319</v>
      </c>
      <c r="C386" s="20" t="s">
        <v>31</v>
      </c>
      <c r="D386" s="20" t="s">
        <v>32</v>
      </c>
      <c r="E386" s="14">
        <v>363000</v>
      </c>
      <c r="F386" s="14">
        <v>116300</v>
      </c>
      <c r="G386" s="14">
        <v>0</v>
      </c>
      <c r="H386" s="40">
        <f>F386+G386</f>
        <v>116300</v>
      </c>
      <c r="I386" s="47">
        <f>E386-H386</f>
        <v>246700</v>
      </c>
      <c r="J386" s="17">
        <f>IFERROR(H386/E386,0)</f>
        <v>0.32038567493112946</v>
      </c>
      <c r="K386" s="18" t="str">
        <f>IF(E386=0,"Sin Plan",IF(J386&gt;=1,"Completado",IF(J386&gt;0.001,"En Progreso","Pendiente de ejecutar")))</f>
        <v>En Progreso</v>
      </c>
      <c r="L386" s="6" t="s">
        <v>323</v>
      </c>
      <c r="M386" s="6" t="s">
        <v>320</v>
      </c>
    </row>
    <row r="387" spans="1:13" hidden="1" x14ac:dyDescent="0.35">
      <c r="A387" s="55" t="s">
        <v>279</v>
      </c>
      <c r="B387" s="20"/>
      <c r="C387" s="22"/>
      <c r="D387" s="22" t="s">
        <v>325</v>
      </c>
      <c r="E387" s="14">
        <v>-452647</v>
      </c>
      <c r="F387" s="36"/>
      <c r="G387" s="14"/>
      <c r="H387" s="14"/>
      <c r="I387" s="37">
        <f>E387-H387</f>
        <v>-452647</v>
      </c>
      <c r="J387" s="17">
        <f>IFERROR(H387/E387,0)</f>
        <v>0</v>
      </c>
      <c r="K387" s="18" t="str">
        <f>IF(E387=0,"Sin Plan",IF(J387&gt;=1,"Completado",IF(J387&gt;0.001,"En Progreso","Pendiente de ejecutar")))</f>
        <v>Pendiente de ejecutar</v>
      </c>
      <c r="L387" s="6" t="s">
        <v>323</v>
      </c>
      <c r="M387" s="6"/>
    </row>
    <row r="388" spans="1:13" hidden="1" x14ac:dyDescent="0.35">
      <c r="A388" s="20" t="s">
        <v>111</v>
      </c>
      <c r="B388" s="11" t="s">
        <v>319</v>
      </c>
      <c r="C388" s="20" t="s">
        <v>66</v>
      </c>
      <c r="D388" s="20" t="s">
        <v>67</v>
      </c>
      <c r="E388" s="14">
        <v>46800</v>
      </c>
      <c r="F388" s="14">
        <v>48099.51</v>
      </c>
      <c r="G388" s="14">
        <v>0</v>
      </c>
      <c r="H388" s="40">
        <f>F388+G388</f>
        <v>48099.51</v>
      </c>
      <c r="I388" s="47">
        <f>E388-H388</f>
        <v>-1299.510000000002</v>
      </c>
      <c r="J388" s="17">
        <f>IFERROR(H388/E388,0)</f>
        <v>1.0277673076923077</v>
      </c>
      <c r="K388" s="18" t="str">
        <f>IF(E388=0,"Sin Plan",IF(J388&gt;=1,"Completado",IF(J388&gt;0.001,"En Progreso","Pendiente de ejecutar")))</f>
        <v>Completado</v>
      </c>
      <c r="L388" s="6" t="s">
        <v>323</v>
      </c>
      <c r="M388" s="6" t="s">
        <v>320</v>
      </c>
    </row>
    <row r="389" spans="1:13" hidden="1" x14ac:dyDescent="0.35">
      <c r="A389" s="11" t="s">
        <v>111</v>
      </c>
      <c r="B389" s="11" t="s">
        <v>319</v>
      </c>
      <c r="C389" s="11" t="s">
        <v>13</v>
      </c>
      <c r="D389" s="11" t="s">
        <v>14</v>
      </c>
      <c r="E389" s="13">
        <v>685000</v>
      </c>
      <c r="F389" s="13">
        <v>0</v>
      </c>
      <c r="G389" s="13">
        <v>857100</v>
      </c>
      <c r="H389" s="40">
        <f>F389+G389</f>
        <v>857100</v>
      </c>
      <c r="I389" s="47">
        <f>E389-H389</f>
        <v>-172100</v>
      </c>
      <c r="J389" s="17">
        <f>IFERROR(H389/E389,0)</f>
        <v>1.2512408759124087</v>
      </c>
      <c r="K389" s="18" t="str">
        <f>IF(E389=0,"Sin Plan",IF(J389&gt;=1,"Completado",IF(J389&gt;0.001,"En Progreso","Pendiente de ejecutar")))</f>
        <v>Completado</v>
      </c>
      <c r="L389" s="6" t="s">
        <v>323</v>
      </c>
      <c r="M389" s="6" t="s">
        <v>320</v>
      </c>
    </row>
    <row r="390" spans="1:13" hidden="1" x14ac:dyDescent="0.35">
      <c r="A390" s="11" t="s">
        <v>111</v>
      </c>
      <c r="B390" s="11" t="s">
        <v>319</v>
      </c>
      <c r="C390" s="11" t="s">
        <v>96</v>
      </c>
      <c r="D390" s="11" t="s">
        <v>97</v>
      </c>
      <c r="E390" s="14">
        <v>0</v>
      </c>
      <c r="F390" s="14">
        <v>302580</v>
      </c>
      <c r="G390" s="14">
        <v>0</v>
      </c>
      <c r="H390" s="40">
        <f>F390+G390</f>
        <v>302580</v>
      </c>
      <c r="I390" s="47">
        <f>E390-H390</f>
        <v>-302580</v>
      </c>
      <c r="J390" s="17">
        <f>IFERROR(H390/E390,0)</f>
        <v>0</v>
      </c>
      <c r="K390" s="18" t="str">
        <f>IF(E390=0,"Sin Plan",IF(J390&gt;=1,"Completado",IF(J390&gt;0.001,"En Progreso","Pendiente de ejecutar")))</f>
        <v>Sin Plan</v>
      </c>
      <c r="L390" s="6" t="s">
        <v>323</v>
      </c>
      <c r="M390" s="6" t="s">
        <v>318</v>
      </c>
    </row>
    <row r="391" spans="1:13" hidden="1" x14ac:dyDescent="0.35">
      <c r="A391" s="20" t="s">
        <v>260</v>
      </c>
      <c r="B391" s="11" t="s">
        <v>205</v>
      </c>
      <c r="C391" s="20" t="s">
        <v>37</v>
      </c>
      <c r="D391" s="11" t="s">
        <v>38</v>
      </c>
      <c r="E391" s="14">
        <v>0</v>
      </c>
      <c r="F391" s="14">
        <v>350196</v>
      </c>
      <c r="G391" s="14">
        <v>0</v>
      </c>
      <c r="H391" s="40">
        <f>F391+G391</f>
        <v>350196</v>
      </c>
      <c r="I391" s="47">
        <f>E391-H391</f>
        <v>-350196</v>
      </c>
      <c r="J391" s="17">
        <f>IFERROR(H391/E391,0)</f>
        <v>0</v>
      </c>
      <c r="K391" s="18" t="str">
        <f>IF(E391=0,"Sin Plan",IF(J391&gt;=1,"Completado",IF(J391&gt;0.001,"En Progreso","Pendiente de ejecutar")))</f>
        <v>Sin Plan</v>
      </c>
      <c r="L391" s="6" t="s">
        <v>323</v>
      </c>
      <c r="M391" s="6" t="s">
        <v>318</v>
      </c>
    </row>
    <row r="392" spans="1:13" hidden="1" x14ac:dyDescent="0.35">
      <c r="A392" s="20" t="s">
        <v>257</v>
      </c>
      <c r="B392" s="11" t="s">
        <v>205</v>
      </c>
      <c r="C392" s="20" t="s">
        <v>243</v>
      </c>
      <c r="D392" s="20" t="s">
        <v>244</v>
      </c>
      <c r="E392" s="14">
        <v>60000</v>
      </c>
      <c r="F392" s="14">
        <v>73560</v>
      </c>
      <c r="G392" s="14">
        <v>0</v>
      </c>
      <c r="H392" s="40">
        <f>F392+G392</f>
        <v>73560</v>
      </c>
      <c r="I392" s="47">
        <f>E392-H392</f>
        <v>-13560</v>
      </c>
      <c r="J392" s="17">
        <f>IFERROR(H392/E392,0)</f>
        <v>1.226</v>
      </c>
      <c r="K392" s="18" t="str">
        <f>IF(E392=0,"Sin Plan",IF(J392&gt;=1,"Completado",IF(J392&gt;0.001,"En Progreso","Pendiente de ejecutar")))</f>
        <v>Completado</v>
      </c>
      <c r="L392" s="6" t="s">
        <v>323</v>
      </c>
      <c r="M392" s="6" t="s">
        <v>320</v>
      </c>
    </row>
    <row r="393" spans="1:13" hidden="1" x14ac:dyDescent="0.35">
      <c r="A393" s="11" t="s">
        <v>241</v>
      </c>
      <c r="B393" s="11" t="s">
        <v>205</v>
      </c>
      <c r="C393" s="11" t="s">
        <v>96</v>
      </c>
      <c r="D393" s="11" t="s">
        <v>97</v>
      </c>
      <c r="E393" s="13">
        <v>54000</v>
      </c>
      <c r="F393" s="13">
        <v>82670.600000000006</v>
      </c>
      <c r="G393" s="13">
        <v>0</v>
      </c>
      <c r="H393" s="40">
        <f>F393+G393</f>
        <v>82670.600000000006</v>
      </c>
      <c r="I393" s="47">
        <f>E393-H393</f>
        <v>-28670.600000000006</v>
      </c>
      <c r="J393" s="17">
        <f>IFERROR(H393/E393,0)</f>
        <v>1.5309370370370372</v>
      </c>
      <c r="K393" s="18" t="str">
        <f>IF(E393=0,"Sin Plan",IF(J393&gt;=1,"Completado",IF(J393&gt;0.001,"En Progreso","Pendiente de ejecutar")))</f>
        <v>Completado</v>
      </c>
      <c r="L393" s="6" t="s">
        <v>323</v>
      </c>
      <c r="M393" s="6" t="s">
        <v>320</v>
      </c>
    </row>
    <row r="394" spans="1:13" hidden="1" x14ac:dyDescent="0.35">
      <c r="A394" s="11" t="s">
        <v>111</v>
      </c>
      <c r="B394" s="11" t="s">
        <v>319</v>
      </c>
      <c r="C394" s="11" t="s">
        <v>47</v>
      </c>
      <c r="D394" s="11" t="s">
        <v>48</v>
      </c>
      <c r="E394" s="13">
        <v>126000</v>
      </c>
      <c r="F394" s="13">
        <v>0</v>
      </c>
      <c r="G394" s="13">
        <v>246624.75</v>
      </c>
      <c r="H394" s="40">
        <f>F394+G394</f>
        <v>246624.75</v>
      </c>
      <c r="I394" s="47">
        <f>E394-H394</f>
        <v>-120624.75</v>
      </c>
      <c r="J394" s="17">
        <f>IFERROR(H394/E394,0)</f>
        <v>1.9573392857142857</v>
      </c>
      <c r="K394" s="18" t="str">
        <f>IF(E394=0,"Sin Plan",IF(J394&gt;=1,"Completado",IF(J394&gt;0.001,"En Progreso","Pendiente de ejecutar")))</f>
        <v>Completado</v>
      </c>
      <c r="L394" s="6" t="s">
        <v>323</v>
      </c>
      <c r="M394" s="6" t="s">
        <v>320</v>
      </c>
    </row>
    <row r="395" spans="1:13" hidden="1" x14ac:dyDescent="0.35">
      <c r="A395" s="20" t="s">
        <v>241</v>
      </c>
      <c r="B395" s="11" t="s">
        <v>205</v>
      </c>
      <c r="C395" s="20" t="s">
        <v>53</v>
      </c>
      <c r="D395" s="20" t="s">
        <v>54</v>
      </c>
      <c r="E395" s="14">
        <v>52000</v>
      </c>
      <c r="F395" s="14">
        <v>0</v>
      </c>
      <c r="G395" s="14">
        <v>0</v>
      </c>
      <c r="H395" s="40">
        <f>F395+G395</f>
        <v>0</v>
      </c>
      <c r="I395" s="47">
        <f>E395-H395</f>
        <v>52000</v>
      </c>
      <c r="J395" s="17">
        <f>IFERROR(H395/E395,0)</f>
        <v>0</v>
      </c>
      <c r="K395" s="18" t="str">
        <f>IF(E395=0,"Sin Plan",IF(J395&gt;=1,"Completado",IF(J395&gt;0.001,"En Progreso","Pendiente de ejecutar")))</f>
        <v>Pendiente de ejecutar</v>
      </c>
      <c r="L395" s="6" t="s">
        <v>323</v>
      </c>
      <c r="M395" s="6" t="s">
        <v>320</v>
      </c>
    </row>
    <row r="396" spans="1:13" x14ac:dyDescent="0.35">
      <c r="A396" s="11" t="s">
        <v>229</v>
      </c>
      <c r="B396" s="11" t="s">
        <v>205</v>
      </c>
      <c r="C396" s="11" t="s">
        <v>231</v>
      </c>
      <c r="D396" s="11" t="s">
        <v>232</v>
      </c>
      <c r="E396" s="36">
        <v>1685000</v>
      </c>
      <c r="F396" s="36">
        <v>40000</v>
      </c>
      <c r="G396" s="100">
        <v>0</v>
      </c>
      <c r="H396" s="40">
        <f>F396+G396</f>
        <v>40000</v>
      </c>
      <c r="I396" s="47">
        <f>E396-H396</f>
        <v>1645000</v>
      </c>
      <c r="J396" s="17">
        <f>IFERROR(H396/E396,0)</f>
        <v>2.3738872403560832E-2</v>
      </c>
      <c r="K396" s="18" t="str">
        <f>IF(E396=0,"Sin Plan",IF(J396&gt;=1,"Completado",IF(J396&gt;0.001,"En Progreso","Pendiente de ejecutar")))</f>
        <v>En Progreso</v>
      </c>
      <c r="L396" s="6" t="s">
        <v>323</v>
      </c>
      <c r="M396" s="6" t="s">
        <v>320</v>
      </c>
    </row>
    <row r="397" spans="1:13" x14ac:dyDescent="0.35">
      <c r="A397" s="20" t="s">
        <v>229</v>
      </c>
      <c r="B397" s="11" t="s">
        <v>205</v>
      </c>
      <c r="C397" s="20" t="s">
        <v>17</v>
      </c>
      <c r="D397" s="20" t="s">
        <v>18</v>
      </c>
      <c r="E397" s="36">
        <v>1365000</v>
      </c>
      <c r="F397" s="100">
        <v>0</v>
      </c>
      <c r="G397" s="100">
        <v>0</v>
      </c>
      <c r="H397" s="40">
        <f>F397+G397</f>
        <v>0</v>
      </c>
      <c r="I397" s="47">
        <f>E397-H397</f>
        <v>1365000</v>
      </c>
      <c r="J397" s="17">
        <f>IFERROR(H397/E397,0)</f>
        <v>0</v>
      </c>
      <c r="K397" s="18" t="str">
        <f>IF(E397=0,"Sin Plan",IF(J397&gt;=1,"Completado",IF(J397&gt;0.001,"En Progreso","Pendiente de ejecutar")))</f>
        <v>Pendiente de ejecutar</v>
      </c>
      <c r="L397" s="6" t="s">
        <v>323</v>
      </c>
      <c r="M397" s="6" t="s">
        <v>320</v>
      </c>
    </row>
    <row r="398" spans="1:13" x14ac:dyDescent="0.35">
      <c r="A398" s="11" t="s">
        <v>229</v>
      </c>
      <c r="B398" s="11" t="s">
        <v>205</v>
      </c>
      <c r="C398" s="11" t="s">
        <v>95</v>
      </c>
      <c r="D398" s="11" t="s">
        <v>75</v>
      </c>
      <c r="E398" s="35">
        <v>850000</v>
      </c>
      <c r="F398" s="100">
        <v>0</v>
      </c>
      <c r="G398" s="100">
        <v>0</v>
      </c>
      <c r="H398" s="40">
        <f>F398+G398</f>
        <v>0</v>
      </c>
      <c r="I398" s="47">
        <f>E398-H398</f>
        <v>850000</v>
      </c>
      <c r="J398" s="17">
        <f>IFERROR(H398/E398,0)</f>
        <v>0</v>
      </c>
      <c r="K398" s="18" t="str">
        <f>IF(E398=0,"Sin Plan",IF(J398&gt;=1,"Completado",IF(J398&gt;0.001,"En Progreso","Pendiente de ejecutar")))</f>
        <v>Pendiente de ejecutar</v>
      </c>
      <c r="L398" s="6" t="s">
        <v>323</v>
      </c>
      <c r="M398" s="6" t="s">
        <v>320</v>
      </c>
    </row>
    <row r="399" spans="1:13" hidden="1" x14ac:dyDescent="0.35">
      <c r="A399" s="49" t="s">
        <v>265</v>
      </c>
      <c r="B399" s="49" t="s">
        <v>266</v>
      </c>
      <c r="C399" s="49" t="s">
        <v>37</v>
      </c>
      <c r="D399" s="29" t="s">
        <v>38</v>
      </c>
      <c r="E399" s="40">
        <v>8000000</v>
      </c>
      <c r="F399" s="72">
        <v>517449.16</v>
      </c>
      <c r="G399" s="25">
        <v>425000</v>
      </c>
      <c r="H399" s="40">
        <f>F399+G399</f>
        <v>942449.15999999992</v>
      </c>
      <c r="I399" s="47">
        <f>E399-H399</f>
        <v>7057550.8399999999</v>
      </c>
      <c r="J399" s="17">
        <f>IFERROR(H399/E399,0)</f>
        <v>0.11780614499999999</v>
      </c>
      <c r="K399" s="18" t="str">
        <f>IF(E399=0,"Sin Plan",IF(J399&gt;=1,"Completado",IF(J399&gt;0.001,"En Progreso","Pendiente de ejecutar")))</f>
        <v>En Progreso</v>
      </c>
      <c r="L399" s="6" t="s">
        <v>321</v>
      </c>
      <c r="M399" s="6" t="s">
        <v>320</v>
      </c>
    </row>
    <row r="400" spans="1:13" hidden="1" x14ac:dyDescent="0.35">
      <c r="A400" s="11" t="s">
        <v>209</v>
      </c>
      <c r="B400" s="11" t="s">
        <v>205</v>
      </c>
      <c r="C400" s="11" t="s">
        <v>135</v>
      </c>
      <c r="D400" s="11" t="s">
        <v>136</v>
      </c>
      <c r="E400" s="14">
        <v>48500</v>
      </c>
      <c r="F400" s="14">
        <v>32286.92</v>
      </c>
      <c r="G400" s="89"/>
      <c r="H400" s="40" t="e">
        <f>#REF!+F400</f>
        <v>#REF!</v>
      </c>
      <c r="I400" s="47" t="e">
        <f>E400-H400</f>
        <v>#REF!</v>
      </c>
      <c r="J400" s="17">
        <f>IFERROR(H400/E400,0)</f>
        <v>0</v>
      </c>
      <c r="K400" s="18" t="str">
        <f>IF(E400=0,"Sin Plan",IF(J400&gt;=1,"Completado",IF(J400&gt;0.001,"En Progreso","Pendiente de ejecutar")))</f>
        <v>Pendiente de ejecutar</v>
      </c>
      <c r="L400" s="6" t="s">
        <v>323</v>
      </c>
      <c r="M400" s="6" t="s">
        <v>320</v>
      </c>
    </row>
    <row r="401" spans="1:13" s="2" customFormat="1" x14ac:dyDescent="0.35">
      <c r="A401" s="11" t="s">
        <v>229</v>
      </c>
      <c r="B401" s="11" t="s">
        <v>205</v>
      </c>
      <c r="C401" s="22"/>
      <c r="D401" s="92" t="s">
        <v>325</v>
      </c>
      <c r="E401" s="14">
        <v>264683.09000000003</v>
      </c>
      <c r="F401" s="100"/>
      <c r="G401" s="100"/>
      <c r="H401" s="40">
        <f>F401+G401</f>
        <v>0</v>
      </c>
      <c r="I401" s="47">
        <f>E401-H401</f>
        <v>264683.09000000003</v>
      </c>
      <c r="J401" s="17">
        <f>IFERROR(H401/E401,0)</f>
        <v>0</v>
      </c>
      <c r="K401" s="18" t="str">
        <f>IF(E401=0,"Sin Plan",IF(J401&gt;=1,"Completado",IF(J401&gt;0.001,"En Progreso","Pendiente de ejecutar")))</f>
        <v>Pendiente de ejecutar</v>
      </c>
      <c r="L401" s="81" t="s">
        <v>321</v>
      </c>
      <c r="M401" s="6"/>
    </row>
    <row r="402" spans="1:13" hidden="1" x14ac:dyDescent="0.35">
      <c r="A402" s="29" t="s">
        <v>111</v>
      </c>
      <c r="B402" s="29" t="s">
        <v>319</v>
      </c>
      <c r="C402" s="11" t="s">
        <v>27</v>
      </c>
      <c r="D402" s="29" t="s">
        <v>28</v>
      </c>
      <c r="E402" s="41">
        <v>221676</v>
      </c>
      <c r="F402" s="41">
        <v>0</v>
      </c>
      <c r="G402" s="41">
        <v>0</v>
      </c>
      <c r="H402" s="40">
        <f>F402+G402</f>
        <v>0</v>
      </c>
      <c r="I402" s="47">
        <f>E402-H402</f>
        <v>221676</v>
      </c>
      <c r="J402" s="17">
        <f>IFERROR(H402/E402,0)</f>
        <v>0</v>
      </c>
      <c r="K402" s="18" t="str">
        <f>IF(E402=0,"Sin Plan",IF(J402&gt;=1,"Completado",IF(J402&gt;0.001,"En Progreso","Pendiente de ejecutar")))</f>
        <v>Pendiente de ejecutar</v>
      </c>
      <c r="L402" s="71" t="s">
        <v>323</v>
      </c>
      <c r="M402" s="6" t="s">
        <v>320</v>
      </c>
    </row>
    <row r="403" spans="1:13" hidden="1" x14ac:dyDescent="0.35">
      <c r="A403" s="92" t="s">
        <v>210</v>
      </c>
      <c r="B403" s="20"/>
      <c r="C403" s="22"/>
      <c r="D403" s="22" t="s">
        <v>325</v>
      </c>
      <c r="E403" s="14">
        <v>-426810</v>
      </c>
      <c r="F403" s="14"/>
      <c r="G403" s="14"/>
      <c r="H403" s="14"/>
      <c r="I403" s="37">
        <f>E403-H403</f>
        <v>-426810</v>
      </c>
      <c r="J403" s="17"/>
      <c r="K403" s="18"/>
      <c r="L403" s="6" t="s">
        <v>323</v>
      </c>
      <c r="M403" s="6"/>
    </row>
    <row r="404" spans="1:13" hidden="1" x14ac:dyDescent="0.35">
      <c r="A404" s="11" t="s">
        <v>241</v>
      </c>
      <c r="B404" s="11" t="s">
        <v>205</v>
      </c>
      <c r="C404" s="11" t="s">
        <v>135</v>
      </c>
      <c r="D404" s="11" t="s">
        <v>136</v>
      </c>
      <c r="E404" s="13">
        <v>46000</v>
      </c>
      <c r="F404" s="13">
        <v>32286.92</v>
      </c>
      <c r="G404" s="13">
        <v>0</v>
      </c>
      <c r="H404" s="40">
        <f>F404+G404</f>
        <v>32286.92</v>
      </c>
      <c r="I404" s="47">
        <f>E404-H404</f>
        <v>13713.080000000002</v>
      </c>
      <c r="J404" s="17">
        <f>IFERROR(H404/E404,0)</f>
        <v>0.70188956521739132</v>
      </c>
      <c r="K404" s="18" t="str">
        <f>IF(E404=0,"Sin Plan",IF(J404&gt;=1,"Completado",IF(J404&gt;0.001,"En Progreso","Pendiente de ejecutar")))</f>
        <v>En Progreso</v>
      </c>
      <c r="L404" s="6" t="s">
        <v>323</v>
      </c>
      <c r="M404" s="6" t="s">
        <v>320</v>
      </c>
    </row>
    <row r="405" spans="1:13" hidden="1" x14ac:dyDescent="0.35">
      <c r="A405" s="20" t="s">
        <v>112</v>
      </c>
      <c r="B405" s="11" t="s">
        <v>319</v>
      </c>
      <c r="C405" s="20" t="s">
        <v>50</v>
      </c>
      <c r="D405" s="20" t="s">
        <v>51</v>
      </c>
      <c r="E405" s="14">
        <v>0</v>
      </c>
      <c r="F405" s="14">
        <v>7400</v>
      </c>
      <c r="G405" s="14">
        <v>0</v>
      </c>
      <c r="H405" s="40">
        <f>F405+G405</f>
        <v>7400</v>
      </c>
      <c r="I405" s="47">
        <f>E405-H405</f>
        <v>-7400</v>
      </c>
      <c r="J405" s="17">
        <f>IFERROR(H405/E405,0)</f>
        <v>0</v>
      </c>
      <c r="K405" s="18" t="str">
        <f>IF(E405=0,"Sin Plan",IF(J405&gt;=1,"Completado",IF(J405&gt;0.001,"En Progreso","Pendiente de ejecutar")))</f>
        <v>Sin Plan</v>
      </c>
      <c r="L405" s="6" t="s">
        <v>323</v>
      </c>
      <c r="M405" s="6" t="s">
        <v>318</v>
      </c>
    </row>
    <row r="406" spans="1:13" x14ac:dyDescent="0.35">
      <c r="A406" s="11" t="s">
        <v>229</v>
      </c>
      <c r="B406" s="11" t="s">
        <v>205</v>
      </c>
      <c r="C406" s="11" t="s">
        <v>135</v>
      </c>
      <c r="D406" s="11" t="s">
        <v>136</v>
      </c>
      <c r="E406" s="36">
        <v>175000</v>
      </c>
      <c r="F406" s="36">
        <f>178092.1+160500.5</f>
        <v>338592.6</v>
      </c>
      <c r="G406" s="100"/>
      <c r="H406" s="40">
        <f>F406+G406</f>
        <v>338592.6</v>
      </c>
      <c r="I406" s="47">
        <f>E406-H406</f>
        <v>-163592.59999999998</v>
      </c>
      <c r="J406" s="17">
        <f>IFERROR(H406/E406,0)</f>
        <v>1.9348148571428569</v>
      </c>
      <c r="K406" s="18" t="str">
        <f>IF(E406=0,"Sin Plan",IF(J406&gt;=1,"Completado",IF(J406&gt;0.001,"En Progreso","Pendiente de ejecutar")))</f>
        <v>Completado</v>
      </c>
      <c r="L406" s="6" t="s">
        <v>323</v>
      </c>
      <c r="M406" s="6" t="s">
        <v>320</v>
      </c>
    </row>
    <row r="407" spans="1:13" hidden="1" x14ac:dyDescent="0.35">
      <c r="A407" s="19" t="s">
        <v>112</v>
      </c>
      <c r="B407" s="11" t="s">
        <v>319</v>
      </c>
      <c r="C407" s="19" t="s">
        <v>13</v>
      </c>
      <c r="D407" s="19" t="s">
        <v>14</v>
      </c>
      <c r="E407" s="13">
        <v>685000</v>
      </c>
      <c r="F407" s="13">
        <v>0</v>
      </c>
      <c r="G407" s="13">
        <v>800100</v>
      </c>
      <c r="H407" s="40">
        <f>F407+G407</f>
        <v>800100</v>
      </c>
      <c r="I407" s="47">
        <f>E407-H407</f>
        <v>-115100</v>
      </c>
      <c r="J407" s="17">
        <f>IFERROR(H407/E407,0)</f>
        <v>1.1680291970802921</v>
      </c>
      <c r="K407" s="18" t="str">
        <f>IF(E407=0,"Sin Plan",IF(J407&gt;=1,"Completado",IF(J407&gt;0.001,"En Progreso","Pendiente de ejecutar")))</f>
        <v>Completado</v>
      </c>
      <c r="L407" s="6" t="s">
        <v>323</v>
      </c>
      <c r="M407" s="6" t="s">
        <v>320</v>
      </c>
    </row>
    <row r="408" spans="1:13" hidden="1" x14ac:dyDescent="0.35">
      <c r="A408" s="11" t="s">
        <v>112</v>
      </c>
      <c r="B408" s="11" t="s">
        <v>319</v>
      </c>
      <c r="C408" s="11" t="s">
        <v>78</v>
      </c>
      <c r="D408" s="11" t="s">
        <v>79</v>
      </c>
      <c r="E408" s="14">
        <v>107000</v>
      </c>
      <c r="F408" s="14">
        <v>0</v>
      </c>
      <c r="G408" s="14">
        <v>58580.86</v>
      </c>
      <c r="H408" s="40">
        <f>F408+G408</f>
        <v>58580.86</v>
      </c>
      <c r="I408" s="47">
        <f>E408-H408</f>
        <v>48419.14</v>
      </c>
      <c r="J408" s="17">
        <f>IFERROR(H408/E408,0)</f>
        <v>0.54748467289719627</v>
      </c>
      <c r="K408" s="18" t="str">
        <f>IF(E408=0,"Sin Plan",IF(J408&gt;=1,"Completado",IF(J408&gt;0.001,"En Progreso","Pendiente de ejecutar")))</f>
        <v>En Progreso</v>
      </c>
      <c r="L408" s="6" t="s">
        <v>323</v>
      </c>
      <c r="M408" s="6" t="s">
        <v>320</v>
      </c>
    </row>
    <row r="409" spans="1:13" hidden="1" x14ac:dyDescent="0.35">
      <c r="A409" s="19" t="s">
        <v>113</v>
      </c>
      <c r="B409" s="11" t="s">
        <v>319</v>
      </c>
      <c r="C409" s="19" t="s">
        <v>83</v>
      </c>
      <c r="D409" s="19" t="s">
        <v>84</v>
      </c>
      <c r="E409" s="13">
        <v>150000</v>
      </c>
      <c r="F409" s="13">
        <v>369717.7</v>
      </c>
      <c r="G409" s="13"/>
      <c r="H409" s="40">
        <f>F409+G409</f>
        <v>369717.7</v>
      </c>
      <c r="I409" s="47">
        <f>E409-H409</f>
        <v>-219717.7</v>
      </c>
      <c r="J409" s="17">
        <f>IFERROR(H409/E409,0)</f>
        <v>2.4647846666666666</v>
      </c>
      <c r="K409" s="18" t="str">
        <f>IF(E409=0,"Sin Plan",IF(J409&gt;=1,"Completado",IF(J409&gt;0.001,"En Progreso","Pendiente de ejecutar")))</f>
        <v>Completado</v>
      </c>
      <c r="L409" s="6" t="s">
        <v>323</v>
      </c>
      <c r="M409" s="6" t="s">
        <v>320</v>
      </c>
    </row>
    <row r="410" spans="1:13" x14ac:dyDescent="0.35">
      <c r="A410" s="11" t="s">
        <v>229</v>
      </c>
      <c r="B410" s="11" t="s">
        <v>205</v>
      </c>
      <c r="C410" s="11" t="s">
        <v>202</v>
      </c>
      <c r="D410" s="11" t="s">
        <v>43</v>
      </c>
      <c r="E410" s="13">
        <v>0</v>
      </c>
      <c r="F410" s="36">
        <v>171706.75</v>
      </c>
      <c r="G410" s="100">
        <v>0</v>
      </c>
      <c r="H410" s="40">
        <f>F410+G410</f>
        <v>171706.75</v>
      </c>
      <c r="I410" s="47">
        <f>E410-H410</f>
        <v>-171706.75</v>
      </c>
      <c r="J410" s="17">
        <f>IFERROR(H410/E410,0)</f>
        <v>0</v>
      </c>
      <c r="K410" s="18" t="str">
        <f>IF(E410=0,"Sin Plan",IF(J410&gt;=1,"Completado",IF(J410&gt;0.001,"En Progreso","Pendiente de ejecutar")))</f>
        <v>Sin Plan</v>
      </c>
      <c r="L410" s="6" t="s">
        <v>323</v>
      </c>
      <c r="M410" s="6" t="s">
        <v>318</v>
      </c>
    </row>
    <row r="411" spans="1:13" hidden="1" x14ac:dyDescent="0.35">
      <c r="A411" s="20" t="s">
        <v>257</v>
      </c>
      <c r="B411" s="11" t="s">
        <v>205</v>
      </c>
      <c r="C411" s="20" t="s">
        <v>162</v>
      </c>
      <c r="D411" s="20" t="s">
        <v>163</v>
      </c>
      <c r="E411" s="14">
        <v>38000</v>
      </c>
      <c r="F411" s="14">
        <v>0</v>
      </c>
      <c r="G411" s="36">
        <v>39850</v>
      </c>
      <c r="H411" s="40">
        <f>F411+G411</f>
        <v>39850</v>
      </c>
      <c r="I411" s="47">
        <f>E411-H411</f>
        <v>-1850</v>
      </c>
      <c r="J411" s="17">
        <f>IFERROR(H411/E411,0)</f>
        <v>1.0486842105263159</v>
      </c>
      <c r="K411" s="18" t="str">
        <f>IF(E411=0,"Sin Plan",IF(J411&gt;=1,"Completado",IF(J411&gt;0.001,"En Progreso","Pendiente de ejecutar")))</f>
        <v>Completado</v>
      </c>
      <c r="L411" s="6" t="s">
        <v>323</v>
      </c>
      <c r="M411" s="6" t="s">
        <v>320</v>
      </c>
    </row>
    <row r="412" spans="1:13" s="2" customFormat="1" hidden="1" x14ac:dyDescent="0.35">
      <c r="A412" s="11" t="s">
        <v>207</v>
      </c>
      <c r="B412" s="11" t="s">
        <v>205</v>
      </c>
      <c r="C412" s="11" t="s">
        <v>137</v>
      </c>
      <c r="D412" s="11" t="s">
        <v>392</v>
      </c>
      <c r="E412" s="13">
        <v>37500</v>
      </c>
      <c r="F412" s="35">
        <f>149544.75*2</f>
        <v>299089.5</v>
      </c>
      <c r="G412" s="13"/>
      <c r="H412" s="40">
        <f>F412+G412</f>
        <v>299089.5</v>
      </c>
      <c r="I412" s="47">
        <f>E412-H412</f>
        <v>-261589.5</v>
      </c>
      <c r="J412" s="17">
        <f>IFERROR(H412/E412,0)</f>
        <v>7.9757199999999999</v>
      </c>
      <c r="K412" s="18" t="str">
        <f>IF(E412=0,"Sin Plan",IF(J412&gt;=1,"Completado",IF(J412&gt;0.001,"En Progreso","Pendiente de ejecutar")))</f>
        <v>Completado</v>
      </c>
      <c r="L412" s="6" t="s">
        <v>323</v>
      </c>
      <c r="M412" s="6" t="s">
        <v>320</v>
      </c>
    </row>
    <row r="413" spans="1:13" hidden="1" x14ac:dyDescent="0.35">
      <c r="A413" s="11" t="s">
        <v>113</v>
      </c>
      <c r="B413" s="11" t="s">
        <v>319</v>
      </c>
      <c r="C413" s="11" t="s">
        <v>47</v>
      </c>
      <c r="D413" s="11" t="s">
        <v>48</v>
      </c>
      <c r="E413" s="13">
        <v>132300</v>
      </c>
      <c r="F413" s="13">
        <v>136751.45000000001</v>
      </c>
      <c r="G413" s="13"/>
      <c r="H413" s="40">
        <f>F413+G413</f>
        <v>136751.45000000001</v>
      </c>
      <c r="I413" s="47">
        <f>E413-H413</f>
        <v>-4451.4500000000116</v>
      </c>
      <c r="J413" s="17">
        <f>IFERROR(H413/E413,0)</f>
        <v>1.0336466364323509</v>
      </c>
      <c r="K413" s="18" t="str">
        <f>IF(E413=0,"Sin Plan",IF(J413&gt;=1,"Completado",IF(J413&gt;0.001,"En Progreso","Pendiente de ejecutar")))</f>
        <v>Completado</v>
      </c>
      <c r="L413" s="6" t="s">
        <v>323</v>
      </c>
      <c r="M413" s="6" t="s">
        <v>320</v>
      </c>
    </row>
    <row r="414" spans="1:13" hidden="1" x14ac:dyDescent="0.35">
      <c r="A414" s="19" t="s">
        <v>201</v>
      </c>
      <c r="B414" s="11" t="s">
        <v>205</v>
      </c>
      <c r="C414" s="19"/>
      <c r="D414" s="19" t="s">
        <v>75</v>
      </c>
      <c r="E414" s="35">
        <v>30000</v>
      </c>
      <c r="F414" s="13"/>
      <c r="G414" s="13"/>
      <c r="H414" s="40">
        <f>F414+G414</f>
        <v>0</v>
      </c>
      <c r="I414" s="47">
        <f>E414-H414</f>
        <v>30000</v>
      </c>
      <c r="J414" s="17">
        <f>IFERROR(H414/E414,0)</f>
        <v>0</v>
      </c>
      <c r="K414" s="18" t="str">
        <f>IF(E414=0,"Sin Plan",IF(J414&gt;=1,"Completado",IF(J414&gt;0.001,"En Progreso","Pendiente de ejecutar")))</f>
        <v>Pendiente de ejecutar</v>
      </c>
      <c r="L414" s="6" t="s">
        <v>323</v>
      </c>
      <c r="M414" s="6"/>
    </row>
    <row r="415" spans="1:13" hidden="1" x14ac:dyDescent="0.35">
      <c r="A415" s="19" t="s">
        <v>113</v>
      </c>
      <c r="B415" s="11" t="s">
        <v>319</v>
      </c>
      <c r="C415" s="19" t="s">
        <v>92</v>
      </c>
      <c r="D415" s="19" t="s">
        <v>93</v>
      </c>
      <c r="E415" s="13">
        <v>0</v>
      </c>
      <c r="F415" s="13"/>
      <c r="G415" s="13"/>
      <c r="H415" s="40">
        <f>F415+G415</f>
        <v>0</v>
      </c>
      <c r="I415" s="47">
        <f>E415-H415</f>
        <v>0</v>
      </c>
      <c r="J415" s="17">
        <f>IFERROR(H415/E415,0)</f>
        <v>0</v>
      </c>
      <c r="K415" s="18" t="str">
        <f>IF(E415=0,"Sin Plan",IF(J415&gt;=1,"Completado",IF(J415&gt;0.001,"En Progreso","Pendiente de ejecutar")))</f>
        <v>Sin Plan</v>
      </c>
      <c r="L415" s="6" t="s">
        <v>323</v>
      </c>
      <c r="M415" s="6" t="s">
        <v>318</v>
      </c>
    </row>
    <row r="416" spans="1:13" hidden="1" x14ac:dyDescent="0.35">
      <c r="A416" s="29" t="s">
        <v>222</v>
      </c>
      <c r="B416" s="29"/>
      <c r="C416" s="29"/>
      <c r="D416" s="22" t="s">
        <v>325</v>
      </c>
      <c r="E416" s="14">
        <v>-388395.53</v>
      </c>
      <c r="F416" s="14"/>
      <c r="G416" s="14"/>
      <c r="H416" s="40">
        <f>F416+G416</f>
        <v>0</v>
      </c>
      <c r="I416" s="47">
        <f>E416-H416</f>
        <v>-388395.53</v>
      </c>
      <c r="J416" s="17"/>
      <c r="K416" s="18"/>
      <c r="L416" s="6" t="s">
        <v>323</v>
      </c>
      <c r="M416" s="6"/>
    </row>
    <row r="417" spans="1:13" hidden="1" x14ac:dyDescent="0.35">
      <c r="A417" s="11" t="s">
        <v>201</v>
      </c>
      <c r="B417" s="11" t="s">
        <v>205</v>
      </c>
      <c r="C417" s="11" t="s">
        <v>53</v>
      </c>
      <c r="D417" s="11" t="s">
        <v>54</v>
      </c>
      <c r="E417" s="13">
        <v>26000</v>
      </c>
      <c r="F417" s="13">
        <v>25662.27</v>
      </c>
      <c r="G417" s="13">
        <v>0</v>
      </c>
      <c r="H417" s="40">
        <f>F417+G417</f>
        <v>25662.27</v>
      </c>
      <c r="I417" s="47">
        <f>E417-H417</f>
        <v>337.72999999999956</v>
      </c>
      <c r="J417" s="17">
        <f>IFERROR(H417/E417,0)</f>
        <v>0.9870103846153846</v>
      </c>
      <c r="K417" s="18" t="str">
        <f>IF(E417=0,"Sin Plan",IF(J417&gt;=1,"Completado",IF(J417&gt;0.001,"En Progreso","Pendiente de ejecutar")))</f>
        <v>En Progreso</v>
      </c>
      <c r="L417" s="6" t="s">
        <v>323</v>
      </c>
      <c r="M417" s="6" t="s">
        <v>320</v>
      </c>
    </row>
    <row r="418" spans="1:13" hidden="1" x14ac:dyDescent="0.35">
      <c r="A418" s="20" t="s">
        <v>292</v>
      </c>
      <c r="B418" s="11" t="s">
        <v>205</v>
      </c>
      <c r="C418" s="20" t="s">
        <v>135</v>
      </c>
      <c r="D418" s="20" t="s">
        <v>136</v>
      </c>
      <c r="E418" s="14">
        <v>25000</v>
      </c>
      <c r="F418" s="14">
        <v>0</v>
      </c>
      <c r="G418" s="14">
        <v>0</v>
      </c>
      <c r="H418" s="40">
        <f>F418+G418</f>
        <v>0</v>
      </c>
      <c r="I418" s="47">
        <f>E418-H418</f>
        <v>25000</v>
      </c>
      <c r="J418" s="17">
        <f>IFERROR(H418/E418,0)</f>
        <v>0</v>
      </c>
      <c r="K418" s="18" t="str">
        <f>IF(E418=0,"Sin Plan",IF(J418&gt;=1,"Completado",IF(J418&gt;0.001,"En Progreso","Pendiente de ejecutar")))</f>
        <v>Pendiente de ejecutar</v>
      </c>
      <c r="L418" s="6" t="s">
        <v>323</v>
      </c>
      <c r="M418" s="6" t="s">
        <v>320</v>
      </c>
    </row>
    <row r="419" spans="1:13" hidden="1" x14ac:dyDescent="0.35">
      <c r="A419" s="11" t="s">
        <v>298</v>
      </c>
      <c r="B419" s="11" t="s">
        <v>205</v>
      </c>
      <c r="C419" s="11" t="s">
        <v>135</v>
      </c>
      <c r="D419" s="11" t="s">
        <v>136</v>
      </c>
      <c r="E419" s="13">
        <v>25000</v>
      </c>
      <c r="F419" s="13">
        <v>0</v>
      </c>
      <c r="G419" s="13">
        <v>0</v>
      </c>
      <c r="H419" s="40">
        <f>F419+G419</f>
        <v>0</v>
      </c>
      <c r="I419" s="47">
        <f>E419-H419</f>
        <v>25000</v>
      </c>
      <c r="J419" s="17">
        <f>IFERROR(H419/E419,0)</f>
        <v>0</v>
      </c>
      <c r="K419" s="18" t="str">
        <f>IF(E419=0,"Sin Plan",IF(J419&gt;=1,"Completado",IF(J419&gt;0.001,"En Progreso","Pendiente de ejecutar")))</f>
        <v>Pendiente de ejecutar</v>
      </c>
      <c r="L419" s="6" t="s">
        <v>323</v>
      </c>
      <c r="M419" s="6" t="s">
        <v>320</v>
      </c>
    </row>
    <row r="420" spans="1:13" hidden="1" x14ac:dyDescent="0.35">
      <c r="A420" s="19" t="s">
        <v>168</v>
      </c>
      <c r="B420" s="11" t="s">
        <v>205</v>
      </c>
      <c r="C420" s="19" t="s">
        <v>135</v>
      </c>
      <c r="D420" s="19" t="s">
        <v>136</v>
      </c>
      <c r="E420" s="13">
        <v>20000</v>
      </c>
      <c r="F420" s="13"/>
      <c r="G420" s="35">
        <v>255337.83</v>
      </c>
      <c r="H420" s="40">
        <f>F420+G420</f>
        <v>255337.83</v>
      </c>
      <c r="I420" s="47">
        <f>E420-H420</f>
        <v>-235337.83</v>
      </c>
      <c r="J420" s="17">
        <f>IFERROR(H420/E420,0)</f>
        <v>12.7668915</v>
      </c>
      <c r="K420" s="18" t="str">
        <f>IF(E420=0,"Sin Plan",IF(J420&gt;=1,"Completado",IF(J420&gt;0.001,"En Progreso","Pendiente de ejecutar")))</f>
        <v>Completado</v>
      </c>
      <c r="L420" s="6" t="s">
        <v>323</v>
      </c>
      <c r="M420" s="6" t="s">
        <v>320</v>
      </c>
    </row>
    <row r="421" spans="1:13" hidden="1" x14ac:dyDescent="0.35">
      <c r="A421" s="20" t="s">
        <v>207</v>
      </c>
      <c r="B421" s="11" t="s">
        <v>205</v>
      </c>
      <c r="C421" s="20" t="s">
        <v>135</v>
      </c>
      <c r="D421" s="20" t="s">
        <v>136</v>
      </c>
      <c r="E421" s="14">
        <v>20000</v>
      </c>
      <c r="F421" s="14">
        <v>0</v>
      </c>
      <c r="G421" s="14">
        <v>0</v>
      </c>
      <c r="H421" s="40">
        <f>F421+G421</f>
        <v>0</v>
      </c>
      <c r="I421" s="47">
        <f>E421-H421</f>
        <v>20000</v>
      </c>
      <c r="J421" s="17">
        <f>IFERROR(H421/E421,0)</f>
        <v>0</v>
      </c>
      <c r="K421" s="18" t="str">
        <f>IF(E421=0,"Sin Plan",IF(J421&gt;=1,"Completado",IF(J421&gt;0.001,"En Progreso","Pendiente de ejecutar")))</f>
        <v>Pendiente de ejecutar</v>
      </c>
      <c r="L421" s="6" t="s">
        <v>323</v>
      </c>
      <c r="M421" s="6" t="s">
        <v>320</v>
      </c>
    </row>
    <row r="422" spans="1:13" hidden="1" x14ac:dyDescent="0.35">
      <c r="A422" s="11" t="s">
        <v>226</v>
      </c>
      <c r="B422" s="11" t="s">
        <v>205</v>
      </c>
      <c r="C422" s="11" t="s">
        <v>135</v>
      </c>
      <c r="D422" s="11" t="s">
        <v>136</v>
      </c>
      <c r="E422" s="13">
        <v>20000</v>
      </c>
      <c r="F422" s="13">
        <v>0</v>
      </c>
      <c r="G422" s="13">
        <v>0</v>
      </c>
      <c r="H422" s="40">
        <f>F422+G422</f>
        <v>0</v>
      </c>
      <c r="I422" s="47">
        <f>E422-H422</f>
        <v>20000</v>
      </c>
      <c r="J422" s="17">
        <f>IFERROR(H422/E422,0)</f>
        <v>0</v>
      </c>
      <c r="K422" s="18" t="str">
        <f>IF(E422=0,"Sin Plan",IF(J422&gt;=1,"Completado",IF(J422&gt;0.001,"En Progreso","Pendiente de ejecutar")))</f>
        <v>Pendiente de ejecutar</v>
      </c>
      <c r="L422" s="6" t="s">
        <v>323</v>
      </c>
      <c r="M422" s="6" t="s">
        <v>320</v>
      </c>
    </row>
    <row r="423" spans="1:13" hidden="1" x14ac:dyDescent="0.35">
      <c r="A423" s="11" t="s">
        <v>210</v>
      </c>
      <c r="B423" s="11" t="s">
        <v>205</v>
      </c>
      <c r="C423" s="11" t="s">
        <v>135</v>
      </c>
      <c r="D423" s="11" t="s">
        <v>136</v>
      </c>
      <c r="E423" s="13">
        <v>17500</v>
      </c>
      <c r="F423" s="13">
        <v>0</v>
      </c>
      <c r="G423" s="13">
        <v>0</v>
      </c>
      <c r="H423" s="40">
        <f>F423+G423</f>
        <v>0</v>
      </c>
      <c r="I423" s="47">
        <f>E423-H423</f>
        <v>17500</v>
      </c>
      <c r="J423" s="17">
        <f>IFERROR(H423/E423,0)</f>
        <v>0</v>
      </c>
      <c r="K423" s="18" t="str">
        <f>IF(E423=0,"Sin Plan",IF(J423&gt;=1,"Completado",IF(J423&gt;0.001,"En Progreso","Pendiente de ejecutar")))</f>
        <v>Pendiente de ejecutar</v>
      </c>
      <c r="L423" s="6" t="s">
        <v>323</v>
      </c>
      <c r="M423" s="6" t="s">
        <v>320</v>
      </c>
    </row>
    <row r="424" spans="1:13" hidden="1" x14ac:dyDescent="0.35">
      <c r="A424" s="19" t="s">
        <v>222</v>
      </c>
      <c r="B424" s="11" t="s">
        <v>205</v>
      </c>
      <c r="C424" s="19" t="s">
        <v>135</v>
      </c>
      <c r="D424" s="19" t="s">
        <v>136</v>
      </c>
      <c r="E424" s="13">
        <v>17500</v>
      </c>
      <c r="F424" s="13">
        <v>0</v>
      </c>
      <c r="G424" s="13">
        <v>0</v>
      </c>
      <c r="H424" s="40">
        <f>F424+G424</f>
        <v>0</v>
      </c>
      <c r="I424" s="47">
        <f>E424-H424</f>
        <v>17500</v>
      </c>
      <c r="J424" s="17">
        <f>IFERROR(H424/E424,0)</f>
        <v>0</v>
      </c>
      <c r="K424" s="18" t="str">
        <f>IF(E424=0,"Sin Plan",IF(J424&gt;=1,"Completado",IF(J424&gt;0.001,"En Progreso","Pendiente de ejecutar")))</f>
        <v>Pendiente de ejecutar</v>
      </c>
      <c r="L424" s="6" t="s">
        <v>323</v>
      </c>
      <c r="M424" s="6" t="s">
        <v>320</v>
      </c>
    </row>
    <row r="425" spans="1:13" hidden="1" x14ac:dyDescent="0.35">
      <c r="A425" s="11" t="s">
        <v>239</v>
      </c>
      <c r="B425" s="11" t="s">
        <v>205</v>
      </c>
      <c r="C425" s="11" t="s">
        <v>135</v>
      </c>
      <c r="D425" s="11" t="s">
        <v>136</v>
      </c>
      <c r="E425" s="14">
        <v>17500</v>
      </c>
      <c r="F425" s="14">
        <v>0</v>
      </c>
      <c r="G425" s="14">
        <v>0</v>
      </c>
      <c r="H425" s="40">
        <f>F425+G425</f>
        <v>0</v>
      </c>
      <c r="I425" s="47">
        <f>E425-H425</f>
        <v>17500</v>
      </c>
      <c r="J425" s="17">
        <f>IFERROR(H425/E425,0)</f>
        <v>0</v>
      </c>
      <c r="K425" s="18" t="str">
        <f>IF(E425=0,"Sin Plan",IF(J425&gt;=1,"Completado",IF(J425&gt;0.001,"En Progreso","Pendiente de ejecutar")))</f>
        <v>Pendiente de ejecutar</v>
      </c>
      <c r="L425" s="6" t="s">
        <v>323</v>
      </c>
      <c r="M425" s="6" t="s">
        <v>320</v>
      </c>
    </row>
    <row r="426" spans="1:13" hidden="1" x14ac:dyDescent="0.35">
      <c r="A426" s="28" t="s">
        <v>248</v>
      </c>
      <c r="B426" s="11" t="s">
        <v>205</v>
      </c>
      <c r="C426" s="29" t="s">
        <v>135</v>
      </c>
      <c r="D426" s="29" t="s">
        <v>136</v>
      </c>
      <c r="E426" s="25">
        <v>17500</v>
      </c>
      <c r="F426" s="25">
        <v>0</v>
      </c>
      <c r="G426" s="25">
        <v>0</v>
      </c>
      <c r="H426" s="40">
        <f>F426+G426</f>
        <v>0</v>
      </c>
      <c r="I426" s="47">
        <f>E426-H426</f>
        <v>17500</v>
      </c>
      <c r="J426" s="17">
        <f>IFERROR(H426/E426,0)</f>
        <v>0</v>
      </c>
      <c r="K426" s="18" t="str">
        <f>IF(E426=0,"Sin Plan",IF(J426&gt;=1,"Completado",IF(J426&gt;0.001,"En Progreso","Pendiente de ejecutar")))</f>
        <v>Pendiente de ejecutar</v>
      </c>
      <c r="L426" s="6" t="s">
        <v>323</v>
      </c>
      <c r="M426" s="6" t="s">
        <v>320</v>
      </c>
    </row>
    <row r="427" spans="1:13" hidden="1" x14ac:dyDescent="0.35">
      <c r="A427" s="11" t="s">
        <v>253</v>
      </c>
      <c r="B427" s="11" t="s">
        <v>205</v>
      </c>
      <c r="C427" s="11" t="s">
        <v>135</v>
      </c>
      <c r="D427" s="11" t="s">
        <v>136</v>
      </c>
      <c r="E427" s="13">
        <v>17500</v>
      </c>
      <c r="F427" s="13">
        <v>0</v>
      </c>
      <c r="G427" s="13">
        <v>0</v>
      </c>
      <c r="H427" s="40">
        <f>F427+G427</f>
        <v>0</v>
      </c>
      <c r="I427" s="47">
        <f>E427-H427</f>
        <v>17500</v>
      </c>
      <c r="J427" s="17">
        <f>IFERROR(H427/E427,0)</f>
        <v>0</v>
      </c>
      <c r="K427" s="18" t="str">
        <f>IF(E427=0,"Sin Plan",IF(J427&gt;=1,"Completado",IF(J427&gt;0.001,"En Progreso","Pendiente de ejecutar")))</f>
        <v>Pendiente de ejecutar</v>
      </c>
      <c r="L427" s="6" t="s">
        <v>323</v>
      </c>
      <c r="M427" s="6" t="s">
        <v>320</v>
      </c>
    </row>
    <row r="428" spans="1:13" s="2" customFormat="1" hidden="1" x14ac:dyDescent="0.35">
      <c r="A428" s="20" t="s">
        <v>281</v>
      </c>
      <c r="B428" s="11" t="s">
        <v>205</v>
      </c>
      <c r="C428" s="20" t="s">
        <v>135</v>
      </c>
      <c r="D428" s="20" t="s">
        <v>136</v>
      </c>
      <c r="E428" s="14">
        <v>17500</v>
      </c>
      <c r="F428" s="14">
        <v>0</v>
      </c>
      <c r="G428" s="14">
        <v>0</v>
      </c>
      <c r="H428" s="40">
        <f>F428+G428</f>
        <v>0</v>
      </c>
      <c r="I428" s="47">
        <f>E428-H428</f>
        <v>17500</v>
      </c>
      <c r="J428" s="17">
        <f>IFERROR(H428/E428,0)</f>
        <v>0</v>
      </c>
      <c r="K428" s="18" t="str">
        <f>IF(E428=0,"Sin Plan",IF(J428&gt;=1,"Completado",IF(J428&gt;0.001,"En Progreso","Pendiente de ejecutar")))</f>
        <v>Pendiente de ejecutar</v>
      </c>
      <c r="L428" s="6" t="s">
        <v>323</v>
      </c>
      <c r="M428" s="6" t="s">
        <v>320</v>
      </c>
    </row>
    <row r="429" spans="1:13" hidden="1" x14ac:dyDescent="0.35">
      <c r="A429" s="11" t="s">
        <v>296</v>
      </c>
      <c r="B429" s="11" t="s">
        <v>205</v>
      </c>
      <c r="C429" s="11" t="s">
        <v>135</v>
      </c>
      <c r="D429" s="11" t="s">
        <v>136</v>
      </c>
      <c r="E429" s="14">
        <v>17500</v>
      </c>
      <c r="F429" s="14">
        <v>0</v>
      </c>
      <c r="G429" s="14">
        <v>0</v>
      </c>
      <c r="H429" s="40">
        <f>F429+G429</f>
        <v>0</v>
      </c>
      <c r="I429" s="47">
        <f>E429-H429</f>
        <v>17500</v>
      </c>
      <c r="J429" s="17">
        <f>IFERROR(H429/E429,0)</f>
        <v>0</v>
      </c>
      <c r="K429" s="18" t="str">
        <f>IF(E429=0,"Sin Plan",IF(J429&gt;=1,"Completado",IF(J429&gt;0.001,"En Progreso","Pendiente de ejecutar")))</f>
        <v>Pendiente de ejecutar</v>
      </c>
      <c r="L429" s="6" t="s">
        <v>323</v>
      </c>
      <c r="M429" s="6" t="s">
        <v>320</v>
      </c>
    </row>
    <row r="430" spans="1:13" hidden="1" x14ac:dyDescent="0.35">
      <c r="A430" s="19" t="s">
        <v>241</v>
      </c>
      <c r="B430" s="11" t="s">
        <v>205</v>
      </c>
      <c r="C430" s="19" t="s">
        <v>164</v>
      </c>
      <c r="D430" s="19" t="s">
        <v>165</v>
      </c>
      <c r="E430" s="13">
        <v>17400</v>
      </c>
      <c r="F430" s="13">
        <v>0</v>
      </c>
      <c r="G430" s="13">
        <v>0</v>
      </c>
      <c r="H430" s="40">
        <f>F430+G430</f>
        <v>0</v>
      </c>
      <c r="I430" s="47">
        <f>E430-H430</f>
        <v>17400</v>
      </c>
      <c r="J430" s="17">
        <f>IFERROR(H430/E430,0)</f>
        <v>0</v>
      </c>
      <c r="K430" s="18" t="str">
        <f>IF(E430=0,"Sin Plan",IF(J430&gt;=1,"Completado",IF(J430&gt;0.001,"En Progreso","Pendiente de ejecutar")))</f>
        <v>Pendiente de ejecutar</v>
      </c>
      <c r="L430" s="6" t="s">
        <v>323</v>
      </c>
      <c r="M430" s="6" t="s">
        <v>320</v>
      </c>
    </row>
    <row r="431" spans="1:13" hidden="1" x14ac:dyDescent="0.35">
      <c r="A431" s="11" t="s">
        <v>207</v>
      </c>
      <c r="B431" s="11" t="s">
        <v>205</v>
      </c>
      <c r="C431" s="11" t="s">
        <v>96</v>
      </c>
      <c r="D431" s="11" t="s">
        <v>97</v>
      </c>
      <c r="E431" s="14">
        <v>12000</v>
      </c>
      <c r="F431" s="14">
        <v>0</v>
      </c>
      <c r="G431" s="14">
        <v>0</v>
      </c>
      <c r="H431" s="40">
        <f>F431+G431</f>
        <v>0</v>
      </c>
      <c r="I431" s="47">
        <f>E431-H431</f>
        <v>12000</v>
      </c>
      <c r="J431" s="17">
        <f>IFERROR(H431/E431,0)</f>
        <v>0</v>
      </c>
      <c r="K431" s="18" t="str">
        <f>IF(E431=0,"Sin Plan",IF(J431&gt;=1,"Completado",IF(J431&gt;0.001,"En Progreso","Pendiente de ejecutar")))</f>
        <v>Pendiente de ejecutar</v>
      </c>
      <c r="L431" s="6" t="s">
        <v>323</v>
      </c>
      <c r="M431" s="6" t="s">
        <v>320</v>
      </c>
    </row>
    <row r="432" spans="1:13" hidden="1" x14ac:dyDescent="0.35">
      <c r="A432" s="19" t="s">
        <v>209</v>
      </c>
      <c r="B432" s="11" t="s">
        <v>205</v>
      </c>
      <c r="C432" s="19" t="s">
        <v>137</v>
      </c>
      <c r="D432" s="19" t="s">
        <v>138</v>
      </c>
      <c r="E432" s="13">
        <v>10000</v>
      </c>
      <c r="F432" s="13">
        <v>39878.6</v>
      </c>
      <c r="G432" s="13">
        <v>0</v>
      </c>
      <c r="H432" s="40">
        <f>F432+G432</f>
        <v>39878.6</v>
      </c>
      <c r="I432" s="47">
        <f>E432-H432</f>
        <v>-29878.6</v>
      </c>
      <c r="J432" s="17">
        <f>IFERROR(H432/E432,0)</f>
        <v>3.98786</v>
      </c>
      <c r="K432" s="18" t="str">
        <f>IF(E432=0,"Sin Plan",IF(J432&gt;=1,"Completado",IF(J432&gt;0.001,"En Progreso","Pendiente de ejecutar")))</f>
        <v>Completado</v>
      </c>
      <c r="L432" s="6" t="s">
        <v>323</v>
      </c>
      <c r="M432" s="6" t="s">
        <v>320</v>
      </c>
    </row>
    <row r="433" spans="1:13" x14ac:dyDescent="0.35">
      <c r="A433" s="11" t="s">
        <v>229</v>
      </c>
      <c r="B433" s="11" t="s">
        <v>205</v>
      </c>
      <c r="C433" s="11" t="s">
        <v>170</v>
      </c>
      <c r="D433" s="11" t="s">
        <v>171</v>
      </c>
      <c r="E433" s="14">
        <v>0</v>
      </c>
      <c r="F433" s="36">
        <v>506600</v>
      </c>
      <c r="G433" s="100"/>
      <c r="H433" s="40">
        <f>F433+G433</f>
        <v>506600</v>
      </c>
      <c r="I433" s="47">
        <f>E433-H433</f>
        <v>-506600</v>
      </c>
      <c r="J433" s="17">
        <f>IFERROR(H433/E433,0)</f>
        <v>0</v>
      </c>
      <c r="K433" s="18" t="str">
        <f>IF(E433=0,"Sin Plan",IF(J433&gt;=1,"Completado",IF(J433&gt;0.001,"En Progreso","Pendiente de ejecutar")))</f>
        <v>Sin Plan</v>
      </c>
      <c r="L433" s="6" t="s">
        <v>323</v>
      </c>
      <c r="M433" s="6" t="s">
        <v>318</v>
      </c>
    </row>
    <row r="434" spans="1:13" hidden="1" x14ac:dyDescent="0.35">
      <c r="A434" s="20" t="s">
        <v>115</v>
      </c>
      <c r="B434" s="11" t="s">
        <v>319</v>
      </c>
      <c r="C434" s="20" t="s">
        <v>47</v>
      </c>
      <c r="D434" s="20" t="s">
        <v>48</v>
      </c>
      <c r="E434" s="14">
        <v>132300</v>
      </c>
      <c r="F434" s="14">
        <v>136751.45000000001</v>
      </c>
      <c r="G434" s="14">
        <v>0</v>
      </c>
      <c r="H434" s="40">
        <f>F434+G434</f>
        <v>136751.45000000001</v>
      </c>
      <c r="I434" s="47">
        <f>E434-H434</f>
        <v>-4451.4500000000116</v>
      </c>
      <c r="J434" s="17">
        <f>IFERROR(H434/E434,0)</f>
        <v>1.0336466364323509</v>
      </c>
      <c r="K434" s="18" t="str">
        <f>IF(E434=0,"Sin Plan",IF(J434&gt;=1,"Completado",IF(J434&gt;0.001,"En Progreso","Pendiente de ejecutar")))</f>
        <v>Completado</v>
      </c>
      <c r="L434" s="6" t="s">
        <v>323</v>
      </c>
      <c r="M434" s="6" t="s">
        <v>320</v>
      </c>
    </row>
    <row r="435" spans="1:13" s="2" customFormat="1" hidden="1" x14ac:dyDescent="0.35">
      <c r="A435" s="11" t="s">
        <v>116</v>
      </c>
      <c r="B435" s="11" t="s">
        <v>319</v>
      </c>
      <c r="C435" s="11" t="s">
        <v>47</v>
      </c>
      <c r="D435" s="11" t="s">
        <v>48</v>
      </c>
      <c r="E435" s="14">
        <v>132300</v>
      </c>
      <c r="F435" s="14">
        <v>159450.93</v>
      </c>
      <c r="G435" s="14">
        <v>246624.75</v>
      </c>
      <c r="H435" s="40">
        <f>F435+G435</f>
        <v>406075.68</v>
      </c>
      <c r="I435" s="47">
        <f>E435-H435</f>
        <v>-273775.68</v>
      </c>
      <c r="J435" s="17">
        <f>IFERROR(H435/E435,0)</f>
        <v>3.0693551020408161</v>
      </c>
      <c r="K435" s="18" t="str">
        <f>IF(E435=0,"Sin Plan",IF(J435&gt;=1,"Completado",IF(J435&gt;0.001,"En Progreso","Pendiente de ejecutar")))</f>
        <v>Completado</v>
      </c>
      <c r="L435" s="6" t="s">
        <v>323</v>
      </c>
      <c r="M435" s="6" t="s">
        <v>320</v>
      </c>
    </row>
    <row r="436" spans="1:13" hidden="1" x14ac:dyDescent="0.35">
      <c r="A436" s="11" t="s">
        <v>116</v>
      </c>
      <c r="B436" s="11" t="s">
        <v>319</v>
      </c>
      <c r="C436" s="11" t="s">
        <v>31</v>
      </c>
      <c r="D436" s="11" t="s">
        <v>32</v>
      </c>
      <c r="E436" s="14">
        <v>363000</v>
      </c>
      <c r="F436" s="14">
        <v>105550</v>
      </c>
      <c r="G436" s="14">
        <v>0</v>
      </c>
      <c r="H436" s="40">
        <f>F436+G436</f>
        <v>105550</v>
      </c>
      <c r="I436" s="47">
        <f>E436-H436</f>
        <v>257450</v>
      </c>
      <c r="J436" s="17">
        <f>IFERROR(H436/E436,0)</f>
        <v>0.29077134986225894</v>
      </c>
      <c r="K436" s="18" t="str">
        <f>IF(E436=0,"Sin Plan",IF(J436&gt;=1,"Completado",IF(J436&gt;0.001,"En Progreso","Pendiente de ejecutar")))</f>
        <v>En Progreso</v>
      </c>
      <c r="L436" s="6" t="s">
        <v>323</v>
      </c>
      <c r="M436" s="6" t="s">
        <v>320</v>
      </c>
    </row>
    <row r="437" spans="1:13" hidden="1" x14ac:dyDescent="0.35">
      <c r="A437" s="55" t="s">
        <v>52</v>
      </c>
      <c r="B437" s="11" t="s">
        <v>319</v>
      </c>
      <c r="C437" s="22"/>
      <c r="D437" s="22" t="s">
        <v>325</v>
      </c>
      <c r="E437" s="14">
        <v>-320000</v>
      </c>
      <c r="F437" s="14"/>
      <c r="G437" s="14"/>
      <c r="H437" s="40">
        <f>F437+G437</f>
        <v>0</v>
      </c>
      <c r="I437" s="47">
        <f>E437-H437</f>
        <v>-320000</v>
      </c>
      <c r="J437" s="17"/>
      <c r="K437" s="18"/>
      <c r="L437" s="6" t="s">
        <v>323</v>
      </c>
      <c r="M437" s="6"/>
    </row>
    <row r="438" spans="1:13" hidden="1" x14ac:dyDescent="0.35">
      <c r="A438" s="20" t="s">
        <v>113</v>
      </c>
      <c r="B438" s="11" t="s">
        <v>319</v>
      </c>
      <c r="C438" s="22"/>
      <c r="D438" s="23" t="s">
        <v>114</v>
      </c>
      <c r="E438" s="14"/>
      <c r="F438" s="15">
        <v>205095.97</v>
      </c>
      <c r="G438" s="14"/>
      <c r="H438" s="40">
        <f>F438+G438</f>
        <v>205095.97</v>
      </c>
      <c r="I438" s="47">
        <f>E438-H438</f>
        <v>-205095.97</v>
      </c>
      <c r="J438" s="17">
        <f>IFERROR(H438/E438,0)</f>
        <v>0</v>
      </c>
      <c r="K438" s="18" t="str">
        <f>IF(E438=0,"Sin Plan",IF(J438&gt;=1,"Completado",IF(J438&gt;0.001,"En Progreso","Pendiente de ejecutar")))</f>
        <v>Sin Plan</v>
      </c>
      <c r="L438" s="6" t="s">
        <v>321</v>
      </c>
      <c r="M438" s="6" t="s">
        <v>318</v>
      </c>
    </row>
    <row r="439" spans="1:13" hidden="1" x14ac:dyDescent="0.35">
      <c r="A439" s="11" t="s">
        <v>98</v>
      </c>
      <c r="B439" s="11" t="s">
        <v>319</v>
      </c>
      <c r="C439" s="22"/>
      <c r="D439" s="23" t="s">
        <v>103</v>
      </c>
      <c r="E439" s="14"/>
      <c r="F439" s="15">
        <v>14789.9</v>
      </c>
      <c r="G439" s="25"/>
      <c r="H439" s="40">
        <f>F439+G439</f>
        <v>14789.9</v>
      </c>
      <c r="I439" s="47">
        <f>E439-H439</f>
        <v>-14789.9</v>
      </c>
      <c r="J439" s="17">
        <f>IFERROR(H439/E439,0)</f>
        <v>0</v>
      </c>
      <c r="K439" s="18" t="str">
        <f>IF(E439=0,"Sin Plan",IF(J439&gt;=1,"Completado",IF(J439&gt;0.001,"En Progreso","Pendiente de ejecutar")))</f>
        <v>Sin Plan</v>
      </c>
      <c r="L439" s="6" t="s">
        <v>321</v>
      </c>
      <c r="M439" s="6" t="s">
        <v>318</v>
      </c>
    </row>
    <row r="440" spans="1:13" hidden="1" x14ac:dyDescent="0.35">
      <c r="A440" s="29" t="s">
        <v>57</v>
      </c>
      <c r="B440" s="29" t="s">
        <v>319</v>
      </c>
      <c r="C440" s="11" t="s">
        <v>58</v>
      </c>
      <c r="D440" s="29" t="s">
        <v>59</v>
      </c>
      <c r="E440" s="41">
        <v>1100000</v>
      </c>
      <c r="F440" s="41">
        <v>0</v>
      </c>
      <c r="G440" s="41">
        <v>0</v>
      </c>
      <c r="H440" s="40">
        <f>F440+G440</f>
        <v>0</v>
      </c>
      <c r="I440" s="47">
        <f>E440-H440</f>
        <v>1100000</v>
      </c>
      <c r="J440" s="17">
        <f>IFERROR(H440/E440,0)</f>
        <v>0</v>
      </c>
      <c r="K440" s="18" t="str">
        <f>IF(E440=0,"Sin Plan",IF(J440&gt;=1,"Completado",IF(J440&gt;0.001,"En Progreso","Pendiente de ejecutar")))</f>
        <v>Pendiente de ejecutar</v>
      </c>
      <c r="L440" s="70" t="s">
        <v>321</v>
      </c>
      <c r="M440" s="6" t="s">
        <v>320</v>
      </c>
    </row>
    <row r="441" spans="1:13" hidden="1" x14ac:dyDescent="0.35">
      <c r="A441" s="11" t="s">
        <v>62</v>
      </c>
      <c r="B441" s="11" t="s">
        <v>319</v>
      </c>
      <c r="C441" s="11" t="s">
        <v>63</v>
      </c>
      <c r="D441" s="11" t="s">
        <v>64</v>
      </c>
      <c r="E441" s="14">
        <v>2850000</v>
      </c>
      <c r="F441" s="14">
        <f>1290760+311637.46</f>
        <v>1602397.46</v>
      </c>
      <c r="G441" s="14"/>
      <c r="H441" s="40">
        <f>F441+G441</f>
        <v>1602397.46</v>
      </c>
      <c r="I441" s="47">
        <f>E441-H441</f>
        <v>1247602.54</v>
      </c>
      <c r="J441" s="17">
        <f>IFERROR(H441/E441,0)</f>
        <v>0.56224472280701754</v>
      </c>
      <c r="K441" s="18" t="str">
        <f>IF(E441=0,"Sin Plan",IF(J441&gt;=1,"Completado",IF(J441&gt;0.001,"En Progreso","Pendiente de ejecutar")))</f>
        <v>En Progreso</v>
      </c>
      <c r="L441" s="6" t="s">
        <v>321</v>
      </c>
      <c r="M441" s="6" t="s">
        <v>320</v>
      </c>
    </row>
    <row r="442" spans="1:13" hidden="1" x14ac:dyDescent="0.35">
      <c r="A442" s="11" t="s">
        <v>117</v>
      </c>
      <c r="B442" s="11" t="s">
        <v>319</v>
      </c>
      <c r="C442" s="11" t="s">
        <v>13</v>
      </c>
      <c r="D442" s="11" t="s">
        <v>14</v>
      </c>
      <c r="E442" s="13">
        <v>685000</v>
      </c>
      <c r="F442" s="13">
        <v>0</v>
      </c>
      <c r="G442" s="13">
        <v>754100</v>
      </c>
      <c r="H442" s="40">
        <f>F442+G442</f>
        <v>754100</v>
      </c>
      <c r="I442" s="47">
        <f>E442-H442</f>
        <v>-69100</v>
      </c>
      <c r="J442" s="17">
        <f>IFERROR(H442/E442,0)</f>
        <v>1.100875912408759</v>
      </c>
      <c r="K442" s="18" t="str">
        <f>IF(E442=0,"Sin Plan",IF(J442&gt;=1,"Completado",IF(J442&gt;0.001,"En Progreso","Pendiente de ejecutar")))</f>
        <v>Completado</v>
      </c>
      <c r="L442" s="6" t="s">
        <v>323</v>
      </c>
      <c r="M442" s="6" t="s">
        <v>320</v>
      </c>
    </row>
    <row r="443" spans="1:13" hidden="1" x14ac:dyDescent="0.35">
      <c r="A443" s="20" t="s">
        <v>117</v>
      </c>
      <c r="B443" s="11" t="s">
        <v>319</v>
      </c>
      <c r="C443" s="20" t="s">
        <v>47</v>
      </c>
      <c r="D443" s="20" t="s">
        <v>48</v>
      </c>
      <c r="E443" s="14">
        <v>126000</v>
      </c>
      <c r="F443" s="14">
        <v>0</v>
      </c>
      <c r="G443" s="14">
        <v>246624.75</v>
      </c>
      <c r="H443" s="40">
        <f>F443+G443</f>
        <v>246624.75</v>
      </c>
      <c r="I443" s="47">
        <f>E443-H443</f>
        <v>-120624.75</v>
      </c>
      <c r="J443" s="17">
        <f>IFERROR(H443/E443,0)</f>
        <v>1.9573392857142857</v>
      </c>
      <c r="K443" s="18" t="str">
        <f>IF(E443=0,"Sin Plan",IF(J443&gt;=1,"Completado",IF(J443&gt;0.001,"En Progreso","Pendiente de ejecutar")))</f>
        <v>Completado</v>
      </c>
      <c r="L443" s="6" t="s">
        <v>323</v>
      </c>
      <c r="M443" s="6" t="s">
        <v>320</v>
      </c>
    </row>
    <row r="444" spans="1:13" s="2" customFormat="1" hidden="1" x14ac:dyDescent="0.35">
      <c r="A444" s="29" t="s">
        <v>104</v>
      </c>
      <c r="B444" s="29" t="s">
        <v>319</v>
      </c>
      <c r="C444" s="29" t="s">
        <v>33</v>
      </c>
      <c r="D444" s="29" t="s">
        <v>34</v>
      </c>
      <c r="E444" s="40">
        <v>12564000</v>
      </c>
      <c r="F444" s="40">
        <v>333967.8</v>
      </c>
      <c r="G444" s="40">
        <v>0</v>
      </c>
      <c r="H444" s="40">
        <f>F444+G444</f>
        <v>333967.8</v>
      </c>
      <c r="I444" s="47">
        <f>E444-H444</f>
        <v>12230032.199999999</v>
      </c>
      <c r="J444" s="17">
        <f>IFERROR(H444/E444,0)</f>
        <v>2.6581327602674308E-2</v>
      </c>
      <c r="K444" s="18" t="str">
        <f>IF(E444=0,"Sin Plan",IF(J444&gt;=1,"Completado",IF(J444&gt;0.001,"En Progreso","Pendiente de ejecutar")))</f>
        <v>En Progreso</v>
      </c>
      <c r="L444" s="6" t="s">
        <v>321</v>
      </c>
      <c r="M444" s="6" t="s">
        <v>320</v>
      </c>
    </row>
    <row r="445" spans="1:13" hidden="1" x14ac:dyDescent="0.35">
      <c r="A445" s="48" t="s">
        <v>70</v>
      </c>
      <c r="B445" s="29" t="s">
        <v>319</v>
      </c>
      <c r="C445" s="48" t="s">
        <v>33</v>
      </c>
      <c r="D445" s="48" t="s">
        <v>34</v>
      </c>
      <c r="E445" s="41">
        <v>11914000</v>
      </c>
      <c r="F445" s="41">
        <v>275967.8</v>
      </c>
      <c r="G445" s="41">
        <v>0</v>
      </c>
      <c r="H445" s="40">
        <f>F445+G445</f>
        <v>275967.8</v>
      </c>
      <c r="I445" s="47">
        <f>E445-H445</f>
        <v>11638032.199999999</v>
      </c>
      <c r="J445" s="17">
        <f>IFERROR(H445/E445,0)</f>
        <v>2.3163320463320463E-2</v>
      </c>
      <c r="K445" s="18" t="str">
        <f>IF(E445=0,"Sin Plan",IF(J445&gt;=1,"Completado",IF(J445&gt;0.001,"En Progreso","Pendiente de ejecutar")))</f>
        <v>En Progreso</v>
      </c>
      <c r="L445" s="6" t="s">
        <v>321</v>
      </c>
      <c r="M445" s="6" t="s">
        <v>320</v>
      </c>
    </row>
    <row r="446" spans="1:13" hidden="1" x14ac:dyDescent="0.35">
      <c r="A446" s="29" t="s">
        <v>36</v>
      </c>
      <c r="B446" s="29" t="s">
        <v>319</v>
      </c>
      <c r="C446" s="29" t="s">
        <v>27</v>
      </c>
      <c r="D446" s="29" t="s">
        <v>34</v>
      </c>
      <c r="E446" s="41">
        <v>11452000</v>
      </c>
      <c r="F446" s="41">
        <v>0</v>
      </c>
      <c r="G446" s="41">
        <v>0</v>
      </c>
      <c r="H446" s="40">
        <f>F446+G446</f>
        <v>0</v>
      </c>
      <c r="I446" s="47">
        <f>E446-H446</f>
        <v>11452000</v>
      </c>
      <c r="J446" s="17">
        <f>IFERROR(H446/E446,0)</f>
        <v>0</v>
      </c>
      <c r="K446" s="18" t="str">
        <f>IF(E446=0,"Sin Plan",IF(J446&gt;=1,"Completado",IF(J446&gt;0.001,"En Progreso","Pendiente de ejecutar")))</f>
        <v>Pendiente de ejecutar</v>
      </c>
      <c r="L446" s="70" t="s">
        <v>321</v>
      </c>
      <c r="M446" s="6" t="s">
        <v>320</v>
      </c>
    </row>
    <row r="447" spans="1:13" hidden="1" x14ac:dyDescent="0.35">
      <c r="A447" s="48" t="s">
        <v>41</v>
      </c>
      <c r="B447" s="29" t="s">
        <v>319</v>
      </c>
      <c r="C447" s="48" t="s">
        <v>27</v>
      </c>
      <c r="D447" s="29" t="s">
        <v>34</v>
      </c>
      <c r="E447" s="41">
        <v>11452000</v>
      </c>
      <c r="F447" s="41">
        <v>0</v>
      </c>
      <c r="G447" s="41">
        <v>0</v>
      </c>
      <c r="H447" s="40">
        <f>F447+G447</f>
        <v>0</v>
      </c>
      <c r="I447" s="47">
        <f>E447-H447</f>
        <v>11452000</v>
      </c>
      <c r="J447" s="17">
        <f>IFERROR(H447/E447,0)</f>
        <v>0</v>
      </c>
      <c r="K447" s="18" t="str">
        <f>IF(E447=0,"Sin Plan",IF(J447&gt;=1,"Completado",IF(J447&gt;0.001,"En Progreso","Pendiente de ejecutar")))</f>
        <v>Pendiente de ejecutar</v>
      </c>
      <c r="L447" s="70" t="s">
        <v>321</v>
      </c>
      <c r="M447" s="6" t="s">
        <v>320</v>
      </c>
    </row>
    <row r="448" spans="1:13" hidden="1" x14ac:dyDescent="0.35">
      <c r="A448" s="29" t="s">
        <v>46</v>
      </c>
      <c r="B448" s="29" t="s">
        <v>319</v>
      </c>
      <c r="C448" s="29" t="s">
        <v>27</v>
      </c>
      <c r="D448" s="29" t="s">
        <v>34</v>
      </c>
      <c r="E448" s="41">
        <v>11452000</v>
      </c>
      <c r="F448" s="41">
        <v>0</v>
      </c>
      <c r="G448" s="41">
        <v>0</v>
      </c>
      <c r="H448" s="40">
        <f>F448+G448</f>
        <v>0</v>
      </c>
      <c r="I448" s="47">
        <f>E448-H448</f>
        <v>11452000</v>
      </c>
      <c r="J448" s="17">
        <f>IFERROR(H448/E448,0)</f>
        <v>0</v>
      </c>
      <c r="K448" s="18" t="str">
        <f>IF(E448=0,"Sin Plan",IF(J448&gt;=1,"Completado",IF(J448&gt;0.001,"En Progreso","Pendiente de ejecutar")))</f>
        <v>Pendiente de ejecutar</v>
      </c>
      <c r="L448" s="70" t="s">
        <v>321</v>
      </c>
      <c r="M448" s="6" t="s">
        <v>320</v>
      </c>
    </row>
    <row r="449" spans="1:13" hidden="1" x14ac:dyDescent="0.35">
      <c r="A449" s="49" t="s">
        <v>52</v>
      </c>
      <c r="B449" s="29" t="s">
        <v>319</v>
      </c>
      <c r="C449" s="49" t="s">
        <v>27</v>
      </c>
      <c r="D449" s="29" t="s">
        <v>34</v>
      </c>
      <c r="E449" s="40">
        <v>11452000</v>
      </c>
      <c r="F449" s="40">
        <v>0</v>
      </c>
      <c r="G449" s="40">
        <v>0</v>
      </c>
      <c r="H449" s="40">
        <f>F449+G449</f>
        <v>0</v>
      </c>
      <c r="I449" s="47">
        <f>E449-H449</f>
        <v>11452000</v>
      </c>
      <c r="J449" s="17">
        <f>IFERROR(H449/E449,0)</f>
        <v>0</v>
      </c>
      <c r="K449" s="18" t="str">
        <f>IF(E449=0,"Sin Plan",IF(J449&gt;=1,"Completado",IF(J449&gt;0.001,"En Progreso","Pendiente de ejecutar")))</f>
        <v>Pendiente de ejecutar</v>
      </c>
      <c r="L449" s="70" t="s">
        <v>321</v>
      </c>
      <c r="M449" s="6" t="s">
        <v>320</v>
      </c>
    </row>
    <row r="450" spans="1:13" hidden="1" x14ac:dyDescent="0.35">
      <c r="A450" s="29" t="s">
        <v>57</v>
      </c>
      <c r="B450" s="29" t="s">
        <v>319</v>
      </c>
      <c r="C450" s="29" t="s">
        <v>33</v>
      </c>
      <c r="D450" s="29" t="s">
        <v>34</v>
      </c>
      <c r="E450" s="40">
        <v>11452000</v>
      </c>
      <c r="F450" s="40">
        <v>0</v>
      </c>
      <c r="G450" s="40">
        <v>0</v>
      </c>
      <c r="H450" s="40">
        <f>F450+G450</f>
        <v>0</v>
      </c>
      <c r="I450" s="47">
        <f>E450-H450</f>
        <v>11452000</v>
      </c>
      <c r="J450" s="17">
        <f>IFERROR(H450/E450,0)</f>
        <v>0</v>
      </c>
      <c r="K450" s="18" t="str">
        <f>IF(E450=0,"Sin Plan",IF(J450&gt;=1,"Completado",IF(J450&gt;0.001,"En Progreso","Pendiente de ejecutar")))</f>
        <v>Pendiente de ejecutar</v>
      </c>
      <c r="L450" s="70" t="s">
        <v>321</v>
      </c>
      <c r="M450" s="6" t="s">
        <v>320</v>
      </c>
    </row>
    <row r="451" spans="1:13" hidden="1" x14ac:dyDescent="0.35">
      <c r="A451" s="54" t="s">
        <v>11</v>
      </c>
      <c r="B451" s="29" t="s">
        <v>319</v>
      </c>
      <c r="C451" s="48" t="s">
        <v>33</v>
      </c>
      <c r="D451" s="48" t="s">
        <v>34</v>
      </c>
      <c r="E451" s="41">
        <v>11382000</v>
      </c>
      <c r="F451" s="41">
        <v>0</v>
      </c>
      <c r="G451" s="36">
        <v>7558374.7000000002</v>
      </c>
      <c r="H451" s="40">
        <f>F451+G451</f>
        <v>7558374.7000000002</v>
      </c>
      <c r="I451" s="47">
        <f>E451-H451</f>
        <v>3823625.3</v>
      </c>
      <c r="J451" s="17">
        <f>IFERROR(H451/E451,0)</f>
        <v>0.66406384642417859</v>
      </c>
      <c r="K451" s="18" t="str">
        <f>IF(E451=0,"Sin Plan",IF(J451&gt;=1,"Completado",IF(J451&gt;0.001,"En Progreso","Pendiente de ejecutar")))</f>
        <v>En Progreso</v>
      </c>
      <c r="L451" s="6" t="s">
        <v>321</v>
      </c>
      <c r="M451" s="6" t="s">
        <v>321</v>
      </c>
    </row>
    <row r="452" spans="1:13" hidden="1" x14ac:dyDescent="0.35">
      <c r="A452" s="49" t="s">
        <v>35</v>
      </c>
      <c r="B452" s="29" t="s">
        <v>319</v>
      </c>
      <c r="C452" s="49" t="s">
        <v>27</v>
      </c>
      <c r="D452" s="48" t="s">
        <v>34</v>
      </c>
      <c r="E452" s="40">
        <v>11382000</v>
      </c>
      <c r="F452" s="40">
        <v>0</v>
      </c>
      <c r="G452" s="40">
        <v>0</v>
      </c>
      <c r="H452" s="40">
        <f>F452+G452</f>
        <v>0</v>
      </c>
      <c r="I452" s="47">
        <f>E452-H452</f>
        <v>11382000</v>
      </c>
      <c r="J452" s="17">
        <f>IFERROR(H452/E452,0)</f>
        <v>0</v>
      </c>
      <c r="K452" s="18" t="str">
        <f>IF(E452=0,"Sin Plan",IF(J452&gt;=1,"Completado",IF(J452&gt;0.001,"En Progreso","Pendiente de ejecutar")))</f>
        <v>Pendiente de ejecutar</v>
      </c>
      <c r="L452" s="70" t="s">
        <v>321</v>
      </c>
      <c r="M452" s="6" t="s">
        <v>320</v>
      </c>
    </row>
    <row r="453" spans="1:13" hidden="1" x14ac:dyDescent="0.35">
      <c r="A453" s="20" t="s">
        <v>35</v>
      </c>
      <c r="B453" s="11" t="s">
        <v>319</v>
      </c>
      <c r="C453" s="20" t="s">
        <v>33</v>
      </c>
      <c r="D453" s="20" t="s">
        <v>334</v>
      </c>
      <c r="E453" s="14">
        <v>462000</v>
      </c>
      <c r="F453" s="14">
        <v>275967.8</v>
      </c>
      <c r="G453" s="14">
        <v>0</v>
      </c>
      <c r="H453" s="40">
        <f>F453+G453</f>
        <v>275967.8</v>
      </c>
      <c r="I453" s="47">
        <f>E453-H453</f>
        <v>186032.2</v>
      </c>
      <c r="J453" s="17">
        <f>IFERROR(H453/E453,0)</f>
        <v>0.59733290043290044</v>
      </c>
      <c r="K453" s="18" t="str">
        <f>IF(E453=0,"Sin Plan",IF(J453&gt;=1,"Completado",IF(J453&gt;0.001,"En Progreso","Pendiente de ejecutar")))</f>
        <v>En Progreso</v>
      </c>
      <c r="L453" s="6" t="s">
        <v>321</v>
      </c>
      <c r="M453" s="6" t="s">
        <v>320</v>
      </c>
    </row>
    <row r="454" spans="1:13" hidden="1" x14ac:dyDescent="0.35">
      <c r="A454" s="11" t="s">
        <v>41</v>
      </c>
      <c r="B454" s="11" t="s">
        <v>319</v>
      </c>
      <c r="C454" s="11" t="s">
        <v>33</v>
      </c>
      <c r="D454" s="11" t="s">
        <v>334</v>
      </c>
      <c r="E454" s="13">
        <v>462000</v>
      </c>
      <c r="F454" s="13">
        <v>410352.12</v>
      </c>
      <c r="G454" s="13">
        <v>0</v>
      </c>
      <c r="H454" s="40">
        <f>F454+G454</f>
        <v>410352.12</v>
      </c>
      <c r="I454" s="47">
        <f>E454-H454</f>
        <v>51647.880000000005</v>
      </c>
      <c r="J454" s="17">
        <f>IFERROR(H454/E454,0)</f>
        <v>0.88820805194805197</v>
      </c>
      <c r="K454" s="18" t="str">
        <f>IF(E454=0,"Sin Plan",IF(J454&gt;=1,"Completado",IF(J454&gt;0.001,"En Progreso","Pendiente de ejecutar")))</f>
        <v>En Progreso</v>
      </c>
      <c r="L454" s="6" t="s">
        <v>321</v>
      </c>
      <c r="M454" s="6" t="s">
        <v>320</v>
      </c>
    </row>
    <row r="455" spans="1:13" hidden="1" x14ac:dyDescent="0.35">
      <c r="A455" s="19" t="s">
        <v>46</v>
      </c>
      <c r="B455" s="11" t="s">
        <v>319</v>
      </c>
      <c r="C455" s="19" t="s">
        <v>33</v>
      </c>
      <c r="D455" s="19" t="s">
        <v>34</v>
      </c>
      <c r="E455" s="13">
        <v>462000</v>
      </c>
      <c r="F455" s="13">
        <v>52000</v>
      </c>
      <c r="G455" s="13">
        <v>0</v>
      </c>
      <c r="H455" s="40">
        <f>F455+G455</f>
        <v>52000</v>
      </c>
      <c r="I455" s="47">
        <f>E455-H455</f>
        <v>410000</v>
      </c>
      <c r="J455" s="17">
        <f>IFERROR(H455/E455,0)</f>
        <v>0.11255411255411256</v>
      </c>
      <c r="K455" s="18" t="str">
        <f>IF(E455=0,"Sin Plan",IF(J455&gt;=1,"Completado",IF(J455&gt;0.001,"En Progreso","Pendiente de ejecutar")))</f>
        <v>En Progreso</v>
      </c>
      <c r="L455" s="6" t="s">
        <v>321</v>
      </c>
      <c r="M455" s="6" t="s">
        <v>320</v>
      </c>
    </row>
    <row r="456" spans="1:13" hidden="1" x14ac:dyDescent="0.35">
      <c r="A456" s="11" t="s">
        <v>74</v>
      </c>
      <c r="B456" s="11" t="s">
        <v>319</v>
      </c>
      <c r="C456" s="11" t="s">
        <v>33</v>
      </c>
      <c r="D456" s="11" t="s">
        <v>34</v>
      </c>
      <c r="E456" s="13">
        <v>462000</v>
      </c>
      <c r="F456" s="13">
        <v>410352.12</v>
      </c>
      <c r="G456" s="13">
        <v>0</v>
      </c>
      <c r="H456" s="40">
        <f>F456+G456</f>
        <v>410352.12</v>
      </c>
      <c r="I456" s="47">
        <f>E456-H456</f>
        <v>51647.880000000005</v>
      </c>
      <c r="J456" s="17">
        <f>IFERROR(H456/E456,0)</f>
        <v>0.88820805194805197</v>
      </c>
      <c r="K456" s="18" t="str">
        <f>IF(E456=0,"Sin Plan",IF(J456&gt;=1,"Completado",IF(J456&gt;0.001,"En Progreso","Pendiente de ejecutar")))</f>
        <v>En Progreso</v>
      </c>
      <c r="L456" s="6" t="s">
        <v>321</v>
      </c>
      <c r="M456" s="6" t="s">
        <v>320</v>
      </c>
    </row>
    <row r="457" spans="1:13" hidden="1" x14ac:dyDescent="0.35">
      <c r="A457" s="20" t="s">
        <v>82</v>
      </c>
      <c r="B457" s="11" t="s">
        <v>319</v>
      </c>
      <c r="C457" s="20" t="s">
        <v>33</v>
      </c>
      <c r="D457" s="20" t="s">
        <v>34</v>
      </c>
      <c r="E457" s="14">
        <v>462000</v>
      </c>
      <c r="F457" s="14">
        <v>12655.08</v>
      </c>
      <c r="G457" s="14">
        <v>0</v>
      </c>
      <c r="H457" s="40">
        <f>F457+G457</f>
        <v>12655.08</v>
      </c>
      <c r="I457" s="47">
        <f>E457-H457</f>
        <v>449344.92</v>
      </c>
      <c r="J457" s="17">
        <f>IFERROR(H457/E457,0)</f>
        <v>2.7391948051948053E-2</v>
      </c>
      <c r="K457" s="18" t="str">
        <f>IF(E457=0,"Sin Plan",IF(J457&gt;=1,"Completado",IF(J457&gt;0.001,"En Progreso","Pendiente de ejecutar")))</f>
        <v>En Progreso</v>
      </c>
      <c r="L457" s="6" t="s">
        <v>321</v>
      </c>
      <c r="M457" s="6" t="s">
        <v>320</v>
      </c>
    </row>
    <row r="458" spans="1:13" hidden="1" x14ac:dyDescent="0.35">
      <c r="A458" s="11" t="s">
        <v>87</v>
      </c>
      <c r="B458" s="11" t="s">
        <v>319</v>
      </c>
      <c r="C458" s="11" t="s">
        <v>33</v>
      </c>
      <c r="D458" s="11" t="s">
        <v>34</v>
      </c>
      <c r="E458" s="13">
        <v>462000</v>
      </c>
      <c r="F458" s="15">
        <v>275967.8</v>
      </c>
      <c r="G458" s="13">
        <v>0</v>
      </c>
      <c r="H458" s="40">
        <f>F458+G458</f>
        <v>275967.8</v>
      </c>
      <c r="I458" s="47">
        <f>E458-H458</f>
        <v>186032.2</v>
      </c>
      <c r="J458" s="17">
        <f>IFERROR(H458/E458,0)</f>
        <v>0.59733290043290044</v>
      </c>
      <c r="K458" s="18" t="str">
        <f>IF(E458=0,"Sin Plan",IF(J458&gt;=1,"Completado",IF(J458&gt;0.001,"En Progreso","Pendiente de ejecutar")))</f>
        <v>En Progreso</v>
      </c>
      <c r="L458" s="6" t="s">
        <v>321</v>
      </c>
      <c r="M458" s="6" t="s">
        <v>320</v>
      </c>
    </row>
    <row r="459" spans="1:13" hidden="1" x14ac:dyDescent="0.35">
      <c r="A459" s="48" t="s">
        <v>89</v>
      </c>
      <c r="B459" s="29" t="s">
        <v>319</v>
      </c>
      <c r="C459" s="20" t="s">
        <v>33</v>
      </c>
      <c r="D459" s="48" t="s">
        <v>34</v>
      </c>
      <c r="E459" s="41">
        <v>462000</v>
      </c>
      <c r="F459" s="41">
        <v>0</v>
      </c>
      <c r="G459" s="41">
        <v>0</v>
      </c>
      <c r="H459" s="40">
        <f>F459+G459</f>
        <v>0</v>
      </c>
      <c r="I459" s="47">
        <f>E459-H459</f>
        <v>462000</v>
      </c>
      <c r="J459" s="17">
        <f>IFERROR(H459/E459,0)</f>
        <v>0</v>
      </c>
      <c r="K459" s="18" t="str">
        <f>IF(E459=0,"Sin Plan",IF(J459&gt;=1,"Completado",IF(J459&gt;0.001,"En Progreso","Pendiente de ejecutar")))</f>
        <v>Pendiente de ejecutar</v>
      </c>
      <c r="L459" s="70" t="s">
        <v>321</v>
      </c>
      <c r="M459" s="6" t="s">
        <v>320</v>
      </c>
    </row>
    <row r="460" spans="1:13" hidden="1" x14ac:dyDescent="0.35">
      <c r="A460" s="29" t="s">
        <v>94</v>
      </c>
      <c r="B460" s="29" t="s">
        <v>319</v>
      </c>
      <c r="C460" s="11" t="s">
        <v>33</v>
      </c>
      <c r="D460" s="29" t="s">
        <v>34</v>
      </c>
      <c r="E460" s="40">
        <v>462000</v>
      </c>
      <c r="F460" s="40">
        <v>0</v>
      </c>
      <c r="G460" s="40">
        <v>0</v>
      </c>
      <c r="H460" s="40">
        <f>F460+G460</f>
        <v>0</v>
      </c>
      <c r="I460" s="47">
        <f>E460-H460</f>
        <v>462000</v>
      </c>
      <c r="J460" s="17">
        <f>IFERROR(H460/E460,0)</f>
        <v>0</v>
      </c>
      <c r="K460" s="18" t="str">
        <f>IF(E460=0,"Sin Plan",IF(J460&gt;=1,"Completado",IF(J460&gt;0.001,"En Progreso","Pendiente de ejecutar")))</f>
        <v>Pendiente de ejecutar</v>
      </c>
      <c r="L460" s="70" t="s">
        <v>321</v>
      </c>
      <c r="M460" s="6" t="s">
        <v>320</v>
      </c>
    </row>
    <row r="461" spans="1:13" hidden="1" x14ac:dyDescent="0.35">
      <c r="A461" s="48" t="s">
        <v>108</v>
      </c>
      <c r="B461" s="29" t="s">
        <v>319</v>
      </c>
      <c r="C461" s="20" t="s">
        <v>33</v>
      </c>
      <c r="D461" s="48" t="s">
        <v>34</v>
      </c>
      <c r="E461" s="41">
        <v>462000</v>
      </c>
      <c r="F461" s="41">
        <v>0</v>
      </c>
      <c r="G461" s="41">
        <v>0</v>
      </c>
      <c r="H461" s="40">
        <f>F461+G461</f>
        <v>0</v>
      </c>
      <c r="I461" s="47">
        <f>E461-H461</f>
        <v>462000</v>
      </c>
      <c r="J461" s="17">
        <f>IFERROR(H461/E461,0)</f>
        <v>0</v>
      </c>
      <c r="K461" s="18" t="str">
        <f>IF(E461=0,"Sin Plan",IF(J461&gt;=1,"Completado",IF(J461&gt;0.001,"En Progreso","Pendiente de ejecutar")))</f>
        <v>Pendiente de ejecutar</v>
      </c>
      <c r="L461" s="70" t="s">
        <v>321</v>
      </c>
      <c r="M461" s="6" t="s">
        <v>320</v>
      </c>
    </row>
    <row r="462" spans="1:13" hidden="1" x14ac:dyDescent="0.35">
      <c r="A462" s="11" t="s">
        <v>109</v>
      </c>
      <c r="B462" s="11" t="s">
        <v>319</v>
      </c>
      <c r="C462" s="11" t="s">
        <v>33</v>
      </c>
      <c r="D462" s="11" t="s">
        <v>34</v>
      </c>
      <c r="E462" s="14">
        <v>462000</v>
      </c>
      <c r="F462" s="14">
        <v>275967.8</v>
      </c>
      <c r="G462" s="14">
        <v>0</v>
      </c>
      <c r="H462" s="40">
        <f>F462+G462</f>
        <v>275967.8</v>
      </c>
      <c r="I462" s="47">
        <f>E462-H462</f>
        <v>186032.2</v>
      </c>
      <c r="J462" s="17">
        <f>IFERROR(H462/E462,0)</f>
        <v>0.59733290043290044</v>
      </c>
      <c r="K462" s="18" t="str">
        <f>IF(E462=0,"Sin Plan",IF(J462&gt;=1,"Completado",IF(J462&gt;0.001,"En Progreso","Pendiente de ejecutar")))</f>
        <v>En Progreso</v>
      </c>
      <c r="L462" s="6" t="s">
        <v>321</v>
      </c>
      <c r="M462" s="6" t="s">
        <v>320</v>
      </c>
    </row>
    <row r="463" spans="1:13" hidden="1" x14ac:dyDescent="0.35">
      <c r="A463" s="19" t="s">
        <v>110</v>
      </c>
      <c r="B463" s="11" t="s">
        <v>319</v>
      </c>
      <c r="C463" s="19" t="s">
        <v>33</v>
      </c>
      <c r="D463" s="19" t="s">
        <v>34</v>
      </c>
      <c r="E463" s="13">
        <v>462000</v>
      </c>
      <c r="F463" s="13">
        <v>275967.8</v>
      </c>
      <c r="G463" s="13">
        <v>0</v>
      </c>
      <c r="H463" s="40">
        <f>F463+G463</f>
        <v>275967.8</v>
      </c>
      <c r="I463" s="47">
        <f>E463-H463</f>
        <v>186032.2</v>
      </c>
      <c r="J463" s="17">
        <f>IFERROR(H463/E463,0)</f>
        <v>0.59733290043290044</v>
      </c>
      <c r="K463" s="18" t="str">
        <f>IF(E463=0,"Sin Plan",IF(J463&gt;=1,"Completado",IF(J463&gt;0.001,"En Progreso","Pendiente de ejecutar")))</f>
        <v>En Progreso</v>
      </c>
      <c r="L463" s="6" t="s">
        <v>321</v>
      </c>
      <c r="M463" s="6" t="s">
        <v>320</v>
      </c>
    </row>
    <row r="464" spans="1:13" hidden="1" x14ac:dyDescent="0.35">
      <c r="A464" s="11" t="s">
        <v>111</v>
      </c>
      <c r="B464" s="11" t="s">
        <v>319</v>
      </c>
      <c r="C464" s="11" t="s">
        <v>33</v>
      </c>
      <c r="D464" s="11" t="s">
        <v>34</v>
      </c>
      <c r="E464" s="13">
        <v>462000</v>
      </c>
      <c r="F464" s="13">
        <v>307823.46999999997</v>
      </c>
      <c r="G464" s="13">
        <v>0</v>
      </c>
      <c r="H464" s="40">
        <f>F464+G464</f>
        <v>307823.46999999997</v>
      </c>
      <c r="I464" s="47">
        <f>E464-H464</f>
        <v>154176.53000000003</v>
      </c>
      <c r="J464" s="17">
        <f>IFERROR(H464/E464,0)</f>
        <v>0.66628456709956707</v>
      </c>
      <c r="K464" s="18" t="str">
        <f>IF(E464=0,"Sin Plan",IF(J464&gt;=1,"Completado",IF(J464&gt;0.001,"En Progreso","Pendiente de ejecutar")))</f>
        <v>En Progreso</v>
      </c>
      <c r="L464" s="6" t="s">
        <v>321</v>
      </c>
      <c r="M464" s="6" t="s">
        <v>320</v>
      </c>
    </row>
    <row r="465" spans="1:13" hidden="1" x14ac:dyDescent="0.35">
      <c r="A465" s="19" t="s">
        <v>127</v>
      </c>
      <c r="B465" s="11" t="s">
        <v>128</v>
      </c>
      <c r="C465" s="19" t="s">
        <v>131</v>
      </c>
      <c r="D465" s="19" t="s">
        <v>132</v>
      </c>
      <c r="E465" s="13">
        <v>0</v>
      </c>
      <c r="F465" s="13">
        <v>0</v>
      </c>
      <c r="G465" s="13">
        <v>67164.41</v>
      </c>
      <c r="H465" s="40">
        <f>F465+G465</f>
        <v>67164.41</v>
      </c>
      <c r="I465" s="47">
        <f>E465-H465</f>
        <v>-67164.41</v>
      </c>
      <c r="J465" s="17">
        <f>IFERROR(H465/E465,0)</f>
        <v>0</v>
      </c>
      <c r="K465" s="18" t="str">
        <f>IF(E465=0,"Sin Plan",IF(J465&gt;=1,"Completado",IF(J465&gt;0.001,"En Progreso","Pendiente de ejecutar")))</f>
        <v>Sin Plan</v>
      </c>
      <c r="L465" s="6" t="s">
        <v>323</v>
      </c>
      <c r="M465" s="6" t="s">
        <v>318</v>
      </c>
    </row>
    <row r="466" spans="1:13" hidden="1" x14ac:dyDescent="0.35">
      <c r="A466" s="19" t="s">
        <v>127</v>
      </c>
      <c r="B466" s="11" t="s">
        <v>128</v>
      </c>
      <c r="C466" s="19" t="s">
        <v>101</v>
      </c>
      <c r="D466" s="19" t="s">
        <v>102</v>
      </c>
      <c r="E466" s="13">
        <v>0</v>
      </c>
      <c r="F466" s="13">
        <v>4609006.3999999603</v>
      </c>
      <c r="G466" s="13">
        <v>0</v>
      </c>
      <c r="H466" s="40">
        <f>F466+G466</f>
        <v>4609006.3999999603</v>
      </c>
      <c r="I466" s="47">
        <f>E466-H466</f>
        <v>-4609006.3999999603</v>
      </c>
      <c r="J466" s="17">
        <f>IFERROR(H466/E466,0)</f>
        <v>0</v>
      </c>
      <c r="K466" s="18" t="str">
        <f>IF(E466=0,"Sin Plan",IF(J466&gt;=1,"Completado",IF(J466&gt;0.001,"En Progreso","Pendiente de ejecutar")))</f>
        <v>Sin Plan</v>
      </c>
      <c r="L466" s="6" t="s">
        <v>323</v>
      </c>
      <c r="M466" s="6" t="s">
        <v>318</v>
      </c>
    </row>
    <row r="467" spans="1:13" hidden="1" x14ac:dyDescent="0.35">
      <c r="A467" s="11" t="s">
        <v>127</v>
      </c>
      <c r="B467" s="11" t="s">
        <v>128</v>
      </c>
      <c r="C467" s="11" t="s">
        <v>47</v>
      </c>
      <c r="D467" s="11" t="s">
        <v>48</v>
      </c>
      <c r="E467" s="14">
        <v>0</v>
      </c>
      <c r="F467" s="14">
        <v>0</v>
      </c>
      <c r="G467" s="14">
        <v>2738241.51</v>
      </c>
      <c r="H467" s="40">
        <f>F467+G467</f>
        <v>2738241.51</v>
      </c>
      <c r="I467" s="47">
        <f>E467-H467</f>
        <v>-2738241.51</v>
      </c>
      <c r="J467" s="17">
        <f>IFERROR(H467/E467,0)</f>
        <v>0</v>
      </c>
      <c r="K467" s="18" t="str">
        <f>IF(E467=0,"Sin Plan",IF(J467&gt;=1,"Completado",IF(J467&gt;0.001,"En Progreso","Pendiente de ejecutar")))</f>
        <v>Sin Plan</v>
      </c>
      <c r="L467" s="6" t="s">
        <v>323</v>
      </c>
      <c r="M467" s="6" t="s">
        <v>318</v>
      </c>
    </row>
    <row r="468" spans="1:13" hidden="1" x14ac:dyDescent="0.35">
      <c r="A468" s="19" t="s">
        <v>127</v>
      </c>
      <c r="B468" s="11" t="s">
        <v>128</v>
      </c>
      <c r="C468" s="19" t="s">
        <v>29</v>
      </c>
      <c r="D468" s="19" t="s">
        <v>30</v>
      </c>
      <c r="E468" s="13">
        <v>0</v>
      </c>
      <c r="F468" s="13">
        <v>151623</v>
      </c>
      <c r="G468" s="13">
        <v>6274720.3499999996</v>
      </c>
      <c r="H468" s="40">
        <f>F468+G468</f>
        <v>6426343.3499999996</v>
      </c>
      <c r="I468" s="47">
        <f>E468-H468</f>
        <v>-6426343.3499999996</v>
      </c>
      <c r="J468" s="17">
        <f>IFERROR(H468/E468,0)</f>
        <v>0</v>
      </c>
      <c r="K468" s="18" t="str">
        <f>IF(E468=0,"Sin Plan",IF(J468&gt;=1,"Completado",IF(J468&gt;0.001,"En Progreso","Pendiente de ejecutar")))</f>
        <v>Sin Plan</v>
      </c>
      <c r="L468" s="6" t="s">
        <v>323</v>
      </c>
      <c r="M468" s="6" t="s">
        <v>318</v>
      </c>
    </row>
    <row r="469" spans="1:13" hidden="1" x14ac:dyDescent="0.35">
      <c r="A469" s="20" t="s">
        <v>127</v>
      </c>
      <c r="B469" s="11" t="s">
        <v>128</v>
      </c>
      <c r="C469" s="20" t="s">
        <v>137</v>
      </c>
      <c r="D469" s="20" t="s">
        <v>138</v>
      </c>
      <c r="E469" s="14">
        <v>0</v>
      </c>
      <c r="F469" s="14">
        <v>106781.25</v>
      </c>
      <c r="G469" s="14">
        <v>0</v>
      </c>
      <c r="H469" s="40">
        <f>F469+G469</f>
        <v>106781.25</v>
      </c>
      <c r="I469" s="47">
        <f>E469-H469</f>
        <v>-106781.25</v>
      </c>
      <c r="J469" s="17">
        <f>IFERROR(H469/E469,0)</f>
        <v>0</v>
      </c>
      <c r="K469" s="18" t="str">
        <f>IF(E469=0,"Sin Plan",IF(J469&gt;=1,"Completado",IF(J469&gt;0.001,"En Progreso","Pendiente de ejecutar")))</f>
        <v>Sin Plan</v>
      </c>
      <c r="L469" s="6" t="s">
        <v>323</v>
      </c>
      <c r="M469" s="6" t="s">
        <v>318</v>
      </c>
    </row>
    <row r="470" spans="1:13" hidden="1" x14ac:dyDescent="0.35">
      <c r="A470" s="11" t="s">
        <v>127</v>
      </c>
      <c r="B470" s="11" t="s">
        <v>128</v>
      </c>
      <c r="C470" s="11" t="s">
        <v>139</v>
      </c>
      <c r="D470" s="11" t="s">
        <v>140</v>
      </c>
      <c r="E470" s="13">
        <v>0</v>
      </c>
      <c r="F470" s="13">
        <v>1137327.32</v>
      </c>
      <c r="G470" s="13">
        <v>0</v>
      </c>
      <c r="H470" s="40">
        <f>F470+G470</f>
        <v>1137327.32</v>
      </c>
      <c r="I470" s="47">
        <f>E470-H470</f>
        <v>-1137327.32</v>
      </c>
      <c r="J470" s="17">
        <f>IFERROR(H470/E470,0)</f>
        <v>0</v>
      </c>
      <c r="K470" s="18" t="str">
        <f>IF(E470=0,"Sin Plan",IF(J470&gt;=1,"Completado",IF(J470&gt;0.001,"En Progreso","Pendiente de ejecutar")))</f>
        <v>Sin Plan</v>
      </c>
      <c r="L470" s="6" t="s">
        <v>323</v>
      </c>
      <c r="M470" s="6" t="s">
        <v>318</v>
      </c>
    </row>
    <row r="471" spans="1:13" hidden="1" x14ac:dyDescent="0.35">
      <c r="A471" s="11" t="s">
        <v>127</v>
      </c>
      <c r="B471" s="11"/>
      <c r="C471" s="11"/>
      <c r="D471" s="11" t="s">
        <v>375</v>
      </c>
      <c r="E471" s="13"/>
      <c r="F471" s="13"/>
      <c r="G471" s="13">
        <v>1456000</v>
      </c>
      <c r="H471" s="40"/>
      <c r="I471" s="47">
        <f>E471-H471</f>
        <v>0</v>
      </c>
      <c r="J471" s="17">
        <f>IFERROR(H471/E471,0)</f>
        <v>0</v>
      </c>
      <c r="K471" s="18" t="str">
        <f>IF(E471=0,"Sin Plan",IF(J471&gt;=1,"Completado",IF(J471&gt;0.001,"En Progreso","Pendiente de ejecutar")))</f>
        <v>Sin Plan</v>
      </c>
      <c r="L471" s="6" t="s">
        <v>321</v>
      </c>
      <c r="M471" s="6"/>
    </row>
    <row r="472" spans="1:13" hidden="1" x14ac:dyDescent="0.35">
      <c r="A472" s="11" t="s">
        <v>127</v>
      </c>
      <c r="B472" s="11"/>
      <c r="C472" s="11"/>
      <c r="D472" s="11" t="s">
        <v>376</v>
      </c>
      <c r="E472" s="13"/>
      <c r="F472" s="13"/>
      <c r="G472" s="13">
        <v>196600</v>
      </c>
      <c r="H472" s="40"/>
      <c r="I472" s="47">
        <f>E472-H472</f>
        <v>0</v>
      </c>
      <c r="J472" s="17">
        <f>IFERROR(H472/E472,0)</f>
        <v>0</v>
      </c>
      <c r="K472" s="18" t="str">
        <f>IF(E472=0,"Sin Plan",IF(J472&gt;=1,"Completado",IF(J472&gt;0.001,"En Progreso","Pendiente de ejecutar")))</f>
        <v>Sin Plan</v>
      </c>
      <c r="L472" s="6" t="s">
        <v>323</v>
      </c>
      <c r="M472" s="6"/>
    </row>
    <row r="473" spans="1:13" hidden="1" x14ac:dyDescent="0.35">
      <c r="A473" s="11" t="s">
        <v>127</v>
      </c>
      <c r="B473" s="11" t="s">
        <v>128</v>
      </c>
      <c r="C473" s="11" t="s">
        <v>141</v>
      </c>
      <c r="D473" s="11" t="s">
        <v>142</v>
      </c>
      <c r="E473" s="14">
        <v>0</v>
      </c>
      <c r="F473" s="14">
        <v>0</v>
      </c>
      <c r="G473" s="14">
        <v>1757443.38</v>
      </c>
      <c r="H473" s="40">
        <f>F473+G473</f>
        <v>1757443.38</v>
      </c>
      <c r="I473" s="47">
        <f>E473-H473</f>
        <v>-1757443.38</v>
      </c>
      <c r="J473" s="17">
        <f>IFERROR(H473/E473,0)</f>
        <v>0</v>
      </c>
      <c r="K473" s="18" t="str">
        <f>IF(E473=0,"Sin Plan",IF(J473&gt;=1,"Completado",IF(J473&gt;0.001,"En Progreso","Pendiente de ejecutar")))</f>
        <v>Sin Plan</v>
      </c>
      <c r="L473" s="6" t="s">
        <v>323</v>
      </c>
      <c r="M473" s="6" t="s">
        <v>318</v>
      </c>
    </row>
    <row r="474" spans="1:13" hidden="1" x14ac:dyDescent="0.35">
      <c r="A474" s="11" t="s">
        <v>143</v>
      </c>
      <c r="B474" s="11" t="s">
        <v>128</v>
      </c>
      <c r="C474" s="11" t="s">
        <v>50</v>
      </c>
      <c r="D474" s="11" t="s">
        <v>51</v>
      </c>
      <c r="E474" s="13">
        <v>0</v>
      </c>
      <c r="F474" s="13">
        <v>38419.49</v>
      </c>
      <c r="G474" s="13">
        <v>0</v>
      </c>
      <c r="H474" s="40">
        <f>F474+G474</f>
        <v>38419.49</v>
      </c>
      <c r="I474" s="47">
        <f>E474-H474</f>
        <v>-38419.49</v>
      </c>
      <c r="J474" s="17">
        <f>IFERROR(H474/E474,0)</f>
        <v>0</v>
      </c>
      <c r="K474" s="18" t="str">
        <f>IF(E474=0,"Sin Plan",IF(J474&gt;=1,"Completado",IF(J474&gt;0.001,"En Progreso","Pendiente de ejecutar")))</f>
        <v>Sin Plan</v>
      </c>
      <c r="L474" s="6" t="s">
        <v>323</v>
      </c>
      <c r="M474" s="6" t="s">
        <v>318</v>
      </c>
    </row>
    <row r="475" spans="1:13" hidden="1" x14ac:dyDescent="0.35">
      <c r="A475" s="11" t="s">
        <v>143</v>
      </c>
      <c r="B475" s="11" t="s">
        <v>128</v>
      </c>
      <c r="C475" s="11" t="s">
        <v>135</v>
      </c>
      <c r="D475" s="11" t="s">
        <v>136</v>
      </c>
      <c r="E475" s="13">
        <v>0</v>
      </c>
      <c r="F475" s="13">
        <v>0</v>
      </c>
      <c r="G475" s="13">
        <v>113483.48</v>
      </c>
      <c r="H475" s="40">
        <f>F475+G475</f>
        <v>113483.48</v>
      </c>
      <c r="I475" s="47">
        <f>E475-H475</f>
        <v>-113483.48</v>
      </c>
      <c r="J475" s="17">
        <f>IFERROR(H475/E475,0)</f>
        <v>0</v>
      </c>
      <c r="K475" s="18" t="str">
        <f>IF(E475=0,"Sin Plan",IF(J475&gt;=1,"Completado",IF(J475&gt;0.001,"En Progreso","Pendiente de ejecutar")))</f>
        <v>Sin Plan</v>
      </c>
      <c r="L475" s="6" t="s">
        <v>323</v>
      </c>
      <c r="M475" s="6" t="s">
        <v>318</v>
      </c>
    </row>
    <row r="476" spans="1:13" hidden="1" x14ac:dyDescent="0.35">
      <c r="A476" s="11" t="s">
        <v>143</v>
      </c>
      <c r="B476" s="11" t="s">
        <v>128</v>
      </c>
      <c r="C476" s="11" t="s">
        <v>144</v>
      </c>
      <c r="D476" s="11" t="s">
        <v>145</v>
      </c>
      <c r="E476" s="14">
        <v>0</v>
      </c>
      <c r="F476" s="14">
        <v>282397</v>
      </c>
      <c r="G476" s="14">
        <v>0</v>
      </c>
      <c r="H476" s="40">
        <f>F476+G476</f>
        <v>282397</v>
      </c>
      <c r="I476" s="47">
        <f>E476-H476</f>
        <v>-282397</v>
      </c>
      <c r="J476" s="17">
        <f>IFERROR(H476/E476,0)</f>
        <v>0</v>
      </c>
      <c r="K476" s="18" t="str">
        <f>IF(E476=0,"Sin Plan",IF(J476&gt;=1,"Completado",IF(J476&gt;0.001,"En Progreso","Pendiente de ejecutar")))</f>
        <v>Sin Plan</v>
      </c>
      <c r="L476" s="6" t="s">
        <v>321</v>
      </c>
      <c r="M476" s="6" t="s">
        <v>318</v>
      </c>
    </row>
    <row r="477" spans="1:13" hidden="1" x14ac:dyDescent="0.35">
      <c r="A477" s="11" t="s">
        <v>146</v>
      </c>
      <c r="B477" s="11"/>
      <c r="C477" s="11"/>
      <c r="D477" s="11" t="s">
        <v>380</v>
      </c>
      <c r="E477" s="14"/>
      <c r="F477" s="14">
        <v>94558</v>
      </c>
      <c r="G477" s="14"/>
      <c r="H477" s="40">
        <f>F477+G980</f>
        <v>94558</v>
      </c>
      <c r="I477" s="47">
        <f>E477-H477</f>
        <v>-94558</v>
      </c>
      <c r="J477" s="17">
        <f>IFERROR(H477/E477,0)</f>
        <v>0</v>
      </c>
      <c r="K477" s="18" t="str">
        <f>IF(E477=0,"Sin Plan",IF(J477&gt;=1,"Completado",IF(J477&gt;0.001,"En Progreso","Pendiente de ejecutar")))</f>
        <v>Sin Plan</v>
      </c>
      <c r="L477" s="6" t="s">
        <v>321</v>
      </c>
      <c r="M477" s="6"/>
    </row>
    <row r="478" spans="1:13" hidden="1" x14ac:dyDescent="0.35">
      <c r="A478" s="20" t="s">
        <v>146</v>
      </c>
      <c r="B478" s="20" t="s">
        <v>147</v>
      </c>
      <c r="C478" s="20" t="s">
        <v>137</v>
      </c>
      <c r="D478" s="20" t="s">
        <v>338</v>
      </c>
      <c r="E478" s="14">
        <v>0</v>
      </c>
      <c r="F478" s="14">
        <f>23026.5+78806.9+640373.97+192206.25+55151.4+49831.25</f>
        <v>1039396.27</v>
      </c>
      <c r="G478" s="41">
        <f>49365+117300+35593.75+39390.7</f>
        <v>241649.45</v>
      </c>
      <c r="H478" s="40">
        <f>F478+G981</f>
        <v>1039396.27</v>
      </c>
      <c r="I478" s="47">
        <f>E478-H478</f>
        <v>-1039396.27</v>
      </c>
      <c r="J478" s="17">
        <f>IFERROR(H478/E478,0)</f>
        <v>0</v>
      </c>
      <c r="K478" s="18" t="str">
        <f>IF(E478=0,"Sin Plan",IF(J478&gt;=1,"Completado",IF(J478&gt;0.001,"En Progreso","Pendiente de ejecutar")))</f>
        <v>Sin Plan</v>
      </c>
      <c r="L478" s="6" t="s">
        <v>323</v>
      </c>
      <c r="M478" s="6" t="s">
        <v>318</v>
      </c>
    </row>
    <row r="479" spans="1:13" hidden="1" x14ac:dyDescent="0.35">
      <c r="A479" s="11" t="s">
        <v>153</v>
      </c>
      <c r="B479" s="11" t="s">
        <v>128</v>
      </c>
      <c r="C479" s="11" t="s">
        <v>13</v>
      </c>
      <c r="D479" s="11" t="s">
        <v>14</v>
      </c>
      <c r="E479" s="14">
        <v>0</v>
      </c>
      <c r="F479" s="14">
        <v>40940</v>
      </c>
      <c r="G479" s="14">
        <v>0</v>
      </c>
      <c r="H479" s="40">
        <f>F479+G479</f>
        <v>40940</v>
      </c>
      <c r="I479" s="47">
        <f>E479-H479</f>
        <v>-40940</v>
      </c>
      <c r="J479" s="17">
        <f>IFERROR(H479/E479,0)</f>
        <v>0</v>
      </c>
      <c r="K479" s="18" t="str">
        <f>IF(E479=0,"Sin Plan",IF(J479&gt;=1,"Completado",IF(J479&gt;0.001,"En Progreso","Pendiente de ejecutar")))</f>
        <v>Sin Plan</v>
      </c>
      <c r="L479" s="6" t="s">
        <v>323</v>
      </c>
      <c r="M479" s="6" t="s">
        <v>318</v>
      </c>
    </row>
    <row r="480" spans="1:13" hidden="1" x14ac:dyDescent="0.35">
      <c r="A480" s="11" t="s">
        <v>153</v>
      </c>
      <c r="B480" s="11" t="s">
        <v>128</v>
      </c>
      <c r="C480" s="11" t="s">
        <v>39</v>
      </c>
      <c r="D480" s="11" t="s">
        <v>40</v>
      </c>
      <c r="E480" s="14">
        <v>0</v>
      </c>
      <c r="F480" s="14">
        <v>0</v>
      </c>
      <c r="G480" s="14">
        <v>834244.97</v>
      </c>
      <c r="H480" s="40">
        <f>F480+G480</f>
        <v>834244.97</v>
      </c>
      <c r="I480" s="47">
        <f>E480-H480</f>
        <v>-834244.97</v>
      </c>
      <c r="J480" s="17">
        <f>IFERROR(H480/E480,0)</f>
        <v>0</v>
      </c>
      <c r="K480" s="18" t="str">
        <f>IF(E480=0,"Sin Plan",IF(J480&gt;=1,"Completado",IF(J480&gt;0.001,"En Progreso","Pendiente de ejecutar")))</f>
        <v>Sin Plan</v>
      </c>
      <c r="L480" s="6" t="s">
        <v>321</v>
      </c>
      <c r="M480" s="6" t="s">
        <v>318</v>
      </c>
    </row>
    <row r="481" spans="1:13" hidden="1" x14ac:dyDescent="0.35">
      <c r="A481" s="19" t="s">
        <v>154</v>
      </c>
      <c r="B481" s="19" t="s">
        <v>128</v>
      </c>
      <c r="C481" s="19" t="s">
        <v>13</v>
      </c>
      <c r="D481" s="19" t="s">
        <v>14</v>
      </c>
      <c r="E481" s="13">
        <v>0</v>
      </c>
      <c r="F481" s="13">
        <v>12000</v>
      </c>
      <c r="G481" s="13">
        <v>0</v>
      </c>
      <c r="H481" s="40">
        <f>F481+G481</f>
        <v>12000</v>
      </c>
      <c r="I481" s="47">
        <f>E481-H481</f>
        <v>-12000</v>
      </c>
      <c r="J481" s="17">
        <f>IFERROR(H481/E481,0)</f>
        <v>0</v>
      </c>
      <c r="K481" s="18" t="str">
        <f>IF(E481=0,"Sin Plan",IF(J481&gt;=1,"Completado",IF(J481&gt;0.001,"En Progreso","Pendiente de ejecutar")))</f>
        <v>Sin Plan</v>
      </c>
      <c r="L481" s="6" t="s">
        <v>323</v>
      </c>
      <c r="M481" s="6" t="s">
        <v>318</v>
      </c>
    </row>
    <row r="482" spans="1:13" hidden="1" x14ac:dyDescent="0.35">
      <c r="A482" s="20" t="s">
        <v>155</v>
      </c>
      <c r="B482" s="20" t="s">
        <v>128</v>
      </c>
      <c r="C482" s="20" t="s">
        <v>29</v>
      </c>
      <c r="D482" s="20" t="s">
        <v>30</v>
      </c>
      <c r="E482" s="14">
        <v>0</v>
      </c>
      <c r="F482" s="14">
        <v>644397.75</v>
      </c>
      <c r="G482" s="14">
        <v>0</v>
      </c>
      <c r="H482" s="40">
        <f>F482+G482</f>
        <v>644397.75</v>
      </c>
      <c r="I482" s="47">
        <f>E482-H482</f>
        <v>-644397.75</v>
      </c>
      <c r="J482" s="17">
        <f>IFERROR(H482/E482,0)</f>
        <v>0</v>
      </c>
      <c r="K482" s="18" t="str">
        <f>IF(E482=0,"Sin Plan",IF(J482&gt;=1,"Completado",IF(J482&gt;0.001,"En Progreso","Pendiente de ejecutar")))</f>
        <v>Sin Plan</v>
      </c>
      <c r="L482" s="6" t="s">
        <v>323</v>
      </c>
      <c r="M482" s="6" t="s">
        <v>318</v>
      </c>
    </row>
    <row r="483" spans="1:13" hidden="1" x14ac:dyDescent="0.35">
      <c r="A483" s="20" t="s">
        <v>155</v>
      </c>
      <c r="B483" s="20" t="s">
        <v>128</v>
      </c>
      <c r="C483" s="20" t="s">
        <v>141</v>
      </c>
      <c r="D483" s="20" t="s">
        <v>142</v>
      </c>
      <c r="E483" s="14">
        <v>0</v>
      </c>
      <c r="F483" s="14">
        <v>29257.63</v>
      </c>
      <c r="G483" s="14"/>
      <c r="H483" s="40">
        <f>F483+G483</f>
        <v>29257.63</v>
      </c>
      <c r="I483" s="47">
        <f>E483-H483</f>
        <v>-29257.63</v>
      </c>
      <c r="J483" s="17">
        <f>IFERROR(H483/E483,0)</f>
        <v>0</v>
      </c>
      <c r="K483" s="18" t="str">
        <f>IF(E483=0,"Sin Plan",IF(J483&gt;=1,"Completado",IF(J483&gt;0.001,"En Progreso","Pendiente de ejecutar")))</f>
        <v>Sin Plan</v>
      </c>
      <c r="L483" s="6" t="s">
        <v>323</v>
      </c>
      <c r="M483" s="6" t="s">
        <v>318</v>
      </c>
    </row>
    <row r="484" spans="1:13" hidden="1" x14ac:dyDescent="0.35">
      <c r="A484" s="19" t="s">
        <v>115</v>
      </c>
      <c r="B484" s="11" t="s">
        <v>319</v>
      </c>
      <c r="C484" s="19" t="s">
        <v>33</v>
      </c>
      <c r="D484" s="19" t="s">
        <v>34</v>
      </c>
      <c r="E484" s="13">
        <v>462000</v>
      </c>
      <c r="F484" s="13">
        <v>323967.8</v>
      </c>
      <c r="G484" s="13">
        <v>65400</v>
      </c>
      <c r="H484" s="40">
        <f>F484+G484</f>
        <v>389367.8</v>
      </c>
      <c r="I484" s="47">
        <f>E484-H484</f>
        <v>72632.200000000012</v>
      </c>
      <c r="J484" s="17">
        <f>IFERROR(H484/E484,0)</f>
        <v>0.84278744588744581</v>
      </c>
      <c r="K484" s="18" t="str">
        <f>IF(E484=0,"Sin Plan",IF(J484&gt;=1,"Completado",IF(J484&gt;0.001,"En Progreso","Pendiente de ejecutar")))</f>
        <v>En Progreso</v>
      </c>
      <c r="L484" s="6" t="s">
        <v>321</v>
      </c>
      <c r="M484" s="6" t="s">
        <v>320</v>
      </c>
    </row>
    <row r="485" spans="1:13" hidden="1" x14ac:dyDescent="0.35">
      <c r="A485" s="11" t="s">
        <v>118</v>
      </c>
      <c r="B485" s="11" t="s">
        <v>319</v>
      </c>
      <c r="C485" s="11" t="s">
        <v>33</v>
      </c>
      <c r="D485" s="11" t="s">
        <v>34</v>
      </c>
      <c r="E485" s="14">
        <v>462000</v>
      </c>
      <c r="F485" s="14">
        <v>9650</v>
      </c>
      <c r="G485" s="14">
        <v>0</v>
      </c>
      <c r="H485" s="40">
        <f>F485+G485</f>
        <v>9650</v>
      </c>
      <c r="I485" s="47">
        <f>E485-H485</f>
        <v>452350</v>
      </c>
      <c r="J485" s="17">
        <f>IFERROR(H485/E485,0)</f>
        <v>2.0887445887445889E-2</v>
      </c>
      <c r="K485" s="18" t="str">
        <f>IF(E485=0,"Sin Plan",IF(J485&gt;=1,"Completado",IF(J485&gt;0.001,"En Progreso","Pendiente de ejecutar")))</f>
        <v>En Progreso</v>
      </c>
      <c r="L485" s="6" t="s">
        <v>321</v>
      </c>
      <c r="M485" s="6" t="s">
        <v>320</v>
      </c>
    </row>
    <row r="486" spans="1:13" x14ac:dyDescent="0.35">
      <c r="A486" s="19" t="s">
        <v>229</v>
      </c>
      <c r="B486" s="11" t="s">
        <v>205</v>
      </c>
      <c r="C486" s="19" t="s">
        <v>13</v>
      </c>
      <c r="D486" s="19" t="s">
        <v>14</v>
      </c>
      <c r="E486" s="13">
        <v>0</v>
      </c>
      <c r="F486" s="36">
        <v>1798000</v>
      </c>
      <c r="G486" s="36">
        <v>350000</v>
      </c>
      <c r="H486" s="40">
        <f>F486+G486</f>
        <v>2148000</v>
      </c>
      <c r="I486" s="47">
        <f>E486-H486</f>
        <v>-2148000</v>
      </c>
      <c r="J486" s="17">
        <f>IFERROR(H486/E486,0)</f>
        <v>0</v>
      </c>
      <c r="K486" s="18" t="str">
        <f>IF(E486=0,"Sin Plan",IF(J486&gt;=1,"Completado",IF(J486&gt;0.001,"En Progreso","Pendiente de ejecutar")))</f>
        <v>Sin Plan</v>
      </c>
      <c r="L486" s="6" t="s">
        <v>323</v>
      </c>
      <c r="M486" s="6" t="s">
        <v>318</v>
      </c>
    </row>
    <row r="487" spans="1:13" x14ac:dyDescent="0.35">
      <c r="A487" s="11" t="s">
        <v>229</v>
      </c>
      <c r="B487" s="11" t="s">
        <v>205</v>
      </c>
      <c r="C487" s="11" t="s">
        <v>234</v>
      </c>
      <c r="D487" s="11" t="s">
        <v>394</v>
      </c>
      <c r="E487" s="13">
        <v>0</v>
      </c>
      <c r="F487" s="36">
        <v>158508</v>
      </c>
      <c r="G487" s="100">
        <v>0</v>
      </c>
      <c r="H487" s="40">
        <f>F487+G487</f>
        <v>158508</v>
      </c>
      <c r="I487" s="47">
        <f>E487-H487</f>
        <v>-158508</v>
      </c>
      <c r="J487" s="17">
        <f>IFERROR(H487/E487,0)</f>
        <v>0</v>
      </c>
      <c r="K487" s="18" t="str">
        <f>IF(E487=0,"Sin Plan",IF(J487&gt;=1,"Completado",IF(J487&gt;0.001,"En Progreso","Pendiente de ejecutar")))</f>
        <v>Sin Plan</v>
      </c>
      <c r="L487" s="6" t="s">
        <v>323</v>
      </c>
      <c r="M487" s="6" t="s">
        <v>318</v>
      </c>
    </row>
    <row r="488" spans="1:13" hidden="1" x14ac:dyDescent="0.35">
      <c r="A488" s="26" t="s">
        <v>168</v>
      </c>
      <c r="B488" s="11" t="s">
        <v>205</v>
      </c>
      <c r="C488" s="26" t="s">
        <v>170</v>
      </c>
      <c r="D488" s="26" t="s">
        <v>171</v>
      </c>
      <c r="E488" s="14">
        <v>0</v>
      </c>
      <c r="F488" s="14">
        <v>253300</v>
      </c>
      <c r="G488" s="27"/>
      <c r="H488" s="40">
        <f>F488+G488</f>
        <v>253300</v>
      </c>
      <c r="I488" s="47">
        <f>E488-H488</f>
        <v>-253300</v>
      </c>
      <c r="J488" s="17">
        <f>IFERROR(H488/E488,0)</f>
        <v>0</v>
      </c>
      <c r="K488" s="18" t="str">
        <f>IF(E488=0,"Sin Plan",IF(J488&gt;=1,"Completado",IF(J488&gt;0.001,"En Progreso","Pendiente de ejecutar")))</f>
        <v>Sin Plan</v>
      </c>
      <c r="L488" s="6" t="s">
        <v>323</v>
      </c>
      <c r="M488" s="6" t="s">
        <v>318</v>
      </c>
    </row>
    <row r="489" spans="1:13" hidden="1" x14ac:dyDescent="0.35">
      <c r="A489" s="11" t="s">
        <v>168</v>
      </c>
      <c r="B489" s="11" t="s">
        <v>205</v>
      </c>
      <c r="C489" s="11" t="s">
        <v>66</v>
      </c>
      <c r="D489" s="11" t="s">
        <v>67</v>
      </c>
      <c r="E489" s="13">
        <v>0</v>
      </c>
      <c r="F489" s="13"/>
      <c r="G489" s="35">
        <v>360677.92</v>
      </c>
      <c r="H489" s="40">
        <f>F489+G489</f>
        <v>360677.92</v>
      </c>
      <c r="I489" s="47">
        <f>E489-H489</f>
        <v>-360677.92</v>
      </c>
      <c r="J489" s="17">
        <f>IFERROR(H489/E489,0)</f>
        <v>0</v>
      </c>
      <c r="K489" s="18" t="str">
        <f>IF(E489=0,"Sin Plan",IF(J489&gt;=1,"Completado",IF(J489&gt;0.001,"En Progreso","Pendiente de ejecutar")))</f>
        <v>Sin Plan</v>
      </c>
      <c r="L489" s="6" t="s">
        <v>323</v>
      </c>
      <c r="M489" s="6" t="s">
        <v>318</v>
      </c>
    </row>
    <row r="490" spans="1:13" hidden="1" x14ac:dyDescent="0.35">
      <c r="A490" s="20" t="s">
        <v>168</v>
      </c>
      <c r="B490" s="11" t="s">
        <v>205</v>
      </c>
      <c r="C490" s="20" t="s">
        <v>172</v>
      </c>
      <c r="D490" s="20" t="s">
        <v>173</v>
      </c>
      <c r="E490" s="14">
        <v>0</v>
      </c>
      <c r="F490" s="14">
        <v>57568</v>
      </c>
      <c r="G490" s="14">
        <v>0</v>
      </c>
      <c r="H490" s="40">
        <f>F490+G490</f>
        <v>57568</v>
      </c>
      <c r="I490" s="47">
        <f>E490-H490</f>
        <v>-57568</v>
      </c>
      <c r="J490" s="17">
        <f>IFERROR(H490/E490,0)</f>
        <v>0</v>
      </c>
      <c r="K490" s="18" t="str">
        <f>IF(E490=0,"Sin Plan",IF(J490&gt;=1,"Completado",IF(J490&gt;0.001,"En Progreso","Pendiente de ejecutar")))</f>
        <v>Sin Plan</v>
      </c>
      <c r="L490" s="6" t="s">
        <v>323</v>
      </c>
      <c r="M490" s="6" t="s">
        <v>318</v>
      </c>
    </row>
    <row r="491" spans="1:13" s="63" customFormat="1" hidden="1" x14ac:dyDescent="0.35">
      <c r="A491" s="61" t="s">
        <v>178</v>
      </c>
      <c r="B491" s="11" t="s">
        <v>205</v>
      </c>
      <c r="C491" s="11" t="s">
        <v>53</v>
      </c>
      <c r="D491" s="61" t="s">
        <v>54</v>
      </c>
      <c r="E491" s="36">
        <v>208000</v>
      </c>
      <c r="F491" s="36">
        <v>205298.15999999997</v>
      </c>
      <c r="G491" s="36">
        <v>0</v>
      </c>
      <c r="H491" s="40">
        <f>F491+G491</f>
        <v>205298.15999999997</v>
      </c>
      <c r="I491" s="47">
        <f>E491-H491</f>
        <v>2701.8400000000256</v>
      </c>
      <c r="J491" s="17">
        <f>IFERROR(H491/E491,0)</f>
        <v>0.98701038461538448</v>
      </c>
      <c r="K491" s="18" t="str">
        <f>IF(E491=0,"Sin Plan",IF(J491&gt;=1,"Completado",IF(J491&gt;0.001,"En Progreso","Pendiente de ejecutar")))</f>
        <v>En Progreso</v>
      </c>
      <c r="L491" s="62" t="s">
        <v>321</v>
      </c>
      <c r="M491" s="62" t="s">
        <v>320</v>
      </c>
    </row>
    <row r="492" spans="1:13" s="63" customFormat="1" hidden="1" x14ac:dyDescent="0.35">
      <c r="A492" s="64" t="s">
        <v>178</v>
      </c>
      <c r="B492" s="11" t="s">
        <v>205</v>
      </c>
      <c r="C492" s="19" t="s">
        <v>176</v>
      </c>
      <c r="D492" s="64" t="s">
        <v>177</v>
      </c>
      <c r="E492" s="35">
        <v>245000</v>
      </c>
      <c r="F492" s="35">
        <v>218568.22</v>
      </c>
      <c r="G492" s="35">
        <v>0</v>
      </c>
      <c r="H492" s="40">
        <f>F492+G492</f>
        <v>218568.22</v>
      </c>
      <c r="I492" s="47">
        <f>E492-H492</f>
        <v>26431.78</v>
      </c>
      <c r="J492" s="17">
        <f>IFERROR(H492/E492,0)</f>
        <v>0.89211518367346943</v>
      </c>
      <c r="K492" s="18" t="str">
        <f>IF(E492=0,"Sin Plan",IF(J492&gt;=1,"Completado",IF(J492&gt;0.001,"En Progreso","Pendiente de ejecutar")))</f>
        <v>En Progreso</v>
      </c>
      <c r="L492" s="62" t="s">
        <v>321</v>
      </c>
      <c r="M492" s="62" t="s">
        <v>320</v>
      </c>
    </row>
    <row r="493" spans="1:13" hidden="1" x14ac:dyDescent="0.35">
      <c r="A493" s="26" t="s">
        <v>185</v>
      </c>
      <c r="B493" s="11" t="s">
        <v>205</v>
      </c>
      <c r="C493" s="26" t="s">
        <v>164</v>
      </c>
      <c r="D493" s="26" t="s">
        <v>165</v>
      </c>
      <c r="E493" s="13">
        <v>0</v>
      </c>
      <c r="F493" s="36">
        <v>74700</v>
      </c>
      <c r="G493" s="40"/>
      <c r="H493" s="40">
        <f>F493+G493</f>
        <v>74700</v>
      </c>
      <c r="I493" s="47">
        <f>E493-H493</f>
        <v>-74700</v>
      </c>
      <c r="J493" s="17">
        <f>IFERROR(H493/E493,0)</f>
        <v>0</v>
      </c>
      <c r="K493" s="18" t="str">
        <f>IF(E493=0,"Sin Plan",IF(J493&gt;=1,"Completado",IF(J493&gt;0.001,"En Progreso","Pendiente de ejecutar")))</f>
        <v>Sin Plan</v>
      </c>
      <c r="L493" s="6" t="s">
        <v>323</v>
      </c>
      <c r="M493" s="6" t="s">
        <v>318</v>
      </c>
    </row>
    <row r="494" spans="1:13" x14ac:dyDescent="0.35">
      <c r="A494" s="19" t="s">
        <v>229</v>
      </c>
      <c r="B494" s="11" t="s">
        <v>205</v>
      </c>
      <c r="C494" s="19" t="s">
        <v>39</v>
      </c>
      <c r="D494" s="19" t="s">
        <v>40</v>
      </c>
      <c r="E494" s="13">
        <v>0</v>
      </c>
      <c r="F494" s="36">
        <v>132462.32</v>
      </c>
      <c r="G494" s="100">
        <v>0</v>
      </c>
      <c r="H494" s="40">
        <f>F494+G494</f>
        <v>132462.32</v>
      </c>
      <c r="I494" s="47">
        <f>E494-H494</f>
        <v>-132462.32</v>
      </c>
      <c r="J494" s="17">
        <f>IFERROR(H494/E494,0)</f>
        <v>0</v>
      </c>
      <c r="K494" s="18" t="str">
        <f>IF(E494=0,"Sin Plan",IF(J494&gt;=1,"Completado",IF(J494&gt;0.001,"En Progreso","Pendiente de ejecutar")))</f>
        <v>Sin Plan</v>
      </c>
      <c r="L494" s="6" t="s">
        <v>323</v>
      </c>
      <c r="M494" s="6" t="s">
        <v>318</v>
      </c>
    </row>
    <row r="495" spans="1:13" x14ac:dyDescent="0.35">
      <c r="A495" s="20" t="s">
        <v>229</v>
      </c>
      <c r="B495" s="11" t="s">
        <v>205</v>
      </c>
      <c r="C495" s="20" t="s">
        <v>188</v>
      </c>
      <c r="D495" s="20" t="s">
        <v>189</v>
      </c>
      <c r="E495" s="14">
        <v>0</v>
      </c>
      <c r="F495" s="36">
        <v>131745.45000000001</v>
      </c>
      <c r="G495" s="100">
        <v>0</v>
      </c>
      <c r="H495" s="40">
        <f>F495+G495</f>
        <v>131745.45000000001</v>
      </c>
      <c r="I495" s="47">
        <f>E495-H495</f>
        <v>-131745.45000000001</v>
      </c>
      <c r="J495" s="17">
        <f>IFERROR(H495/E495,0)</f>
        <v>0</v>
      </c>
      <c r="K495" s="18" t="str">
        <f>IF(E495=0,"Sin Plan",IF(J495&gt;=1,"Completado",IF(J495&gt;0.001,"En Progreso","Pendiente de ejecutar")))</f>
        <v>Sin Plan</v>
      </c>
      <c r="L495" s="6" t="s">
        <v>323</v>
      </c>
      <c r="M495" s="6" t="s">
        <v>318</v>
      </c>
    </row>
    <row r="496" spans="1:13" hidden="1" x14ac:dyDescent="0.35">
      <c r="A496" s="28" t="s">
        <v>198</v>
      </c>
      <c r="B496" s="11" t="s">
        <v>205</v>
      </c>
      <c r="C496" s="11" t="s">
        <v>13</v>
      </c>
      <c r="D496" s="11" t="s">
        <v>14</v>
      </c>
      <c r="E496" s="14">
        <v>0</v>
      </c>
      <c r="F496" s="14">
        <v>0</v>
      </c>
      <c r="G496" s="14">
        <v>124000</v>
      </c>
      <c r="H496" s="40">
        <f>F496+G496</f>
        <v>124000</v>
      </c>
      <c r="I496" s="47">
        <f>E496-H496</f>
        <v>-124000</v>
      </c>
      <c r="J496" s="17">
        <f>IFERROR(H496/E496,0)</f>
        <v>0</v>
      </c>
      <c r="K496" s="18" t="str">
        <f>IF(E496=0,"Sin Plan",IF(J496&gt;=1,"Completado",IF(J496&gt;0.001,"En Progreso","Pendiente de ejecutar")))</f>
        <v>Sin Plan</v>
      </c>
      <c r="L496" s="6" t="s">
        <v>323</v>
      </c>
      <c r="M496" s="6" t="s">
        <v>318</v>
      </c>
    </row>
    <row r="497" spans="1:13" hidden="1" x14ac:dyDescent="0.35">
      <c r="A497" s="28" t="s">
        <v>198</v>
      </c>
      <c r="B497" s="11" t="s">
        <v>205</v>
      </c>
      <c r="C497" s="11" t="s">
        <v>44</v>
      </c>
      <c r="D497" s="11" t="s">
        <v>45</v>
      </c>
      <c r="E497" s="13">
        <v>0</v>
      </c>
      <c r="F497" s="15">
        <v>133571.41</v>
      </c>
      <c r="G497" s="13">
        <v>0</v>
      </c>
      <c r="H497" s="40">
        <f>F497+G497</f>
        <v>133571.41</v>
      </c>
      <c r="I497" s="47">
        <f>E497-H497</f>
        <v>-133571.41</v>
      </c>
      <c r="J497" s="17">
        <f>IFERROR(H497/E497,0)</f>
        <v>0</v>
      </c>
      <c r="K497" s="18" t="str">
        <f>IF(E497=0,"Sin Plan",IF(J497&gt;=1,"Completado",IF(J497&gt;0.001,"En Progreso","Pendiente de ejecutar")))</f>
        <v>Sin Plan</v>
      </c>
      <c r="L497" s="6" t="s">
        <v>323</v>
      </c>
      <c r="M497" s="6" t="s">
        <v>318</v>
      </c>
    </row>
    <row r="498" spans="1:13" hidden="1" x14ac:dyDescent="0.35">
      <c r="A498" s="26" t="s">
        <v>198</v>
      </c>
      <c r="B498" s="11" t="s">
        <v>205</v>
      </c>
      <c r="C498" s="26" t="s">
        <v>39</v>
      </c>
      <c r="D498" s="26" t="s">
        <v>40</v>
      </c>
      <c r="E498" s="13">
        <v>0</v>
      </c>
      <c r="F498" s="13">
        <v>0</v>
      </c>
      <c r="G498" s="13">
        <v>3310396.8</v>
      </c>
      <c r="H498" s="40">
        <f>F498+G498</f>
        <v>3310396.8</v>
      </c>
      <c r="I498" s="47">
        <f>E498-H498</f>
        <v>-3310396.8</v>
      </c>
      <c r="J498" s="17">
        <f>IFERROR(H498/E498,0)</f>
        <v>0</v>
      </c>
      <c r="K498" s="18" t="str">
        <f>IF(E498=0,"Sin Plan",IF(J498&gt;=1,"Completado",IF(J498&gt;0.001,"En Progreso","Pendiente de ejecutar")))</f>
        <v>Sin Plan</v>
      </c>
      <c r="L498" s="6" t="s">
        <v>321</v>
      </c>
      <c r="M498" s="6" t="s">
        <v>318</v>
      </c>
    </row>
    <row r="499" spans="1:13" s="2" customFormat="1" hidden="1" x14ac:dyDescent="0.35">
      <c r="A499" s="19" t="s">
        <v>201</v>
      </c>
      <c r="B499" s="11" t="s">
        <v>205</v>
      </c>
      <c r="C499" s="19" t="s">
        <v>202</v>
      </c>
      <c r="D499" s="19" t="s">
        <v>43</v>
      </c>
      <c r="E499" s="13">
        <v>0</v>
      </c>
      <c r="F499" s="13">
        <v>137581.29999999999</v>
      </c>
      <c r="G499" s="13"/>
      <c r="H499" s="40">
        <f>F499+G499</f>
        <v>137581.29999999999</v>
      </c>
      <c r="I499" s="47">
        <f>E499-H499</f>
        <v>-137581.29999999999</v>
      </c>
      <c r="J499" s="17">
        <f>IFERROR(H499/E499,0)</f>
        <v>0</v>
      </c>
      <c r="K499" s="18" t="str">
        <f>IF(E499=0,"Sin Plan",IF(J499&gt;=1,"Completado",IF(J499&gt;0.001,"En Progreso","Pendiente de ejecutar")))</f>
        <v>Sin Plan</v>
      </c>
      <c r="L499" s="6" t="s">
        <v>323</v>
      </c>
      <c r="M499" s="6" t="s">
        <v>318</v>
      </c>
    </row>
    <row r="500" spans="1:13" hidden="1" x14ac:dyDescent="0.35">
      <c r="A500" s="19" t="s">
        <v>201</v>
      </c>
      <c r="B500" s="11" t="s">
        <v>205</v>
      </c>
      <c r="C500" s="19" t="s">
        <v>192</v>
      </c>
      <c r="D500" s="19" t="s">
        <v>193</v>
      </c>
      <c r="E500" s="13">
        <v>0</v>
      </c>
      <c r="F500" s="13">
        <v>82827.64</v>
      </c>
      <c r="G500" s="13">
        <v>0</v>
      </c>
      <c r="H500" s="40">
        <f>F500+G500</f>
        <v>82827.64</v>
      </c>
      <c r="I500" s="47">
        <f>E500-H500</f>
        <v>-82827.64</v>
      </c>
      <c r="J500" s="17">
        <f>IFERROR(H500/E500,0)</f>
        <v>0</v>
      </c>
      <c r="K500" s="18" t="str">
        <f>IF(E500=0,"Sin Plan",IF(J500&gt;=1,"Completado",IF(J500&gt;0.001,"En Progreso","Pendiente de ejecutar")))</f>
        <v>Sin Plan</v>
      </c>
      <c r="L500" s="6" t="s">
        <v>323</v>
      </c>
      <c r="M500" s="6" t="s">
        <v>318</v>
      </c>
    </row>
    <row r="501" spans="1:13" hidden="1" x14ac:dyDescent="0.35">
      <c r="A501" s="11" t="s">
        <v>201</v>
      </c>
      <c r="B501" s="11" t="s">
        <v>205</v>
      </c>
      <c r="C501" s="11" t="s">
        <v>101</v>
      </c>
      <c r="D501" s="11" t="s">
        <v>102</v>
      </c>
      <c r="E501" s="14">
        <v>0</v>
      </c>
      <c r="F501" s="14">
        <v>292429.48</v>
      </c>
      <c r="G501" s="14">
        <v>0</v>
      </c>
      <c r="H501" s="40">
        <f>F501+G501</f>
        <v>292429.48</v>
      </c>
      <c r="I501" s="47">
        <f>E501-H501</f>
        <v>-292429.48</v>
      </c>
      <c r="J501" s="17">
        <f>IFERROR(H501/E501,0)</f>
        <v>0</v>
      </c>
      <c r="K501" s="18" t="str">
        <f>IF(E501=0,"Sin Plan",IF(J501&gt;=1,"Completado",IF(J501&gt;0.001,"En Progreso","Pendiente de ejecutar")))</f>
        <v>Sin Plan</v>
      </c>
      <c r="L501" s="6" t="s">
        <v>323</v>
      </c>
      <c r="M501" s="6" t="s">
        <v>318</v>
      </c>
    </row>
    <row r="502" spans="1:13" hidden="1" x14ac:dyDescent="0.35">
      <c r="A502" s="11" t="s">
        <v>201</v>
      </c>
      <c r="B502" s="11" t="s">
        <v>205</v>
      </c>
      <c r="C502" s="11" t="s">
        <v>199</v>
      </c>
      <c r="D502" s="11" t="s">
        <v>200</v>
      </c>
      <c r="E502" s="14">
        <v>0</v>
      </c>
      <c r="F502" s="14">
        <v>237390.12</v>
      </c>
      <c r="G502" s="14">
        <v>0</v>
      </c>
      <c r="H502" s="40">
        <f>F502+G502</f>
        <v>237390.12</v>
      </c>
      <c r="I502" s="47">
        <f>E502-H502</f>
        <v>-237390.12</v>
      </c>
      <c r="J502" s="17">
        <f>IFERROR(H502/E502,0)</f>
        <v>0</v>
      </c>
      <c r="K502" s="18" t="str">
        <f>IF(E502=0,"Sin Plan",IF(J502&gt;=1,"Completado",IF(J502&gt;0.001,"En Progreso","Pendiente de ejecutar")))</f>
        <v>Sin Plan</v>
      </c>
      <c r="L502" s="6" t="s">
        <v>321</v>
      </c>
      <c r="M502" s="6" t="s">
        <v>318</v>
      </c>
    </row>
    <row r="503" spans="1:13" x14ac:dyDescent="0.35">
      <c r="A503" s="11" t="s">
        <v>229</v>
      </c>
      <c r="B503" s="11" t="s">
        <v>205</v>
      </c>
      <c r="C503" s="11" t="s">
        <v>47</v>
      </c>
      <c r="D503" s="11" t="s">
        <v>48</v>
      </c>
      <c r="E503" s="13">
        <v>0</v>
      </c>
      <c r="F503" s="36">
        <v>534306.94999999995</v>
      </c>
      <c r="G503" s="36">
        <v>246624.75</v>
      </c>
      <c r="H503" s="40">
        <f>F503+G503</f>
        <v>780931.7</v>
      </c>
      <c r="I503" s="47">
        <f>E503-H503</f>
        <v>-780931.7</v>
      </c>
      <c r="J503" s="17">
        <f>IFERROR(H503/E503,0)</f>
        <v>0</v>
      </c>
      <c r="K503" s="18" t="str">
        <f>IF(E503=0,"Sin Plan",IF(J503&gt;=1,"Completado",IF(J503&gt;0.001,"En Progreso","Pendiente de ejecutar")))</f>
        <v>Sin Plan</v>
      </c>
      <c r="L503" s="6" t="s">
        <v>323</v>
      </c>
      <c r="M503" s="6" t="s">
        <v>318</v>
      </c>
    </row>
    <row r="504" spans="1:13" x14ac:dyDescent="0.35">
      <c r="A504" s="20" t="s">
        <v>229</v>
      </c>
      <c r="B504" s="11" t="s">
        <v>205</v>
      </c>
      <c r="C504" s="20" t="s">
        <v>29</v>
      </c>
      <c r="D504" s="20" t="s">
        <v>30</v>
      </c>
      <c r="E504" s="14">
        <v>0</v>
      </c>
      <c r="F504" s="100">
        <v>0</v>
      </c>
      <c r="G504" s="100"/>
      <c r="H504" s="40">
        <f>F504+G504</f>
        <v>0</v>
      </c>
      <c r="I504" s="47">
        <f>E504-H504</f>
        <v>0</v>
      </c>
      <c r="J504" s="17">
        <f>IFERROR(H504/E504,0)</f>
        <v>0</v>
      </c>
      <c r="K504" s="18" t="str">
        <f>IF(E504=0,"Sin Plan",IF(J504&gt;=1,"Completado",IF(J504&gt;0.001,"En Progreso","Pendiente de ejecutar")))</f>
        <v>Sin Plan</v>
      </c>
      <c r="L504" s="6" t="s">
        <v>323</v>
      </c>
      <c r="M504" s="6" t="s">
        <v>318</v>
      </c>
    </row>
    <row r="505" spans="1:13" x14ac:dyDescent="0.35">
      <c r="A505" s="11" t="s">
        <v>229</v>
      </c>
      <c r="B505" s="11" t="s">
        <v>205</v>
      </c>
      <c r="C505" s="11"/>
      <c r="D505" s="11" t="s">
        <v>38</v>
      </c>
      <c r="E505" s="14"/>
      <c r="F505" s="114">
        <f>23075.48*2</f>
        <v>46150.96</v>
      </c>
      <c r="G505" s="100"/>
      <c r="H505" s="40">
        <f>F505+G505</f>
        <v>46150.96</v>
      </c>
      <c r="I505" s="47">
        <f>E505-H505</f>
        <v>-46150.96</v>
      </c>
      <c r="J505" s="17">
        <f>IFERROR(H505/E505,0)</f>
        <v>0</v>
      </c>
      <c r="K505" s="18" t="str">
        <f>IF(E505=0,"Sin Plan",IF(J505&gt;=1,"Completado",IF(J505&gt;0.001,"En Progreso","Pendiente de ejecutar")))</f>
        <v>Sin Plan</v>
      </c>
      <c r="L505" s="6" t="s">
        <v>323</v>
      </c>
      <c r="M505" s="6" t="s">
        <v>318</v>
      </c>
    </row>
    <row r="506" spans="1:13" x14ac:dyDescent="0.35">
      <c r="A506" s="11" t="s">
        <v>229</v>
      </c>
      <c r="B506" s="11" t="s">
        <v>205</v>
      </c>
      <c r="C506" s="22"/>
      <c r="D506" s="23" t="s">
        <v>230</v>
      </c>
      <c r="E506" s="14"/>
      <c r="F506" s="36">
        <v>61129</v>
      </c>
      <c r="G506" s="100"/>
      <c r="H506" s="40">
        <f>F506+G506</f>
        <v>61129</v>
      </c>
      <c r="I506" s="47">
        <f>E506-H506</f>
        <v>-61129</v>
      </c>
      <c r="J506" s="17">
        <f>IFERROR(H506/E506,0)</f>
        <v>0</v>
      </c>
      <c r="K506" s="18" t="str">
        <f>IF(E506=0,"Sin Plan",IF(J506&gt;=1,"Completado",IF(J506&gt;0.001,"En Progreso","Pendiente de ejecutar")))</f>
        <v>Sin Plan</v>
      </c>
      <c r="L506" s="6" t="s">
        <v>323</v>
      </c>
      <c r="M506" s="6" t="s">
        <v>318</v>
      </c>
    </row>
    <row r="507" spans="1:13" x14ac:dyDescent="0.35">
      <c r="A507" s="26" t="s">
        <v>229</v>
      </c>
      <c r="B507" s="11" t="s">
        <v>205</v>
      </c>
      <c r="C507" s="22"/>
      <c r="D507" s="23" t="s">
        <v>233</v>
      </c>
      <c r="E507" s="14"/>
      <c r="F507" s="36">
        <v>90258</v>
      </c>
      <c r="G507" s="96"/>
      <c r="H507" s="40">
        <f>F507+G507</f>
        <v>90258</v>
      </c>
      <c r="I507" s="47">
        <f>E507-H507</f>
        <v>-90258</v>
      </c>
      <c r="J507" s="17">
        <f>IFERROR(H507/E507,0)</f>
        <v>0</v>
      </c>
      <c r="K507" s="18" t="str">
        <f>IF(E507=0,"Sin Plan",IF(J507&gt;=1,"Completado",IF(J507&gt;0.001,"En Progreso","Pendiente de ejecutar")))</f>
        <v>Sin Plan</v>
      </c>
      <c r="L507" s="6" t="s">
        <v>323</v>
      </c>
      <c r="M507" s="6" t="s">
        <v>318</v>
      </c>
    </row>
    <row r="508" spans="1:13" hidden="1" x14ac:dyDescent="0.35">
      <c r="A508" s="19" t="s">
        <v>210</v>
      </c>
      <c r="B508" s="11" t="s">
        <v>205</v>
      </c>
      <c r="C508" s="19" t="s">
        <v>13</v>
      </c>
      <c r="D508" s="19" t="s">
        <v>14</v>
      </c>
      <c r="E508" s="13">
        <v>0</v>
      </c>
      <c r="F508" s="13">
        <v>82500</v>
      </c>
      <c r="G508" s="13">
        <v>118000</v>
      </c>
      <c r="H508" s="40">
        <f>F508+G508</f>
        <v>200500</v>
      </c>
      <c r="I508" s="47">
        <f>E508-H508</f>
        <v>-200500</v>
      </c>
      <c r="J508" s="17">
        <f>IFERROR(H508/E508,0)</f>
        <v>0</v>
      </c>
      <c r="K508" s="18" t="str">
        <f>IF(E508=0,"Sin Plan",IF(J508&gt;=1,"Completado",IF(J508&gt;0.001,"En Progreso","Pendiente de ejecutar")))</f>
        <v>Sin Plan</v>
      </c>
      <c r="L508" s="6" t="s">
        <v>323</v>
      </c>
      <c r="M508" s="6" t="s">
        <v>318</v>
      </c>
    </row>
    <row r="509" spans="1:13" hidden="1" x14ac:dyDescent="0.35">
      <c r="A509" s="20" t="s">
        <v>210</v>
      </c>
      <c r="B509" s="11" t="s">
        <v>205</v>
      </c>
      <c r="C509" s="20" t="s">
        <v>29</v>
      </c>
      <c r="D509" s="20" t="s">
        <v>30</v>
      </c>
      <c r="E509" s="14">
        <v>0</v>
      </c>
      <c r="F509" s="14">
        <v>160264.1</v>
      </c>
      <c r="G509" s="14">
        <v>0</v>
      </c>
      <c r="H509" s="40">
        <f>F509+G509</f>
        <v>160264.1</v>
      </c>
      <c r="I509" s="47">
        <f>E509-H509</f>
        <v>-160264.1</v>
      </c>
      <c r="J509" s="17">
        <f>IFERROR(H509/E509,0)</f>
        <v>0</v>
      </c>
      <c r="K509" s="18" t="str">
        <f>IF(E509=0,"Sin Plan",IF(J509&gt;=1,"Completado",IF(J509&gt;0.001,"En Progreso","Pendiente de ejecutar")))</f>
        <v>Sin Plan</v>
      </c>
      <c r="L509" s="6" t="s">
        <v>323</v>
      </c>
      <c r="M509" s="6" t="s">
        <v>318</v>
      </c>
    </row>
    <row r="510" spans="1:13" hidden="1" x14ac:dyDescent="0.35">
      <c r="A510" s="26" t="s">
        <v>210</v>
      </c>
      <c r="B510" s="11" t="s">
        <v>205</v>
      </c>
      <c r="C510" s="26" t="s">
        <v>215</v>
      </c>
      <c r="D510" s="26" t="s">
        <v>216</v>
      </c>
      <c r="E510" s="13">
        <v>0</v>
      </c>
      <c r="F510" s="13">
        <v>0</v>
      </c>
      <c r="G510" s="13">
        <v>663600</v>
      </c>
      <c r="H510" s="40">
        <f>F510+G510</f>
        <v>663600</v>
      </c>
      <c r="I510" s="47">
        <f>E510-H510</f>
        <v>-663600</v>
      </c>
      <c r="J510" s="17">
        <f>IFERROR(H510/E510,0)</f>
        <v>0</v>
      </c>
      <c r="K510" s="18" t="str">
        <f>IF(E510=0,"Sin Plan",IF(J510&gt;=1,"Completado",IF(J510&gt;0.001,"En Progreso","Pendiente de ejecutar")))</f>
        <v>Sin Plan</v>
      </c>
      <c r="L510" s="6" t="s">
        <v>321</v>
      </c>
      <c r="M510" s="6" t="s">
        <v>318</v>
      </c>
    </row>
    <row r="511" spans="1:13" hidden="1" x14ac:dyDescent="0.35">
      <c r="A511" s="11" t="s">
        <v>210</v>
      </c>
      <c r="B511" s="11" t="s">
        <v>205</v>
      </c>
      <c r="C511" s="11" t="s">
        <v>217</v>
      </c>
      <c r="D511" s="11" t="s">
        <v>218</v>
      </c>
      <c r="E511" s="13">
        <v>0</v>
      </c>
      <c r="F511" s="13">
        <v>225082.5</v>
      </c>
      <c r="G511" s="13">
        <v>0</v>
      </c>
      <c r="H511" s="40">
        <f>F511+G511</f>
        <v>225082.5</v>
      </c>
      <c r="I511" s="47">
        <f>E511-H511</f>
        <v>-225082.5</v>
      </c>
      <c r="J511" s="17">
        <f>IFERROR(H511/E511,0)</f>
        <v>0</v>
      </c>
      <c r="K511" s="18" t="str">
        <f>IF(E511=0,"Sin Plan",IF(J511&gt;=1,"Completado",IF(J511&gt;0.001,"En Progreso","Pendiente de ejecutar")))</f>
        <v>Sin Plan</v>
      </c>
      <c r="L511" s="6" t="s">
        <v>321</v>
      </c>
      <c r="M511" s="6" t="s">
        <v>318</v>
      </c>
    </row>
    <row r="512" spans="1:13" hidden="1" x14ac:dyDescent="0.35">
      <c r="A512" s="49" t="s">
        <v>272</v>
      </c>
      <c r="B512" s="49" t="s">
        <v>273</v>
      </c>
      <c r="C512" s="49" t="s">
        <v>37</v>
      </c>
      <c r="D512" s="29" t="s">
        <v>38</v>
      </c>
      <c r="E512" s="40">
        <v>5600000</v>
      </c>
      <c r="F512" s="40">
        <v>0</v>
      </c>
      <c r="G512" s="40">
        <v>0</v>
      </c>
      <c r="H512" s="40">
        <f>F512+G512</f>
        <v>0</v>
      </c>
      <c r="I512" s="47">
        <f>E512-H512</f>
        <v>5600000</v>
      </c>
      <c r="J512" s="17">
        <f>IFERROR(H512/E512,0)</f>
        <v>0</v>
      </c>
      <c r="K512" s="18" t="str">
        <f>IF(E512=0,"Sin Plan",IF(J512&gt;=1,"Completado",IF(J512&gt;0.001,"En Progreso","Pendiente de ejecutar")))</f>
        <v>Pendiente de ejecutar</v>
      </c>
      <c r="L512" s="6" t="s">
        <v>321</v>
      </c>
      <c r="M512" s="6" t="s">
        <v>320</v>
      </c>
    </row>
    <row r="513" spans="1:23" x14ac:dyDescent="0.35">
      <c r="A513" s="11" t="s">
        <v>229</v>
      </c>
      <c r="B513" s="11" t="s">
        <v>205</v>
      </c>
      <c r="C513" s="22"/>
      <c r="D513" s="22" t="s">
        <v>238</v>
      </c>
      <c r="E513" s="14"/>
      <c r="F513" s="36">
        <v>87404</v>
      </c>
      <c r="G513" s="96"/>
      <c r="H513" s="40">
        <f>F513+G513</f>
        <v>87404</v>
      </c>
      <c r="I513" s="47">
        <f>E513-H513</f>
        <v>-87404</v>
      </c>
      <c r="J513" s="17">
        <f>IFERROR(H513/E513,0)</f>
        <v>0</v>
      </c>
      <c r="K513" s="18" t="str">
        <f>IF(E513=0,"Sin Plan",IF(J513&gt;=1,"Completado",IF(J513&gt;0.001,"En Progreso","Pendiente de ejecutar")))</f>
        <v>Sin Plan</v>
      </c>
      <c r="L513" s="6" t="s">
        <v>323</v>
      </c>
      <c r="M513" s="6"/>
    </row>
    <row r="514" spans="1:23" x14ac:dyDescent="0.35">
      <c r="A514" s="26" t="s">
        <v>229</v>
      </c>
      <c r="B514" s="11" t="s">
        <v>205</v>
      </c>
      <c r="C514" s="12"/>
      <c r="D514" s="12" t="s">
        <v>235</v>
      </c>
      <c r="E514" s="13"/>
      <c r="F514" s="36">
        <v>212570.23999999999</v>
      </c>
      <c r="G514" s="100"/>
      <c r="H514" s="40">
        <f>F514+G514</f>
        <v>212570.23999999999</v>
      </c>
      <c r="I514" s="47">
        <f>E514-H514</f>
        <v>-212570.23999999999</v>
      </c>
      <c r="J514" s="17">
        <f>IFERROR(H514/E514,0)</f>
        <v>0</v>
      </c>
      <c r="K514" s="18" t="str">
        <f>IF(E514=0,"Sin Plan",IF(J514&gt;=1,"Completado",IF(J514&gt;0.001,"En Progreso","Pendiente de ejecutar")))</f>
        <v>Sin Plan</v>
      </c>
      <c r="L514" s="6" t="s">
        <v>323</v>
      </c>
      <c r="M514" s="6" t="s">
        <v>318</v>
      </c>
    </row>
    <row r="515" spans="1:23" x14ac:dyDescent="0.35">
      <c r="A515" s="26" t="s">
        <v>229</v>
      </c>
      <c r="B515" s="11" t="s">
        <v>205</v>
      </c>
      <c r="C515" s="12"/>
      <c r="D515" s="104" t="s">
        <v>395</v>
      </c>
      <c r="E515" s="13"/>
      <c r="F515" s="36">
        <f>374400+96960</f>
        <v>471360</v>
      </c>
      <c r="G515" s="100"/>
      <c r="H515" s="40">
        <f>F515+G515</f>
        <v>471360</v>
      </c>
      <c r="I515" s="47">
        <f>E515-H515</f>
        <v>-471360</v>
      </c>
      <c r="J515" s="17">
        <f>IFERROR(H515/E515,0)</f>
        <v>0</v>
      </c>
      <c r="K515" s="18" t="str">
        <f>IF(E515=0,"Sin Plan",IF(J515&gt;=1,"Completado",IF(J515&gt;0.001,"En Progreso","Pendiente de ejecutar")))</f>
        <v>Sin Plan</v>
      </c>
      <c r="L515" s="81" t="s">
        <v>321</v>
      </c>
      <c r="M515" s="6"/>
    </row>
    <row r="516" spans="1:23" hidden="1" x14ac:dyDescent="0.35">
      <c r="A516" s="11" t="s">
        <v>222</v>
      </c>
      <c r="B516" s="11" t="s">
        <v>205</v>
      </c>
      <c r="C516" s="11" t="s">
        <v>223</v>
      </c>
      <c r="D516" s="11" t="s">
        <v>224</v>
      </c>
      <c r="E516" s="14">
        <v>0</v>
      </c>
      <c r="F516" s="15">
        <v>2666816.84</v>
      </c>
      <c r="G516" s="14">
        <v>0</v>
      </c>
      <c r="H516" s="40">
        <f>F516+G516</f>
        <v>2666816.84</v>
      </c>
      <c r="I516" s="47">
        <f>E516-H516</f>
        <v>-2666816.84</v>
      </c>
      <c r="J516" s="17">
        <f>IFERROR(H516/E516,0)</f>
        <v>0</v>
      </c>
      <c r="K516" s="18" t="str">
        <f>IF(E516=0,"Sin Plan",IF(J516&gt;=1,"Completado",IF(J516&gt;0.001,"En Progreso","Pendiente de ejecutar")))</f>
        <v>Sin Plan</v>
      </c>
      <c r="L516" s="6" t="s">
        <v>323</v>
      </c>
      <c r="M516" s="6" t="s">
        <v>318</v>
      </c>
    </row>
    <row r="517" spans="1:23" hidden="1" x14ac:dyDescent="0.35">
      <c r="A517" s="20" t="s">
        <v>222</v>
      </c>
      <c r="B517" s="11" t="s">
        <v>205</v>
      </c>
      <c r="C517" s="20" t="s">
        <v>199</v>
      </c>
      <c r="D517" s="20" t="s">
        <v>200</v>
      </c>
      <c r="E517" s="14">
        <v>0</v>
      </c>
      <c r="F517" s="14">
        <v>697460</v>
      </c>
      <c r="G517" s="14">
        <f>140000+22497.7</f>
        <v>162497.70000000001</v>
      </c>
      <c r="H517" s="40">
        <f>F517+G517</f>
        <v>859957.7</v>
      </c>
      <c r="I517" s="47">
        <f>E517-H517</f>
        <v>-859957.7</v>
      </c>
      <c r="J517" s="17">
        <f>IFERROR(H517/E517,0)</f>
        <v>0</v>
      </c>
      <c r="K517" s="18" t="str">
        <f>IF(E517=0,"Sin Plan",IF(J517&gt;=1,"Completado",IF(J517&gt;0.001,"En Progreso","Pendiente de ejecutar")))</f>
        <v>Sin Plan</v>
      </c>
      <c r="L517" s="6" t="s">
        <v>321</v>
      </c>
      <c r="M517" s="6" t="s">
        <v>318</v>
      </c>
    </row>
    <row r="518" spans="1:23" hidden="1" x14ac:dyDescent="0.35">
      <c r="A518" s="26" t="s">
        <v>222</v>
      </c>
      <c r="B518" s="11" t="s">
        <v>205</v>
      </c>
      <c r="C518" s="26" t="s">
        <v>47</v>
      </c>
      <c r="D518" s="26" t="s">
        <v>48</v>
      </c>
      <c r="E518" s="14">
        <v>0</v>
      </c>
      <c r="F518" s="14">
        <v>0</v>
      </c>
      <c r="G518" s="14">
        <v>246624.75</v>
      </c>
      <c r="H518" s="40">
        <f>F518+G518</f>
        <v>246624.75</v>
      </c>
      <c r="I518" s="47">
        <f>E518-H518</f>
        <v>-246624.75</v>
      </c>
      <c r="J518" s="17">
        <f>IFERROR(H518/E518,0)</f>
        <v>0</v>
      </c>
      <c r="K518" s="18" t="str">
        <f>IF(E518=0,"Sin Plan",IF(J518&gt;=1,"Completado",IF(J518&gt;0.001,"En Progreso","Pendiente de ejecutar")))</f>
        <v>Sin Plan</v>
      </c>
      <c r="L518" s="6" t="s">
        <v>323</v>
      </c>
      <c r="M518" s="6" t="s">
        <v>318</v>
      </c>
    </row>
    <row r="519" spans="1:23" hidden="1" x14ac:dyDescent="0.35">
      <c r="A519" s="11" t="s">
        <v>222</v>
      </c>
      <c r="B519" s="11" t="s">
        <v>205</v>
      </c>
      <c r="C519" s="11" t="s">
        <v>63</v>
      </c>
      <c r="D519" s="11" t="s">
        <v>64</v>
      </c>
      <c r="E519" s="13">
        <v>0</v>
      </c>
      <c r="F519" s="15">
        <v>1024246.69</v>
      </c>
      <c r="G519" s="13">
        <v>0</v>
      </c>
      <c r="H519" s="40">
        <f>F519+G519</f>
        <v>1024246.69</v>
      </c>
      <c r="I519" s="47">
        <f>E519-H519</f>
        <v>-1024246.69</v>
      </c>
      <c r="J519" s="17">
        <f>IFERROR(H519/E519,0)</f>
        <v>0</v>
      </c>
      <c r="K519" s="18" t="str">
        <f>IF(E519=0,"Sin Plan",IF(J519&gt;=1,"Completado",IF(J519&gt;0.001,"En Progreso","Pendiente de ejecutar")))</f>
        <v>Sin Plan</v>
      </c>
      <c r="L519" s="6" t="s">
        <v>321</v>
      </c>
      <c r="M519" s="6" t="s">
        <v>318</v>
      </c>
    </row>
    <row r="520" spans="1:23" hidden="1" x14ac:dyDescent="0.35">
      <c r="A520" s="19" t="s">
        <v>225</v>
      </c>
      <c r="B520" s="11" t="s">
        <v>205</v>
      </c>
      <c r="C520" s="19" t="s">
        <v>220</v>
      </c>
      <c r="D520" s="19" t="s">
        <v>221</v>
      </c>
      <c r="E520" s="13">
        <v>0</v>
      </c>
      <c r="F520" s="13">
        <v>0</v>
      </c>
      <c r="G520" s="13">
        <v>520823.23</v>
      </c>
      <c r="H520" s="40">
        <f>F520+G520</f>
        <v>520823.23</v>
      </c>
      <c r="I520" s="47">
        <f>E520-H520</f>
        <v>-520823.23</v>
      </c>
      <c r="J520" s="17">
        <f>IFERROR(H520/E520,0)</f>
        <v>0</v>
      </c>
      <c r="K520" s="18" t="str">
        <f>IF(E520=0,"Sin Plan",IF(J520&gt;=1,"Completado",IF(J520&gt;0.001,"En Progreso","Pendiente de ejecutar")))</f>
        <v>Sin Plan</v>
      </c>
      <c r="L520" s="6" t="s">
        <v>321</v>
      </c>
      <c r="M520" s="6" t="s">
        <v>318</v>
      </c>
    </row>
    <row r="521" spans="1:23" hidden="1" x14ac:dyDescent="0.35">
      <c r="A521" s="20" t="s">
        <v>225</v>
      </c>
      <c r="B521" s="11" t="s">
        <v>205</v>
      </c>
      <c r="C521" s="20" t="s">
        <v>78</v>
      </c>
      <c r="D521" s="20" t="s">
        <v>79</v>
      </c>
      <c r="E521" s="14">
        <v>0</v>
      </c>
      <c r="F521" s="14">
        <v>211814.72</v>
      </c>
      <c r="G521" s="14">
        <v>0</v>
      </c>
      <c r="H521" s="40">
        <f>F521+G521</f>
        <v>211814.72</v>
      </c>
      <c r="I521" s="47">
        <f>E521-H521</f>
        <v>-211814.72</v>
      </c>
      <c r="J521" s="17">
        <f>IFERROR(H521/E521,0)</f>
        <v>0</v>
      </c>
      <c r="K521" s="18" t="str">
        <f>IF(E521=0,"Sin Plan",IF(J521&gt;=1,"Completado",IF(J521&gt;0.001,"En Progreso","Pendiente de ejecutar")))</f>
        <v>Sin Plan</v>
      </c>
      <c r="L521" s="6" t="s">
        <v>323</v>
      </c>
      <c r="M521" s="6" t="s">
        <v>318</v>
      </c>
    </row>
    <row r="522" spans="1:23" hidden="1" x14ac:dyDescent="0.35">
      <c r="A522" s="26" t="s">
        <v>225</v>
      </c>
      <c r="B522" s="11" t="s">
        <v>205</v>
      </c>
      <c r="C522" s="26" t="s">
        <v>29</v>
      </c>
      <c r="D522" s="26" t="s">
        <v>30</v>
      </c>
      <c r="E522" s="13">
        <v>0</v>
      </c>
      <c r="F522" s="13">
        <v>0</v>
      </c>
      <c r="G522" s="13"/>
      <c r="H522" s="40">
        <f>F522+G522</f>
        <v>0</v>
      </c>
      <c r="I522" s="47">
        <f>E522-H522</f>
        <v>0</v>
      </c>
      <c r="J522" s="17">
        <f>IFERROR(H522/E522,0)</f>
        <v>0</v>
      </c>
      <c r="K522" s="18" t="str">
        <f>IF(E522=0,"Sin Plan",IF(J522&gt;=1,"Completado",IF(J522&gt;0.001,"En Progreso","Pendiente de ejecutar")))</f>
        <v>Sin Plan</v>
      </c>
      <c r="L522" s="6" t="s">
        <v>323</v>
      </c>
      <c r="M522" s="6" t="s">
        <v>322</v>
      </c>
    </row>
    <row r="523" spans="1:23" hidden="1" x14ac:dyDescent="0.35">
      <c r="A523" s="11" t="s">
        <v>226</v>
      </c>
      <c r="B523" s="11" t="s">
        <v>205</v>
      </c>
      <c r="C523" s="11" t="s">
        <v>220</v>
      </c>
      <c r="D523" s="11" t="s">
        <v>221</v>
      </c>
      <c r="E523" s="13">
        <v>0</v>
      </c>
      <c r="F523" s="13">
        <v>0</v>
      </c>
      <c r="G523" s="13">
        <v>520823.23</v>
      </c>
      <c r="H523" s="40">
        <f>F523+G523</f>
        <v>520823.23</v>
      </c>
      <c r="I523" s="47">
        <f>E523-H523</f>
        <v>-520823.23</v>
      </c>
      <c r="J523" s="17">
        <f>IFERROR(H523/E523,0)</f>
        <v>0</v>
      </c>
      <c r="K523" s="18" t="str">
        <f>IF(E523=0,"Sin Plan",IF(J523&gt;=1,"Completado",IF(J523&gt;0.001,"En Progreso","Pendiente de ejecutar")))</f>
        <v>Sin Plan</v>
      </c>
      <c r="L523" s="6" t="s">
        <v>321</v>
      </c>
      <c r="M523" s="6" t="s">
        <v>318</v>
      </c>
    </row>
    <row r="524" spans="1:23" hidden="1" x14ac:dyDescent="0.35">
      <c r="A524" s="26" t="s">
        <v>226</v>
      </c>
      <c r="B524" s="11" t="s">
        <v>205</v>
      </c>
      <c r="C524" s="26" t="s">
        <v>29</v>
      </c>
      <c r="D524" s="26" t="s">
        <v>30</v>
      </c>
      <c r="E524" s="14">
        <v>0</v>
      </c>
      <c r="F524" s="14">
        <v>534229.98</v>
      </c>
      <c r="G524" s="27"/>
      <c r="H524" s="40">
        <f>F524+G524</f>
        <v>534229.98</v>
      </c>
      <c r="I524" s="47">
        <f>E524-H524</f>
        <v>-534229.98</v>
      </c>
      <c r="J524" s="17">
        <f>IFERROR(H524/E524,0)</f>
        <v>0</v>
      </c>
      <c r="K524" s="18" t="str">
        <f>IF(E524=0,"Sin Plan",IF(J524&gt;=1,"Completado",IF(J524&gt;0.001,"En Progreso","Pendiente de ejecutar")))</f>
        <v>Sin Plan</v>
      </c>
      <c r="L524" s="6" t="s">
        <v>321</v>
      </c>
      <c r="M524" s="6" t="s">
        <v>322</v>
      </c>
    </row>
    <row r="525" spans="1:23" hidden="1" x14ac:dyDescent="0.35">
      <c r="A525" s="11" t="s">
        <v>227</v>
      </c>
      <c r="B525" s="11" t="s">
        <v>205</v>
      </c>
      <c r="C525" s="11" t="s">
        <v>44</v>
      </c>
      <c r="D525" s="11" t="s">
        <v>45</v>
      </c>
      <c r="E525" s="13">
        <v>0</v>
      </c>
      <c r="F525" s="13">
        <v>41362.92</v>
      </c>
      <c r="G525" s="13">
        <v>0</v>
      </c>
      <c r="H525" s="40">
        <f>F525+G525</f>
        <v>41362.92</v>
      </c>
      <c r="I525" s="47">
        <f>E525-H525</f>
        <v>-41362.92</v>
      </c>
      <c r="J525" s="17">
        <f>IFERROR(H525/E525,0)</f>
        <v>0</v>
      </c>
      <c r="K525" s="18" t="str">
        <f>IF(E525=0,"Sin Plan",IF(J525&gt;=1,"Completado",IF(J525&gt;0.001,"En Progreso","Pendiente de ejecutar")))</f>
        <v>Sin Plan</v>
      </c>
      <c r="L525" s="6" t="s">
        <v>323</v>
      </c>
      <c r="M525" s="6" t="s">
        <v>318</v>
      </c>
    </row>
    <row r="526" spans="1:23" hidden="1" x14ac:dyDescent="0.35">
      <c r="A526" s="26" t="s">
        <v>228</v>
      </c>
      <c r="B526" s="11" t="s">
        <v>205</v>
      </c>
      <c r="C526" s="26" t="s">
        <v>220</v>
      </c>
      <c r="D526" s="26" t="s">
        <v>221</v>
      </c>
      <c r="E526" s="14">
        <v>0</v>
      </c>
      <c r="F526" s="14">
        <v>0</v>
      </c>
      <c r="G526" s="14">
        <v>520823.23</v>
      </c>
      <c r="H526" s="40">
        <f>F526+G526</f>
        <v>520823.23</v>
      </c>
      <c r="I526" s="47">
        <f>E526-H526</f>
        <v>-520823.23</v>
      </c>
      <c r="J526" s="17">
        <f>IFERROR(H526/E526,0)</f>
        <v>0</v>
      </c>
      <c r="K526" s="18" t="str">
        <f>IF(E526=0,"Sin Plan",IF(J526&gt;=1,"Completado",IF(J526&gt;0.001,"En Progreso","Pendiente de ejecutar")))</f>
        <v>Sin Plan</v>
      </c>
      <c r="L526" s="6" t="s">
        <v>321</v>
      </c>
      <c r="M526" s="6" t="s">
        <v>318</v>
      </c>
    </row>
    <row r="527" spans="1:23" s="2" customFormat="1" hidden="1" x14ac:dyDescent="0.35">
      <c r="A527" s="19" t="s">
        <v>228</v>
      </c>
      <c r="B527" s="11" t="s">
        <v>205</v>
      </c>
      <c r="C527" s="19" t="s">
        <v>13</v>
      </c>
      <c r="D527" s="19" t="s">
        <v>14</v>
      </c>
      <c r="E527" s="13">
        <v>0</v>
      </c>
      <c r="F527" s="13">
        <v>0</v>
      </c>
      <c r="G527" s="13">
        <v>588000</v>
      </c>
      <c r="H527" s="40">
        <f>F527+G527</f>
        <v>588000</v>
      </c>
      <c r="I527" s="47">
        <f>E527-H527</f>
        <v>-588000</v>
      </c>
      <c r="J527" s="17">
        <f>IFERROR(H527/E527,0)</f>
        <v>0</v>
      </c>
      <c r="K527" s="18" t="str">
        <f>IF(E527=0,"Sin Plan",IF(J527&gt;=1,"Completado",IF(J527&gt;0.001,"En Progreso","Pendiente de ejecutar")))</f>
        <v>Sin Plan</v>
      </c>
      <c r="L527" s="6" t="s">
        <v>323</v>
      </c>
      <c r="M527" s="6" t="s">
        <v>318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idden="1" x14ac:dyDescent="0.35">
      <c r="A528" s="20" t="s">
        <v>228</v>
      </c>
      <c r="B528" s="11" t="s">
        <v>205</v>
      </c>
      <c r="C528" s="20" t="s">
        <v>44</v>
      </c>
      <c r="D528" s="20" t="s">
        <v>45</v>
      </c>
      <c r="E528" s="14">
        <v>0</v>
      </c>
      <c r="F528" s="14">
        <v>127155.16</v>
      </c>
      <c r="G528" s="14">
        <v>0</v>
      </c>
      <c r="H528" s="40">
        <f>F528+G528</f>
        <v>127155.16</v>
      </c>
      <c r="I528" s="47">
        <f>E528-H528</f>
        <v>-127155.16</v>
      </c>
      <c r="J528" s="17">
        <f>IFERROR(H528/E528,0)</f>
        <v>0</v>
      </c>
      <c r="K528" s="18" t="str">
        <f>IF(E528=0,"Sin Plan",IF(J528&gt;=1,"Completado",IF(J528&gt;0.001,"En Progreso","Pendiente de ejecutar")))</f>
        <v>Sin Plan</v>
      </c>
      <c r="L528" s="6" t="s">
        <v>323</v>
      </c>
      <c r="M528" s="6" t="s">
        <v>318</v>
      </c>
    </row>
    <row r="529" spans="1:13" hidden="1" x14ac:dyDescent="0.35">
      <c r="A529" s="19" t="s">
        <v>228</v>
      </c>
      <c r="B529" s="11" t="s">
        <v>205</v>
      </c>
      <c r="C529" s="19" t="s">
        <v>181</v>
      </c>
      <c r="D529" s="19" t="s">
        <v>182</v>
      </c>
      <c r="E529" s="13">
        <v>0</v>
      </c>
      <c r="F529" s="13">
        <v>151151.98000000001</v>
      </c>
      <c r="G529" s="13">
        <v>0</v>
      </c>
      <c r="H529" s="40">
        <f>F529+G529</f>
        <v>151151.98000000001</v>
      </c>
      <c r="I529" s="47">
        <f>E529-H529</f>
        <v>-151151.98000000001</v>
      </c>
      <c r="J529" s="17">
        <f>IFERROR(H529/E529,0)</f>
        <v>0</v>
      </c>
      <c r="K529" s="18" t="str">
        <f>IF(E529=0,"Sin Plan",IF(J529&gt;=1,"Completado",IF(J529&gt;0.001,"En Progreso","Pendiente de ejecutar")))</f>
        <v>Sin Plan</v>
      </c>
      <c r="L529" s="6" t="s">
        <v>323</v>
      </c>
      <c r="M529" s="6" t="s">
        <v>318</v>
      </c>
    </row>
    <row r="530" spans="1:13" hidden="1" x14ac:dyDescent="0.35">
      <c r="A530" s="20" t="s">
        <v>228</v>
      </c>
      <c r="B530" s="11" t="s">
        <v>205</v>
      </c>
      <c r="C530" s="20" t="s">
        <v>217</v>
      </c>
      <c r="D530" s="20" t="s">
        <v>218</v>
      </c>
      <c r="E530" s="14">
        <v>0</v>
      </c>
      <c r="F530" s="14">
        <v>223997.3</v>
      </c>
      <c r="G530" s="14">
        <v>0</v>
      </c>
      <c r="H530" s="40">
        <f>F530+G530</f>
        <v>223997.3</v>
      </c>
      <c r="I530" s="47">
        <f>E530-H530</f>
        <v>-223997.3</v>
      </c>
      <c r="J530" s="17">
        <f>IFERROR(H530/E530,0)</f>
        <v>0</v>
      </c>
      <c r="K530" s="18" t="str">
        <f>IF(E530=0,"Sin Plan",IF(J530&gt;=1,"Completado",IF(J530&gt;0.001,"En Progreso","Pendiente de ejecutar")))</f>
        <v>Sin Plan</v>
      </c>
      <c r="L530" s="6" t="s">
        <v>321</v>
      </c>
      <c r="M530" s="6" t="s">
        <v>318</v>
      </c>
    </row>
    <row r="531" spans="1:13" x14ac:dyDescent="0.35">
      <c r="A531" s="29" t="s">
        <v>229</v>
      </c>
      <c r="B531" s="11" t="s">
        <v>205</v>
      </c>
      <c r="C531" s="29"/>
      <c r="D531" s="29" t="s">
        <v>396</v>
      </c>
      <c r="E531" s="14"/>
      <c r="F531" s="100"/>
      <c r="G531" s="36">
        <v>515875.14</v>
      </c>
      <c r="H531" s="40">
        <f>F531+G531</f>
        <v>515875.14</v>
      </c>
      <c r="I531" s="47">
        <f>E531-H531</f>
        <v>-515875.14</v>
      </c>
      <c r="J531" s="17">
        <f>IFERROR(H531/E531,0)</f>
        <v>0</v>
      </c>
      <c r="K531" s="18" t="str">
        <f>IF(E531=0,"Sin Plan",IF(J531&gt;=1,"Completado",IF(J531&gt;0.001,"En Progreso","Pendiente de ejecutar")))</f>
        <v>Sin Plan</v>
      </c>
      <c r="L531" s="81" t="s">
        <v>323</v>
      </c>
      <c r="M531" s="6"/>
    </row>
    <row r="532" spans="1:13" x14ac:dyDescent="0.35">
      <c r="A532" s="20" t="s">
        <v>229</v>
      </c>
      <c r="B532" s="11" t="s">
        <v>205</v>
      </c>
      <c r="C532" s="20"/>
      <c r="D532" s="20" t="s">
        <v>402</v>
      </c>
      <c r="E532" s="14"/>
      <c r="F532" s="36"/>
      <c r="G532" s="36">
        <v>113085.5</v>
      </c>
      <c r="H532" s="40">
        <f>F532+G532</f>
        <v>113085.5</v>
      </c>
      <c r="I532" s="47">
        <f>E532-H532</f>
        <v>-113085.5</v>
      </c>
      <c r="J532" s="17">
        <f>IFERROR(H532/E532,0)</f>
        <v>0</v>
      </c>
      <c r="K532" s="18" t="str">
        <f>IF(E532=0,"Sin Plan",IF(J532&gt;=1,"Completado",IF(J532&gt;0.001,"En Progreso","Pendiente de ejecutar")))</f>
        <v>Sin Plan</v>
      </c>
      <c r="L532" s="81" t="s">
        <v>321</v>
      </c>
      <c r="M532" s="6"/>
    </row>
    <row r="533" spans="1:13" x14ac:dyDescent="0.35">
      <c r="A533" s="29" t="s">
        <v>229</v>
      </c>
      <c r="B533" s="11" t="s">
        <v>205</v>
      </c>
      <c r="C533" s="22"/>
      <c r="D533" s="60" t="s">
        <v>381</v>
      </c>
      <c r="E533" s="14"/>
      <c r="F533" s="36">
        <v>42889.86</v>
      </c>
      <c r="G533" s="100"/>
      <c r="H533" s="40">
        <f>F533+G533</f>
        <v>42889.86</v>
      </c>
      <c r="I533" s="47">
        <f>E533-H533</f>
        <v>-42889.86</v>
      </c>
      <c r="J533" s="17">
        <f>IFERROR(H533/E533,0)</f>
        <v>0</v>
      </c>
      <c r="K533" s="18" t="str">
        <f>IF(E533=0,"Sin Plan",IF(J533&gt;=1,"Completado",IF(J533&gt;0.001,"En Progreso","Pendiente de ejecutar")))</f>
        <v>Sin Plan</v>
      </c>
      <c r="L533" s="6" t="s">
        <v>323</v>
      </c>
      <c r="M533" s="6"/>
    </row>
    <row r="534" spans="1:13" x14ac:dyDescent="0.35">
      <c r="A534" s="26" t="s">
        <v>229</v>
      </c>
      <c r="B534" s="11" t="s">
        <v>205</v>
      </c>
      <c r="C534" s="12"/>
      <c r="D534" s="24" t="s">
        <v>324</v>
      </c>
      <c r="E534" s="13"/>
      <c r="F534" s="100"/>
      <c r="G534" s="36">
        <f>468000+4500</f>
        <v>472500</v>
      </c>
      <c r="H534" s="40">
        <f>F534+G534</f>
        <v>472500</v>
      </c>
      <c r="I534" s="47">
        <f>E534-H534</f>
        <v>-472500</v>
      </c>
      <c r="J534" s="17">
        <f>IFERROR(H534/E534,0)</f>
        <v>0</v>
      </c>
      <c r="K534" s="18" t="str">
        <f>IF(E534=0,"Sin Plan",IF(J534&gt;=1,"Completado",IF(J534&gt;0.001,"En Progreso","Pendiente de ejecutar")))</f>
        <v>Sin Plan</v>
      </c>
      <c r="L534" s="6" t="s">
        <v>323</v>
      </c>
      <c r="M534" s="6" t="s">
        <v>318</v>
      </c>
    </row>
    <row r="535" spans="1:13" x14ac:dyDescent="0.35">
      <c r="A535" s="11" t="s">
        <v>229</v>
      </c>
      <c r="B535" s="11" t="s">
        <v>205</v>
      </c>
      <c r="C535" s="11"/>
      <c r="D535" s="11" t="s">
        <v>54</v>
      </c>
      <c r="E535" s="13"/>
      <c r="F535" s="36">
        <f>25662.27*6</f>
        <v>153973.62</v>
      </c>
      <c r="G535" s="100"/>
      <c r="H535" s="40">
        <f>F535+G535</f>
        <v>153973.62</v>
      </c>
      <c r="I535" s="47">
        <f>E535-H535</f>
        <v>-153973.62</v>
      </c>
      <c r="J535" s="17">
        <f>IFERROR(H535/E535,0)</f>
        <v>0</v>
      </c>
      <c r="K535" s="18" t="str">
        <f>IF(E535=0,"Sin Plan",IF(J535&gt;=1,"Completado",IF(J535&gt;0.001,"En Progreso","Pendiente de ejecutar")))</f>
        <v>Sin Plan</v>
      </c>
      <c r="L535" s="6" t="s">
        <v>323</v>
      </c>
      <c r="M535" s="6" t="s">
        <v>318</v>
      </c>
    </row>
    <row r="536" spans="1:13" x14ac:dyDescent="0.35">
      <c r="A536" s="29" t="s">
        <v>236</v>
      </c>
      <c r="B536" s="11" t="s">
        <v>205</v>
      </c>
      <c r="C536" s="29" t="s">
        <v>33</v>
      </c>
      <c r="D536" s="29" t="s">
        <v>34</v>
      </c>
      <c r="E536" s="40">
        <v>5600000</v>
      </c>
      <c r="F536" s="40">
        <v>0</v>
      </c>
      <c r="G536" s="40">
        <v>2719482.69</v>
      </c>
      <c r="H536" s="40">
        <f>F536+G536</f>
        <v>2719482.69</v>
      </c>
      <c r="I536" s="47">
        <f>E536-H536</f>
        <v>2880517.31</v>
      </c>
      <c r="J536" s="17">
        <f>IFERROR(H536/E536,0)</f>
        <v>0.48562190892857143</v>
      </c>
      <c r="K536" s="18" t="str">
        <f>IF(E536=0,"Sin Plan",IF(J536&gt;=1,"Completado",IF(J536&gt;0.001,"En Progreso","Pendiente de ejecutar")))</f>
        <v>En Progreso</v>
      </c>
      <c r="L536" s="6" t="s">
        <v>321</v>
      </c>
      <c r="M536" s="6" t="s">
        <v>320</v>
      </c>
    </row>
    <row r="537" spans="1:13" x14ac:dyDescent="0.35">
      <c r="A537" s="11" t="s">
        <v>236</v>
      </c>
      <c r="B537" s="11" t="s">
        <v>205</v>
      </c>
      <c r="C537" s="11" t="s">
        <v>186</v>
      </c>
      <c r="D537" s="28" t="s">
        <v>187</v>
      </c>
      <c r="E537" s="14">
        <v>4780000</v>
      </c>
      <c r="F537" s="14">
        <v>0</v>
      </c>
      <c r="G537" s="14">
        <v>3081528.45</v>
      </c>
      <c r="H537" s="40">
        <f>F537+G537</f>
        <v>3081528.45</v>
      </c>
      <c r="I537" s="47">
        <f>E537-H537</f>
        <v>1698471.5499999998</v>
      </c>
      <c r="J537" s="17">
        <f>IFERROR(H537/E537,0)</f>
        <v>0.64467122384937248</v>
      </c>
      <c r="K537" s="18" t="str">
        <f>IF(E537=0,"Sin Plan",IF(J537&gt;=1,"Completado",IF(J537&gt;0.001,"En Progreso","Pendiente de ejecutar")))</f>
        <v>En Progreso</v>
      </c>
      <c r="L537" s="81" t="s">
        <v>323</v>
      </c>
      <c r="M537" s="6" t="s">
        <v>320</v>
      </c>
    </row>
    <row r="538" spans="1:13" x14ac:dyDescent="0.35">
      <c r="A538" s="19" t="s">
        <v>236</v>
      </c>
      <c r="B538" s="11" t="s">
        <v>205</v>
      </c>
      <c r="C538" s="19" t="s">
        <v>237</v>
      </c>
      <c r="D538" s="19" t="s">
        <v>238</v>
      </c>
      <c r="E538" s="13">
        <v>2130000</v>
      </c>
      <c r="F538" s="13">
        <v>0</v>
      </c>
      <c r="G538" s="13">
        <v>0</v>
      </c>
      <c r="H538" s="40">
        <f>F538+G538</f>
        <v>0</v>
      </c>
      <c r="I538" s="47">
        <f>E538-H538</f>
        <v>2130000</v>
      </c>
      <c r="J538" s="17">
        <f>IFERROR(H538/E538,0)</f>
        <v>0</v>
      </c>
      <c r="K538" s="18" t="str">
        <f>IF(E538=0,"Sin Plan",IF(J538&gt;=1,"Completado",IF(J538&gt;0.001,"En Progreso","Pendiente de ejecutar")))</f>
        <v>Pendiente de ejecutar</v>
      </c>
      <c r="L538" s="6" t="s">
        <v>321</v>
      </c>
      <c r="M538" s="6" t="s">
        <v>320</v>
      </c>
    </row>
    <row r="539" spans="1:13" x14ac:dyDescent="0.35">
      <c r="A539" s="11" t="s">
        <v>236</v>
      </c>
      <c r="B539" s="11" t="s">
        <v>205</v>
      </c>
      <c r="C539" s="11" t="s">
        <v>39</v>
      </c>
      <c r="D539" s="11" t="s">
        <v>40</v>
      </c>
      <c r="E539" s="13">
        <v>1500000</v>
      </c>
      <c r="F539" s="35">
        <v>1133190</v>
      </c>
      <c r="G539" s="13">
        <v>0</v>
      </c>
      <c r="H539" s="40">
        <f>F539+G539</f>
        <v>1133190</v>
      </c>
      <c r="I539" s="47">
        <f>E539-H539</f>
        <v>366810</v>
      </c>
      <c r="J539" s="17">
        <f>IFERROR(H539/E539,0)</f>
        <v>0.75546000000000002</v>
      </c>
      <c r="K539" s="18" t="str">
        <f>IF(E539=0,"Sin Plan",IF(J539&gt;=1,"Completado",IF(J539&gt;0.001,"En Progreso","Pendiente de ejecutar")))</f>
        <v>En Progreso</v>
      </c>
      <c r="L539" s="6" t="s">
        <v>323</v>
      </c>
      <c r="M539" s="6" t="s">
        <v>320</v>
      </c>
    </row>
    <row r="540" spans="1:13" hidden="1" x14ac:dyDescent="0.35">
      <c r="A540" s="19" t="s">
        <v>276</v>
      </c>
      <c r="B540" s="19" t="s">
        <v>273</v>
      </c>
      <c r="C540" s="19" t="s">
        <v>37</v>
      </c>
      <c r="D540" s="11" t="s">
        <v>38</v>
      </c>
      <c r="E540" s="13">
        <v>350000</v>
      </c>
      <c r="F540" s="13">
        <v>0</v>
      </c>
      <c r="G540" s="13">
        <v>0</v>
      </c>
      <c r="H540" s="40">
        <f>F540+G540</f>
        <v>0</v>
      </c>
      <c r="I540" s="47">
        <f>E540-H540</f>
        <v>350000</v>
      </c>
      <c r="J540" s="17">
        <f>IFERROR(H540/E540,0)</f>
        <v>0</v>
      </c>
      <c r="K540" s="18" t="str">
        <f>IF(E540=0,"Sin Plan",IF(J540&gt;=1,"Completado",IF(J540&gt;0.001,"En Progreso","Pendiente de ejecutar")))</f>
        <v>Pendiente de ejecutar</v>
      </c>
      <c r="L540" s="6" t="s">
        <v>321</v>
      </c>
      <c r="M540" s="6" t="s">
        <v>320</v>
      </c>
    </row>
    <row r="541" spans="1:13" hidden="1" x14ac:dyDescent="0.35">
      <c r="A541" s="26" t="s">
        <v>239</v>
      </c>
      <c r="B541" s="11" t="s">
        <v>205</v>
      </c>
      <c r="C541" s="26" t="s">
        <v>47</v>
      </c>
      <c r="D541" s="26" t="s">
        <v>48</v>
      </c>
      <c r="E541" s="13">
        <v>0</v>
      </c>
      <c r="F541" s="13">
        <v>0</v>
      </c>
      <c r="G541" s="13">
        <v>246624.75</v>
      </c>
      <c r="H541" s="40">
        <f>F541+G541</f>
        <v>246624.75</v>
      </c>
      <c r="I541" s="47">
        <f>E541-H541</f>
        <v>-246624.75</v>
      </c>
      <c r="J541" s="17">
        <f>IFERROR(H541/E541,0)</f>
        <v>0</v>
      </c>
      <c r="K541" s="18" t="str">
        <f>IF(E541=0,"Sin Plan",IF(J541&gt;=1,"Completado",IF(J541&gt;0.001,"En Progreso","Pendiente de ejecutar")))</f>
        <v>Sin Plan</v>
      </c>
      <c r="L541" s="6" t="s">
        <v>323</v>
      </c>
      <c r="M541" s="6" t="s">
        <v>318</v>
      </c>
    </row>
    <row r="542" spans="1:13" x14ac:dyDescent="0.35">
      <c r="A542" s="11" t="s">
        <v>236</v>
      </c>
      <c r="B542" s="11" t="s">
        <v>205</v>
      </c>
      <c r="C542" s="11" t="s">
        <v>183</v>
      </c>
      <c r="D542" s="11" t="s">
        <v>184</v>
      </c>
      <c r="E542" s="13">
        <v>464000</v>
      </c>
      <c r="F542" s="13">
        <v>0</v>
      </c>
      <c r="G542" s="13">
        <v>0</v>
      </c>
      <c r="H542" s="40">
        <f>F542+G542</f>
        <v>0</v>
      </c>
      <c r="I542" s="47">
        <f>E542-H542</f>
        <v>464000</v>
      </c>
      <c r="J542" s="17">
        <f>IFERROR(H542/E542,0)</f>
        <v>0</v>
      </c>
      <c r="K542" s="18" t="str">
        <f>IF(E542=0,"Sin Plan",IF(J542&gt;=1,"Completado",IF(J542&gt;0.001,"En Progreso","Pendiente de ejecutar")))</f>
        <v>Pendiente de ejecutar</v>
      </c>
      <c r="L542" s="6" t="s">
        <v>323</v>
      </c>
      <c r="M542" s="6" t="s">
        <v>320</v>
      </c>
    </row>
    <row r="543" spans="1:13" x14ac:dyDescent="0.35">
      <c r="A543" s="11" t="s">
        <v>236</v>
      </c>
      <c r="B543" s="11" t="s">
        <v>205</v>
      </c>
      <c r="C543" s="11" t="s">
        <v>27</v>
      </c>
      <c r="D543" s="11" t="s">
        <v>28</v>
      </c>
      <c r="E543" s="14">
        <v>350000</v>
      </c>
      <c r="F543" s="14">
        <v>0</v>
      </c>
      <c r="G543" s="14">
        <v>0</v>
      </c>
      <c r="H543" s="40">
        <f>F543+G543</f>
        <v>0</v>
      </c>
      <c r="I543" s="47">
        <f>E543-H543</f>
        <v>350000</v>
      </c>
      <c r="J543" s="17">
        <f>IFERROR(H543/E543,0)</f>
        <v>0</v>
      </c>
      <c r="K543" s="18" t="str">
        <f>IF(E543=0,"Sin Plan",IF(J543&gt;=1,"Completado",IF(J543&gt;0.001,"En Progreso","Pendiente de ejecutar")))</f>
        <v>Pendiente de ejecutar</v>
      </c>
      <c r="L543" s="6" t="s">
        <v>323</v>
      </c>
      <c r="M543" s="6" t="s">
        <v>320</v>
      </c>
    </row>
    <row r="544" spans="1:13" x14ac:dyDescent="0.35">
      <c r="A544" s="20" t="s">
        <v>236</v>
      </c>
      <c r="B544" s="11" t="s">
        <v>205</v>
      </c>
      <c r="C544" s="20" t="s">
        <v>135</v>
      </c>
      <c r="D544" s="20" t="s">
        <v>136</v>
      </c>
      <c r="E544" s="14">
        <v>217000</v>
      </c>
      <c r="F544" s="36">
        <v>226008.44</v>
      </c>
      <c r="G544" s="14">
        <v>0</v>
      </c>
      <c r="H544" s="40">
        <f>F544+G544</f>
        <v>226008.44</v>
      </c>
      <c r="I544" s="47">
        <f>E544-H544</f>
        <v>-9008.4400000000023</v>
      </c>
      <c r="J544" s="17">
        <f>IFERROR(H544/E544,0)</f>
        <v>1.0415135483870968</v>
      </c>
      <c r="K544" s="18" t="str">
        <f>IF(E544=0,"Sin Plan",IF(J544&gt;=1,"Completado",IF(J544&gt;0.001,"En Progreso","Pendiente de ejecutar")))</f>
        <v>Completado</v>
      </c>
      <c r="L544" s="6" t="s">
        <v>323</v>
      </c>
      <c r="M544" s="6" t="s">
        <v>320</v>
      </c>
    </row>
    <row r="545" spans="1:13" x14ac:dyDescent="0.35">
      <c r="A545" s="11" t="s">
        <v>236</v>
      </c>
      <c r="B545" s="11" t="s">
        <v>205</v>
      </c>
      <c r="C545" s="11" t="s">
        <v>37</v>
      </c>
      <c r="D545" s="11" t="s">
        <v>38</v>
      </c>
      <c r="E545" s="14">
        <v>0</v>
      </c>
      <c r="F545" s="36">
        <v>311400</v>
      </c>
      <c r="G545" s="14">
        <v>0</v>
      </c>
      <c r="H545" s="40">
        <f>F545+G545</f>
        <v>311400</v>
      </c>
      <c r="I545" s="47">
        <f>E545-H545</f>
        <v>-311400</v>
      </c>
      <c r="J545" s="17">
        <f>IFERROR(H545/E545,0)</f>
        <v>0</v>
      </c>
      <c r="K545" s="18" t="str">
        <f>IF(E545=0,"Sin Plan",IF(J545&gt;=1,"Completado",IF(J545&gt;0.001,"En Progreso","Pendiente de ejecutar")))</f>
        <v>Sin Plan</v>
      </c>
      <c r="L545" s="6" t="s">
        <v>323</v>
      </c>
      <c r="M545" s="6" t="s">
        <v>318</v>
      </c>
    </row>
    <row r="546" spans="1:13" hidden="1" x14ac:dyDescent="0.35">
      <c r="A546" s="20" t="s">
        <v>241</v>
      </c>
      <c r="B546" s="11" t="s">
        <v>205</v>
      </c>
      <c r="C546" s="20" t="s">
        <v>66</v>
      </c>
      <c r="D546" s="20" t="s">
        <v>67</v>
      </c>
      <c r="E546" s="14">
        <v>0</v>
      </c>
      <c r="F546" s="14">
        <v>0</v>
      </c>
      <c r="G546" s="14">
        <v>108227.37</v>
      </c>
      <c r="H546" s="40">
        <f>F546+G546</f>
        <v>108227.37</v>
      </c>
      <c r="I546" s="47">
        <f>E546-H546</f>
        <v>-108227.37</v>
      </c>
      <c r="J546" s="17">
        <f>IFERROR(H546/E546,0)</f>
        <v>0</v>
      </c>
      <c r="K546" s="18" t="str">
        <f>IF(E546=0,"Sin Plan",IF(J546&gt;=1,"Completado",IF(J546&gt;0.001,"En Progreso","Pendiente de ejecutar")))</f>
        <v>Sin Plan</v>
      </c>
      <c r="L546" s="6" t="s">
        <v>323</v>
      </c>
      <c r="M546" s="6" t="s">
        <v>318</v>
      </c>
    </row>
    <row r="547" spans="1:13" hidden="1" x14ac:dyDescent="0.35">
      <c r="A547" s="20" t="s">
        <v>241</v>
      </c>
      <c r="B547" s="11" t="s">
        <v>205</v>
      </c>
      <c r="C547" s="20" t="s">
        <v>231</v>
      </c>
      <c r="D547" s="20" t="s">
        <v>232</v>
      </c>
      <c r="E547" s="14">
        <v>0</v>
      </c>
      <c r="F547" s="14">
        <v>40400</v>
      </c>
      <c r="G547" s="14">
        <v>0</v>
      </c>
      <c r="H547" s="40">
        <f>F547+G547</f>
        <v>40400</v>
      </c>
      <c r="I547" s="47">
        <f>E547-H547</f>
        <v>-40400</v>
      </c>
      <c r="J547" s="17">
        <f>IFERROR(H547/E547,0)</f>
        <v>0</v>
      </c>
      <c r="K547" s="18" t="str">
        <f>IF(E547=0,"Sin Plan",IF(J547&gt;=1,"Completado",IF(J547&gt;0.001,"En Progreso","Pendiente de ejecutar")))</f>
        <v>Sin Plan</v>
      </c>
      <c r="L547" s="6" t="s">
        <v>323</v>
      </c>
      <c r="M547" s="6" t="s">
        <v>318</v>
      </c>
    </row>
    <row r="548" spans="1:13" hidden="1" x14ac:dyDescent="0.35">
      <c r="A548" s="11" t="s">
        <v>241</v>
      </c>
      <c r="B548" s="11" t="s">
        <v>205</v>
      </c>
      <c r="C548" s="11" t="s">
        <v>13</v>
      </c>
      <c r="D548" s="11" t="s">
        <v>14</v>
      </c>
      <c r="E548" s="13">
        <v>0</v>
      </c>
      <c r="F548" s="13">
        <v>95500</v>
      </c>
      <c r="G548" s="13">
        <v>0</v>
      </c>
      <c r="H548" s="40">
        <f>F548+G548</f>
        <v>95500</v>
      </c>
      <c r="I548" s="47">
        <f>E548-H548</f>
        <v>-95500</v>
      </c>
      <c r="J548" s="17">
        <f>IFERROR(H548/E548,0)</f>
        <v>0</v>
      </c>
      <c r="K548" s="18" t="str">
        <f>IF(E548=0,"Sin Plan",IF(J548&gt;=1,"Completado",IF(J548&gt;0.001,"En Progreso","Pendiente de ejecutar")))</f>
        <v>Sin Plan</v>
      </c>
      <c r="L548" s="6" t="s">
        <v>323</v>
      </c>
      <c r="M548" s="6" t="s">
        <v>318</v>
      </c>
    </row>
    <row r="549" spans="1:13" hidden="1" x14ac:dyDescent="0.35">
      <c r="A549" s="26" t="s">
        <v>241</v>
      </c>
      <c r="B549" s="11" t="s">
        <v>205</v>
      </c>
      <c r="C549" s="26" t="s">
        <v>47</v>
      </c>
      <c r="D549" s="26" t="s">
        <v>48</v>
      </c>
      <c r="E549" s="13">
        <v>0</v>
      </c>
      <c r="F549" s="13">
        <v>0</v>
      </c>
      <c r="G549" s="13">
        <v>246624.75</v>
      </c>
      <c r="H549" s="40">
        <f>F549+G549</f>
        <v>246624.75</v>
      </c>
      <c r="I549" s="47">
        <f>E549-H549</f>
        <v>-246624.75</v>
      </c>
      <c r="J549" s="17">
        <f>IFERROR(H549/E549,0)</f>
        <v>0</v>
      </c>
      <c r="K549" s="18" t="str">
        <f>IF(E549=0,"Sin Plan",IF(J549&gt;=1,"Completado",IF(J549&gt;0.001,"En Progreso","Pendiente de ejecutar")))</f>
        <v>Sin Plan</v>
      </c>
      <c r="L549" s="6" t="s">
        <v>323</v>
      </c>
      <c r="M549" s="6" t="s">
        <v>318</v>
      </c>
    </row>
    <row r="550" spans="1:13" x14ac:dyDescent="0.35">
      <c r="A550" s="11" t="s">
        <v>236</v>
      </c>
      <c r="B550" s="11" t="s">
        <v>205</v>
      </c>
      <c r="C550" s="22"/>
      <c r="D550" s="92" t="s">
        <v>325</v>
      </c>
      <c r="E550" s="14">
        <v>-1056489.1499999999</v>
      </c>
      <c r="F550" s="100"/>
      <c r="G550" s="100"/>
      <c r="H550" s="40">
        <f>F550+G550</f>
        <v>0</v>
      </c>
      <c r="I550" s="47">
        <f>E550-H550</f>
        <v>-1056489.1499999999</v>
      </c>
      <c r="J550" s="17">
        <f>IFERROR(H550/E550,0)</f>
        <v>0</v>
      </c>
      <c r="K550" s="18" t="str">
        <f>IF(E550=0,"Sin Plan",IF(J550&gt;=1,"Completado",IF(J550&gt;0.001,"En Progreso","Pendiente de ejecutar")))</f>
        <v>Pendiente de ejecutar</v>
      </c>
      <c r="L550" s="81" t="s">
        <v>321</v>
      </c>
      <c r="M550" s="6"/>
    </row>
    <row r="551" spans="1:13" x14ac:dyDescent="0.35">
      <c r="A551" s="29" t="s">
        <v>236</v>
      </c>
      <c r="B551" s="11" t="s">
        <v>205</v>
      </c>
      <c r="C551" s="29"/>
      <c r="D551" s="29" t="s">
        <v>193</v>
      </c>
      <c r="E551" s="40"/>
      <c r="F551" s="40"/>
      <c r="G551" s="40">
        <v>108390.47</v>
      </c>
      <c r="H551" s="40">
        <f>F551+G551</f>
        <v>108390.47</v>
      </c>
      <c r="I551" s="47">
        <f>E551-H551</f>
        <v>-108390.47</v>
      </c>
      <c r="J551" s="17">
        <f>IFERROR(H551/E551,0)</f>
        <v>0</v>
      </c>
      <c r="K551" s="18" t="str">
        <f>IF(E551=0,"Sin Plan",IF(J551&gt;=1,"Completado",IF(J551&gt;0.001,"En Progreso","Pendiente de ejecutar")))</f>
        <v>Sin Plan</v>
      </c>
      <c r="L551" s="81" t="s">
        <v>323</v>
      </c>
      <c r="M551" s="6"/>
    </row>
    <row r="552" spans="1:13" x14ac:dyDescent="0.35">
      <c r="A552" s="29" t="s">
        <v>236</v>
      </c>
      <c r="B552" s="11" t="s">
        <v>205</v>
      </c>
      <c r="C552" s="19"/>
      <c r="D552" s="28" t="s">
        <v>397</v>
      </c>
      <c r="E552" s="13"/>
      <c r="F552" s="35">
        <v>132674.79999999999</v>
      </c>
      <c r="G552" s="14"/>
      <c r="H552" s="40">
        <f>F552+G552</f>
        <v>132674.79999999999</v>
      </c>
      <c r="I552" s="47">
        <f>E552-H552</f>
        <v>-132674.79999999999</v>
      </c>
      <c r="J552" s="17">
        <f>IFERROR(H552/E552,0)</f>
        <v>0</v>
      </c>
      <c r="K552" s="18" t="str">
        <f>IF(E552=0,"Sin Plan",IF(J552&gt;=1,"Completado",IF(J552&gt;0.001,"En Progreso","Pendiente de ejecutar")))</f>
        <v>Sin Plan</v>
      </c>
      <c r="L552" s="81" t="s">
        <v>321</v>
      </c>
      <c r="M552" s="6"/>
    </row>
    <row r="553" spans="1:13" x14ac:dyDescent="0.35">
      <c r="A553" s="19" t="s">
        <v>236</v>
      </c>
      <c r="B553" s="11" t="s">
        <v>205</v>
      </c>
      <c r="C553" s="11"/>
      <c r="D553" s="11" t="s">
        <v>398</v>
      </c>
      <c r="E553" s="13"/>
      <c r="F553" s="13">
        <v>132838.98000000001</v>
      </c>
      <c r="G553" s="13"/>
      <c r="H553" s="40">
        <f>F553+G553</f>
        <v>132838.98000000001</v>
      </c>
      <c r="I553" s="47">
        <f>E553-H553</f>
        <v>-132838.98000000001</v>
      </c>
      <c r="J553" s="17">
        <f>IFERROR(H553/E553,0)</f>
        <v>0</v>
      </c>
      <c r="K553" s="18" t="str">
        <f>IF(E553=0,"Sin Plan",IF(J553&gt;=1,"Completado",IF(J553&gt;0.001,"En Progreso","Pendiente de ejecutar")))</f>
        <v>Sin Plan</v>
      </c>
      <c r="L553" s="81" t="s">
        <v>323</v>
      </c>
      <c r="M553" s="6"/>
    </row>
    <row r="554" spans="1:13" x14ac:dyDescent="0.35">
      <c r="A554" s="20" t="s">
        <v>240</v>
      </c>
      <c r="B554" s="11" t="s">
        <v>205</v>
      </c>
      <c r="C554" s="20" t="s">
        <v>66</v>
      </c>
      <c r="D554" s="20" t="s">
        <v>67</v>
      </c>
      <c r="E554" s="14">
        <v>1250000</v>
      </c>
      <c r="F554" s="14">
        <v>0</v>
      </c>
      <c r="G554" s="36">
        <v>721415.83</v>
      </c>
      <c r="H554" s="40">
        <f>F554+G554</f>
        <v>721415.83</v>
      </c>
      <c r="I554" s="47">
        <f>E554-H554</f>
        <v>528584.17000000004</v>
      </c>
      <c r="J554" s="17">
        <f>IFERROR(H554/E554,0)</f>
        <v>0.57713266399999996</v>
      </c>
      <c r="K554" s="18" t="str">
        <f>IF(E554=0,"Sin Plan",IF(J554&gt;=1,"Completado",IF(J554&gt;0.001,"En Progreso","Pendiente de ejecutar")))</f>
        <v>En Progreso</v>
      </c>
      <c r="L554" s="6" t="s">
        <v>323</v>
      </c>
      <c r="M554" s="6" t="s">
        <v>320</v>
      </c>
    </row>
    <row r="555" spans="1:13" x14ac:dyDescent="0.35">
      <c r="A555" s="11" t="s">
        <v>240</v>
      </c>
      <c r="B555" s="11" t="s">
        <v>205</v>
      </c>
      <c r="C555" s="11" t="s">
        <v>39</v>
      </c>
      <c r="D555" s="11" t="s">
        <v>40</v>
      </c>
      <c r="E555" s="14">
        <v>715000</v>
      </c>
      <c r="F555" s="14">
        <v>0</v>
      </c>
      <c r="G555" s="14">
        <f>606625+189090</f>
        <v>795715</v>
      </c>
      <c r="H555" s="40">
        <f>F555+G555</f>
        <v>795715</v>
      </c>
      <c r="I555" s="47">
        <f>E555-H555</f>
        <v>-80715</v>
      </c>
      <c r="J555" s="17">
        <f>IFERROR(H555/E555,0)</f>
        <v>1.112888111888112</v>
      </c>
      <c r="K555" s="18" t="str">
        <f>IF(E555=0,"Sin Plan",IF(J555&gt;=1,"Completado",IF(J555&gt;0.001,"En Progreso","Pendiente de ejecutar")))</f>
        <v>Completado</v>
      </c>
      <c r="L555" s="6" t="s">
        <v>321</v>
      </c>
      <c r="M555" s="6" t="s">
        <v>320</v>
      </c>
    </row>
    <row r="556" spans="1:13" hidden="1" x14ac:dyDescent="0.35">
      <c r="A556" s="28" t="s">
        <v>248</v>
      </c>
      <c r="B556" s="11" t="s">
        <v>205</v>
      </c>
      <c r="C556" s="29" t="s">
        <v>249</v>
      </c>
      <c r="D556" s="29" t="s">
        <v>250</v>
      </c>
      <c r="E556" s="25">
        <v>0</v>
      </c>
      <c r="F556" s="15">
        <v>243700</v>
      </c>
      <c r="G556" s="25">
        <v>0</v>
      </c>
      <c r="H556" s="40">
        <f>F556+G556</f>
        <v>243700</v>
      </c>
      <c r="I556" s="47">
        <f>E556-H556</f>
        <v>-243700</v>
      </c>
      <c r="J556" s="17">
        <f>IFERROR(H556/E556,0)</f>
        <v>0</v>
      </c>
      <c r="K556" s="18" t="str">
        <f>IF(E556=0,"Sin Plan",IF(J556&gt;=1,"Completado",IF(J556&gt;0.001,"En Progreso","Pendiente de ejecutar")))</f>
        <v>Sin Plan</v>
      </c>
      <c r="L556" s="6" t="s">
        <v>321</v>
      </c>
      <c r="M556" s="6" t="s">
        <v>318</v>
      </c>
    </row>
    <row r="557" spans="1:13" s="2" customFormat="1" hidden="1" x14ac:dyDescent="0.35">
      <c r="A557" s="28" t="s">
        <v>248</v>
      </c>
      <c r="B557" s="11" t="s">
        <v>205</v>
      </c>
      <c r="C557" s="29" t="s">
        <v>96</v>
      </c>
      <c r="D557" s="29" t="s">
        <v>97</v>
      </c>
      <c r="E557" s="25">
        <v>0</v>
      </c>
      <c r="F557" s="25">
        <v>0</v>
      </c>
      <c r="G557" s="25">
        <v>120344</v>
      </c>
      <c r="H557" s="40">
        <f>F557+G557</f>
        <v>120344</v>
      </c>
      <c r="I557" s="47">
        <f>E557-H557</f>
        <v>-120344</v>
      </c>
      <c r="J557" s="17">
        <f>IFERROR(H557/E557,0)</f>
        <v>0</v>
      </c>
      <c r="K557" s="18" t="str">
        <f>IF(E557=0,"Sin Plan",IF(J557&gt;=1,"Completado",IF(J557&gt;0.001,"En Progreso","Pendiente de ejecutar")))</f>
        <v>Sin Plan</v>
      </c>
      <c r="L557" s="6" t="s">
        <v>323</v>
      </c>
      <c r="M557" s="6" t="s">
        <v>318</v>
      </c>
    </row>
    <row r="558" spans="1:13" hidden="1" x14ac:dyDescent="0.35">
      <c r="A558" s="28" t="s">
        <v>248</v>
      </c>
      <c r="B558" s="11" t="s">
        <v>205</v>
      </c>
      <c r="C558" s="29" t="s">
        <v>101</v>
      </c>
      <c r="D558" s="29" t="s">
        <v>102</v>
      </c>
      <c r="E558" s="25">
        <v>0</v>
      </c>
      <c r="F558" s="15">
        <v>284062.64</v>
      </c>
      <c r="G558" s="25">
        <v>0</v>
      </c>
      <c r="H558" s="40">
        <f>F558+G558</f>
        <v>284062.64</v>
      </c>
      <c r="I558" s="47">
        <f>E558-H558</f>
        <v>-284062.64</v>
      </c>
      <c r="J558" s="17">
        <f>IFERROR(H558/E558,0)</f>
        <v>0</v>
      </c>
      <c r="K558" s="18" t="str">
        <f>IF(E558=0,"Sin Plan",IF(J558&gt;=1,"Completado",IF(J558&gt;0.001,"En Progreso","Pendiente de ejecutar")))</f>
        <v>Sin Plan</v>
      </c>
      <c r="L558" s="6" t="s">
        <v>323</v>
      </c>
      <c r="M558" s="6" t="s">
        <v>318</v>
      </c>
    </row>
    <row r="559" spans="1:13" hidden="1" x14ac:dyDescent="0.35">
      <c r="A559" s="28" t="s">
        <v>248</v>
      </c>
      <c r="B559" s="11" t="s">
        <v>205</v>
      </c>
      <c r="C559" s="29"/>
      <c r="D559" s="29" t="s">
        <v>252</v>
      </c>
      <c r="E559" s="25">
        <v>0</v>
      </c>
      <c r="F559" s="15">
        <v>27160</v>
      </c>
      <c r="G559" s="25"/>
      <c r="H559" s="40">
        <f>F559+G559</f>
        <v>27160</v>
      </c>
      <c r="I559" s="47">
        <f>E559-H559</f>
        <v>-27160</v>
      </c>
      <c r="J559" s="17">
        <f>IFERROR(H559/E559,0)</f>
        <v>0</v>
      </c>
      <c r="K559" s="18" t="str">
        <f>IF(E559=0,"Sin Plan",IF(J559&gt;=1,"Completado",IF(J559&gt;0.001,"En Progreso","Pendiente de ejecutar")))</f>
        <v>Sin Plan</v>
      </c>
      <c r="L559" s="6" t="s">
        <v>323</v>
      </c>
      <c r="M559" s="6" t="s">
        <v>318</v>
      </c>
    </row>
    <row r="560" spans="1:13" hidden="1" x14ac:dyDescent="0.35">
      <c r="A560" s="26" t="s">
        <v>253</v>
      </c>
      <c r="B560" s="11" t="s">
        <v>205</v>
      </c>
      <c r="C560" s="26" t="s">
        <v>13</v>
      </c>
      <c r="D560" s="26" t="s">
        <v>14</v>
      </c>
      <c r="E560" s="14">
        <v>0</v>
      </c>
      <c r="F560" s="14">
        <v>0</v>
      </c>
      <c r="G560" s="14">
        <v>46150</v>
      </c>
      <c r="H560" s="40">
        <f>F560+G560</f>
        <v>46150</v>
      </c>
      <c r="I560" s="47">
        <f>E560-H560</f>
        <v>-46150</v>
      </c>
      <c r="J560" s="17">
        <f>IFERROR(H560/E560,0)</f>
        <v>0</v>
      </c>
      <c r="K560" s="18" t="str">
        <f>IF(E560=0,"Sin Plan",IF(J560&gt;=1,"Completado",IF(J560&gt;0.001,"En Progreso","Pendiente de ejecutar")))</f>
        <v>Sin Plan</v>
      </c>
      <c r="L560" s="6" t="s">
        <v>323</v>
      </c>
      <c r="M560" s="6" t="s">
        <v>318</v>
      </c>
    </row>
    <row r="561" spans="1:13" hidden="1" x14ac:dyDescent="0.35">
      <c r="A561" s="19" t="s">
        <v>253</v>
      </c>
      <c r="B561" s="11" t="s">
        <v>205</v>
      </c>
      <c r="C561" s="19" t="s">
        <v>96</v>
      </c>
      <c r="D561" s="19" t="s">
        <v>97</v>
      </c>
      <c r="E561" s="13">
        <v>0</v>
      </c>
      <c r="F561" s="13">
        <v>82670.600000000006</v>
      </c>
      <c r="G561" s="13">
        <v>0</v>
      </c>
      <c r="H561" s="40">
        <f>F561+G561</f>
        <v>82670.600000000006</v>
      </c>
      <c r="I561" s="47">
        <f>E561-H561</f>
        <v>-82670.600000000006</v>
      </c>
      <c r="J561" s="17">
        <f>IFERROR(H561/E561,0)</f>
        <v>0</v>
      </c>
      <c r="K561" s="18" t="str">
        <f>IF(E561=0,"Sin Plan",IF(J561&gt;=1,"Completado",IF(J561&gt;0.001,"En Progreso","Pendiente de ejecutar")))</f>
        <v>Sin Plan</v>
      </c>
      <c r="L561" s="6" t="s">
        <v>323</v>
      </c>
      <c r="M561" s="6" t="s">
        <v>318</v>
      </c>
    </row>
    <row r="562" spans="1:13" hidden="1" x14ac:dyDescent="0.35">
      <c r="A562" s="20" t="s">
        <v>253</v>
      </c>
      <c r="B562" s="11" t="s">
        <v>205</v>
      </c>
      <c r="C562" s="20" t="s">
        <v>254</v>
      </c>
      <c r="D562" s="20" t="s">
        <v>255</v>
      </c>
      <c r="E562" s="14">
        <v>0</v>
      </c>
      <c r="F562" s="14">
        <v>226771</v>
      </c>
      <c r="G562" s="14">
        <v>0</v>
      </c>
      <c r="H562" s="40">
        <f>F562+G562</f>
        <v>226771</v>
      </c>
      <c r="I562" s="47">
        <f>E562-H562</f>
        <v>-226771</v>
      </c>
      <c r="J562" s="17">
        <f>IFERROR(H562/E562,0)</f>
        <v>0</v>
      </c>
      <c r="K562" s="18" t="str">
        <f>IF(E562=0,"Sin Plan",IF(J562&gt;=1,"Completado",IF(J562&gt;0.001,"En Progreso","Pendiente de ejecutar")))</f>
        <v>Sin Plan</v>
      </c>
      <c r="L562" s="6" t="s">
        <v>321</v>
      </c>
      <c r="M562" s="6" t="s">
        <v>318</v>
      </c>
    </row>
    <row r="563" spans="1:13" hidden="1" x14ac:dyDescent="0.35">
      <c r="A563" s="11" t="s">
        <v>253</v>
      </c>
      <c r="B563" s="11" t="s">
        <v>205</v>
      </c>
      <c r="C563" s="11" t="s">
        <v>27</v>
      </c>
      <c r="D563" s="11" t="s">
        <v>28</v>
      </c>
      <c r="E563" s="13">
        <v>0</v>
      </c>
      <c r="F563" s="13">
        <v>0</v>
      </c>
      <c r="G563" s="13">
        <v>1730318.11</v>
      </c>
      <c r="H563" s="40">
        <f>F563+G563</f>
        <v>1730318.11</v>
      </c>
      <c r="I563" s="47">
        <f>E563-H563</f>
        <v>-1730318.11</v>
      </c>
      <c r="J563" s="17">
        <f>IFERROR(H563/E563,0)</f>
        <v>0</v>
      </c>
      <c r="K563" s="18" t="str">
        <f>IF(E563=0,"Sin Plan",IF(J563&gt;=1,"Completado",IF(J563&gt;0.001,"En Progreso","Pendiente de ejecutar")))</f>
        <v>Sin Plan</v>
      </c>
      <c r="L563" s="6" t="s">
        <v>323</v>
      </c>
      <c r="M563" s="6" t="s">
        <v>318</v>
      </c>
    </row>
    <row r="564" spans="1:13" hidden="1" x14ac:dyDescent="0.35">
      <c r="A564" s="20" t="s">
        <v>253</v>
      </c>
      <c r="B564" s="11" t="s">
        <v>205</v>
      </c>
      <c r="C564" s="20" t="s">
        <v>217</v>
      </c>
      <c r="D564" s="20" t="s">
        <v>218</v>
      </c>
      <c r="E564" s="14">
        <v>0</v>
      </c>
      <c r="F564" s="14">
        <v>308702.5</v>
      </c>
      <c r="G564" s="14">
        <v>0</v>
      </c>
      <c r="H564" s="40">
        <f>F564+G564</f>
        <v>308702.5</v>
      </c>
      <c r="I564" s="47">
        <f>E564-H564</f>
        <v>-308702.5</v>
      </c>
      <c r="J564" s="17">
        <f>IFERROR(H564/E564,0)</f>
        <v>0</v>
      </c>
      <c r="K564" s="18" t="str">
        <f>IF(E564=0,"Sin Plan",IF(J564&gt;=1,"Completado",IF(J564&gt;0.001,"En Progreso","Pendiente de ejecutar")))</f>
        <v>Sin Plan</v>
      </c>
      <c r="L564" s="6" t="s">
        <v>321</v>
      </c>
      <c r="M564" s="6" t="s">
        <v>318</v>
      </c>
    </row>
    <row r="565" spans="1:13" hidden="1" x14ac:dyDescent="0.35">
      <c r="A565" s="20" t="s">
        <v>256</v>
      </c>
      <c r="B565" s="11" t="s">
        <v>205</v>
      </c>
      <c r="C565" s="20" t="s">
        <v>199</v>
      </c>
      <c r="D565" s="20" t="s">
        <v>200</v>
      </c>
      <c r="E565" s="14">
        <v>0</v>
      </c>
      <c r="F565" s="14">
        <v>698460</v>
      </c>
      <c r="G565" s="14">
        <v>162497.70000000001</v>
      </c>
      <c r="H565" s="40">
        <f>F565+G565</f>
        <v>860957.7</v>
      </c>
      <c r="I565" s="47">
        <f>E565-H565</f>
        <v>-860957.7</v>
      </c>
      <c r="J565" s="17">
        <f>IFERROR(H565/E565,0)</f>
        <v>0</v>
      </c>
      <c r="K565" s="18" t="str">
        <f>IF(E565=0,"Sin Plan",IF(J565&gt;=1,"Completado",IF(J565&gt;0.001,"En Progreso","Pendiente de ejecutar")))</f>
        <v>Sin Plan</v>
      </c>
      <c r="L565" s="6" t="s">
        <v>321</v>
      </c>
      <c r="M565" s="6" t="s">
        <v>318</v>
      </c>
    </row>
    <row r="566" spans="1:13" hidden="1" x14ac:dyDescent="0.35">
      <c r="A566" s="19" t="s">
        <v>256</v>
      </c>
      <c r="B566" s="11" t="s">
        <v>205</v>
      </c>
      <c r="C566" s="19" t="s">
        <v>47</v>
      </c>
      <c r="D566" s="19" t="s">
        <v>48</v>
      </c>
      <c r="E566" s="13">
        <v>0</v>
      </c>
      <c r="F566" s="13">
        <v>0</v>
      </c>
      <c r="G566" s="13">
        <v>246624.75</v>
      </c>
      <c r="H566" s="40">
        <f>F566+G566</f>
        <v>246624.75</v>
      </c>
      <c r="I566" s="47">
        <f>E566-H566</f>
        <v>-246624.75</v>
      </c>
      <c r="J566" s="17">
        <f>IFERROR(H566/E566,0)</f>
        <v>0</v>
      </c>
      <c r="K566" s="18" t="str">
        <f>IF(E566=0,"Sin Plan",IF(J566&gt;=1,"Completado",IF(J566&gt;0.001,"En Progreso","Pendiente de ejecutar")))</f>
        <v>Sin Plan</v>
      </c>
      <c r="L566" s="6" t="s">
        <v>323</v>
      </c>
      <c r="M566" s="6" t="s">
        <v>318</v>
      </c>
    </row>
    <row r="567" spans="1:13" hidden="1" x14ac:dyDescent="0.35">
      <c r="A567" s="11" t="s">
        <v>256</v>
      </c>
      <c r="B567" s="11" t="s">
        <v>205</v>
      </c>
      <c r="C567" s="11" t="s">
        <v>55</v>
      </c>
      <c r="D567" s="11" t="s">
        <v>56</v>
      </c>
      <c r="E567" s="13">
        <v>0</v>
      </c>
      <c r="F567" s="13">
        <v>61393.96</v>
      </c>
      <c r="G567" s="13">
        <v>0</v>
      </c>
      <c r="H567" s="40">
        <f>F567+G567</f>
        <v>61393.96</v>
      </c>
      <c r="I567" s="47">
        <f>E567-H567</f>
        <v>-61393.96</v>
      </c>
      <c r="J567" s="17">
        <f>IFERROR(H567/E567,0)</f>
        <v>0</v>
      </c>
      <c r="K567" s="18" t="str">
        <f>IF(E567=0,"Sin Plan",IF(J567&gt;=1,"Completado",IF(J567&gt;0.001,"En Progreso","Pendiente de ejecutar")))</f>
        <v>Sin Plan</v>
      </c>
      <c r="L567" s="6" t="s">
        <v>323</v>
      </c>
      <c r="M567" s="6" t="s">
        <v>318</v>
      </c>
    </row>
    <row r="568" spans="1:13" hidden="1" x14ac:dyDescent="0.35">
      <c r="A568" s="92" t="s">
        <v>146</v>
      </c>
      <c r="B568" s="20"/>
      <c r="C568" s="22"/>
      <c r="D568" s="22" t="s">
        <v>325</v>
      </c>
      <c r="E568" s="14">
        <v>-181602</v>
      </c>
      <c r="F568" s="14"/>
      <c r="G568" s="14"/>
      <c r="H568" s="14"/>
      <c r="I568" s="37">
        <f>E568-H568</f>
        <v>-181602</v>
      </c>
      <c r="J568" s="17"/>
      <c r="K568" s="18"/>
      <c r="L568" s="6" t="s">
        <v>323</v>
      </c>
      <c r="M568" s="6"/>
    </row>
    <row r="569" spans="1:13" hidden="1" x14ac:dyDescent="0.35">
      <c r="A569" s="19" t="s">
        <v>257</v>
      </c>
      <c r="B569" s="11" t="s">
        <v>205</v>
      </c>
      <c r="C569" s="11" t="s">
        <v>25</v>
      </c>
      <c r="D569" s="11" t="s">
        <v>26</v>
      </c>
      <c r="E569" s="13">
        <v>0</v>
      </c>
      <c r="F569" s="13">
        <v>0</v>
      </c>
      <c r="G569" s="13">
        <v>573413.1</v>
      </c>
      <c r="H569" s="40">
        <f>F569+G569</f>
        <v>573413.1</v>
      </c>
      <c r="I569" s="47">
        <f>E569-H569</f>
        <v>-573413.1</v>
      </c>
      <c r="J569" s="17">
        <f>IFERROR(H569/E569,0)</f>
        <v>0</v>
      </c>
      <c r="K569" s="18" t="str">
        <f>IF(E569=0,"Sin Plan",IF(J569&gt;=1,"Completado",IF(J569&gt;0.001,"En Progreso","Pendiente de ejecutar")))</f>
        <v>Sin Plan</v>
      </c>
      <c r="L569" s="6" t="s">
        <v>323</v>
      </c>
      <c r="M569" s="6" t="s">
        <v>318</v>
      </c>
    </row>
    <row r="570" spans="1:13" hidden="1" x14ac:dyDescent="0.35">
      <c r="A570" s="19" t="s">
        <v>257</v>
      </c>
      <c r="B570" s="11" t="s">
        <v>205</v>
      </c>
      <c r="C570" s="19" t="s">
        <v>258</v>
      </c>
      <c r="D570" s="19" t="s">
        <v>259</v>
      </c>
      <c r="E570" s="13">
        <v>0</v>
      </c>
      <c r="F570" s="13">
        <v>0</v>
      </c>
      <c r="G570" s="13">
        <v>1982288.74</v>
      </c>
      <c r="H570" s="40">
        <f>F570+G570</f>
        <v>1982288.74</v>
      </c>
      <c r="I570" s="47">
        <f>E570-H570</f>
        <v>-1982288.74</v>
      </c>
      <c r="J570" s="17">
        <f>IFERROR(H570/E570,0)</f>
        <v>0</v>
      </c>
      <c r="K570" s="18" t="str">
        <f>IF(E570=0,"Sin Plan",IF(J570&gt;=1,"Completado",IF(J570&gt;0.001,"En Progreso","Pendiente de ejecutar")))</f>
        <v>Sin Plan</v>
      </c>
      <c r="L570" s="6" t="s">
        <v>323</v>
      </c>
      <c r="M570" s="6" t="s">
        <v>318</v>
      </c>
    </row>
    <row r="571" spans="1:13" hidden="1" x14ac:dyDescent="0.35">
      <c r="A571" s="11" t="s">
        <v>277</v>
      </c>
      <c r="B571" s="11" t="s">
        <v>273</v>
      </c>
      <c r="C571" s="11" t="s">
        <v>37</v>
      </c>
      <c r="D571" s="11" t="s">
        <v>38</v>
      </c>
      <c r="E571" s="14">
        <v>350000</v>
      </c>
      <c r="F571" s="14">
        <v>81991.53</v>
      </c>
      <c r="G571" s="14">
        <v>0</v>
      </c>
      <c r="H571" s="40">
        <f>F571+G571</f>
        <v>81991.53</v>
      </c>
      <c r="I571" s="47">
        <f>E571-H571</f>
        <v>268008.46999999997</v>
      </c>
      <c r="J571" s="17">
        <f>IFERROR(H571/E571,0)</f>
        <v>0.23426151428571429</v>
      </c>
      <c r="K571" s="18" t="str">
        <f>IF(E571=0,"Sin Plan",IF(J571&gt;=1,"Completado",IF(J571&gt;0.001,"En Progreso","Pendiente de ejecutar")))</f>
        <v>En Progreso</v>
      </c>
      <c r="L571" s="6" t="s">
        <v>321</v>
      </c>
      <c r="M571" s="6" t="s">
        <v>320</v>
      </c>
    </row>
    <row r="572" spans="1:13" hidden="1" x14ac:dyDescent="0.35">
      <c r="A572" s="20" t="s">
        <v>260</v>
      </c>
      <c r="B572" s="11" t="s">
        <v>205</v>
      </c>
      <c r="C572" s="20" t="s">
        <v>199</v>
      </c>
      <c r="D572" s="20" t="s">
        <v>200</v>
      </c>
      <c r="E572" s="14">
        <v>0</v>
      </c>
      <c r="F572" s="14">
        <v>693460</v>
      </c>
      <c r="G572" s="14">
        <f>(70000*2)+22497</f>
        <v>162497</v>
      </c>
      <c r="H572" s="40">
        <f>F572+G572</f>
        <v>855957</v>
      </c>
      <c r="I572" s="47">
        <f>E572-H572</f>
        <v>-855957</v>
      </c>
      <c r="J572" s="17">
        <f>IFERROR(H572/E572,0)</f>
        <v>0</v>
      </c>
      <c r="K572" s="18" t="str">
        <f>IF(E572=0,"Sin Plan",IF(J572&gt;=1,"Completado",IF(J572&gt;0.001,"En Progreso","Pendiente de ejecutar")))</f>
        <v>Sin Plan</v>
      </c>
      <c r="L572" s="6" t="s">
        <v>321</v>
      </c>
      <c r="M572" s="6" t="s">
        <v>318</v>
      </c>
    </row>
    <row r="573" spans="1:13" hidden="1" x14ac:dyDescent="0.35">
      <c r="A573" s="11" t="s">
        <v>262</v>
      </c>
      <c r="B573" s="11" t="s">
        <v>205</v>
      </c>
      <c r="C573" s="11" t="s">
        <v>47</v>
      </c>
      <c r="D573" s="11" t="s">
        <v>48</v>
      </c>
      <c r="E573" s="13">
        <v>0</v>
      </c>
      <c r="F573" s="13">
        <v>0</v>
      </c>
      <c r="G573" s="13">
        <v>246624.75</v>
      </c>
      <c r="H573" s="40">
        <f>F573+G573</f>
        <v>246624.75</v>
      </c>
      <c r="I573" s="47">
        <f>E573-H573</f>
        <v>-246624.75</v>
      </c>
      <c r="J573" s="17">
        <f>IFERROR(H573/E573,0)</f>
        <v>0</v>
      </c>
      <c r="K573" s="18" t="str">
        <f>IF(E573=0,"Sin Plan",IF(J573&gt;=1,"Completado",IF(J573&gt;0.001,"En Progreso","Pendiente de ejecutar")))</f>
        <v>Sin Plan</v>
      </c>
      <c r="L573" s="6" t="s">
        <v>323</v>
      </c>
      <c r="M573" s="6" t="s">
        <v>318</v>
      </c>
    </row>
    <row r="574" spans="1:13" hidden="1" x14ac:dyDescent="0.35">
      <c r="A574" s="11" t="s">
        <v>265</v>
      </c>
      <c r="B574" s="11"/>
      <c r="C574" s="11"/>
      <c r="D574" s="11" t="s">
        <v>383</v>
      </c>
      <c r="E574" s="13"/>
      <c r="F574" s="13"/>
      <c r="G574" s="13">
        <v>2607415.77</v>
      </c>
      <c r="H574" s="40"/>
      <c r="I574" s="47">
        <f>E574-H574</f>
        <v>0</v>
      </c>
      <c r="J574" s="17">
        <f>IFERROR(H574/E574,0)</f>
        <v>0</v>
      </c>
      <c r="K574" s="18" t="str">
        <f>IF(E574=0,"Sin Plan",IF(J574&gt;=1,"Completado",IF(J574&gt;0.001,"En Progreso","Pendiente de ejecutar")))</f>
        <v>Sin Plan</v>
      </c>
      <c r="L574" s="6" t="s">
        <v>323</v>
      </c>
      <c r="M574" s="6"/>
    </row>
    <row r="575" spans="1:13" hidden="1" x14ac:dyDescent="0.35">
      <c r="A575" s="20" t="s">
        <v>265</v>
      </c>
      <c r="B575" s="20" t="s">
        <v>266</v>
      </c>
      <c r="C575" s="20" t="s">
        <v>202</v>
      </c>
      <c r="D575" s="20" t="s">
        <v>43</v>
      </c>
      <c r="E575" s="14">
        <v>0</v>
      </c>
      <c r="F575" s="14">
        <v>0</v>
      </c>
      <c r="G575" s="14">
        <v>1361516.7700000003</v>
      </c>
      <c r="H575" s="40">
        <f>F575+G575</f>
        <v>1361516.7700000003</v>
      </c>
      <c r="I575" s="47">
        <f>E575-H575</f>
        <v>-1361516.7700000003</v>
      </c>
      <c r="J575" s="17">
        <f>IFERROR(H575/E575,0)</f>
        <v>0</v>
      </c>
      <c r="K575" s="18" t="str">
        <f>IF(E575=0,"Sin Plan",IF(J575&gt;=1,"Completado",IF(J575&gt;0.001,"En Progreso","Pendiente de ejecutar")))</f>
        <v>Sin Plan</v>
      </c>
      <c r="L575" s="6" t="s">
        <v>323</v>
      </c>
      <c r="M575" s="6" t="s">
        <v>318</v>
      </c>
    </row>
    <row r="576" spans="1:13" hidden="1" x14ac:dyDescent="0.35">
      <c r="A576" s="19" t="s">
        <v>265</v>
      </c>
      <c r="B576" s="19" t="s">
        <v>266</v>
      </c>
      <c r="C576" s="19" t="s">
        <v>83</v>
      </c>
      <c r="D576" s="19" t="s">
        <v>84</v>
      </c>
      <c r="E576" s="13">
        <v>0</v>
      </c>
      <c r="F576" s="73">
        <v>108060</v>
      </c>
      <c r="G576" s="15">
        <v>44000</v>
      </c>
      <c r="H576" s="40">
        <f>F576+G576</f>
        <v>152060</v>
      </c>
      <c r="I576" s="47">
        <f>E576-H576</f>
        <v>-152060</v>
      </c>
      <c r="J576" s="17">
        <f>IFERROR(H576/E576,0)</f>
        <v>0</v>
      </c>
      <c r="K576" s="18" t="str">
        <f>IF(E576=0,"Sin Plan",IF(J576&gt;=1,"Completado",IF(J576&gt;0.001,"En Progreso","Pendiente de ejecutar")))</f>
        <v>Sin Plan</v>
      </c>
      <c r="L576" s="6" t="s">
        <v>321</v>
      </c>
      <c r="M576" s="6" t="s">
        <v>318</v>
      </c>
    </row>
    <row r="577" spans="1:13" hidden="1" x14ac:dyDescent="0.35">
      <c r="A577" s="20" t="s">
        <v>265</v>
      </c>
      <c r="B577" s="20" t="s">
        <v>266</v>
      </c>
      <c r="C577" s="20" t="s">
        <v>13</v>
      </c>
      <c r="D577" s="20" t="s">
        <v>14</v>
      </c>
      <c r="E577" s="14">
        <v>0</v>
      </c>
      <c r="F577" s="72">
        <v>93260</v>
      </c>
      <c r="G577" s="14">
        <v>0</v>
      </c>
      <c r="H577" s="40">
        <f>F577+G577</f>
        <v>93260</v>
      </c>
      <c r="I577" s="47">
        <f>E577-H577</f>
        <v>-93260</v>
      </c>
      <c r="J577" s="17">
        <f>IFERROR(H577/E577,0)</f>
        <v>0</v>
      </c>
      <c r="K577" s="18" t="str">
        <f>IF(E577=0,"Sin Plan",IF(J577&gt;=1,"Completado",IF(J577&gt;0.001,"En Progreso","Pendiente de ejecutar")))</f>
        <v>Sin Plan</v>
      </c>
      <c r="L577" s="6" t="s">
        <v>323</v>
      </c>
      <c r="M577" s="6" t="s">
        <v>318</v>
      </c>
    </row>
    <row r="578" spans="1:13" hidden="1" x14ac:dyDescent="0.35">
      <c r="A578" s="11" t="s">
        <v>265</v>
      </c>
      <c r="B578" s="11" t="s">
        <v>266</v>
      </c>
      <c r="C578" s="11" t="s">
        <v>96</v>
      </c>
      <c r="D578" s="11" t="s">
        <v>97</v>
      </c>
      <c r="E578" s="14">
        <v>0</v>
      </c>
      <c r="F578" s="14">
        <v>0</v>
      </c>
      <c r="G578" s="14"/>
      <c r="H578" s="40">
        <f>F578+G578</f>
        <v>0</v>
      </c>
      <c r="I578" s="47">
        <f>E578-H578</f>
        <v>0</v>
      </c>
      <c r="J578" s="17">
        <f>IFERROR(H578/E578,0)</f>
        <v>0</v>
      </c>
      <c r="K578" s="18" t="str">
        <f>IF(E578=0,"Sin Plan",IF(J578&gt;=1,"Completado",IF(J578&gt;0.001,"En Progreso","Pendiente de ejecutar")))</f>
        <v>Sin Plan</v>
      </c>
      <c r="L578" s="6" t="s">
        <v>323</v>
      </c>
      <c r="M578" s="6" t="s">
        <v>318</v>
      </c>
    </row>
    <row r="579" spans="1:13" hidden="1" x14ac:dyDescent="0.35">
      <c r="A579" s="11" t="s">
        <v>265</v>
      </c>
      <c r="B579" s="11" t="s">
        <v>266</v>
      </c>
      <c r="C579" s="11" t="s">
        <v>179</v>
      </c>
      <c r="D579" s="11" t="s">
        <v>180</v>
      </c>
      <c r="E579" s="13">
        <v>0</v>
      </c>
      <c r="F579" s="13">
        <v>230400</v>
      </c>
      <c r="G579" s="15">
        <v>345600</v>
      </c>
      <c r="H579" s="40">
        <f>F579+G579</f>
        <v>576000</v>
      </c>
      <c r="I579" s="47">
        <f>E579-H579</f>
        <v>-576000</v>
      </c>
      <c r="J579" s="17">
        <f>IFERROR(H579/E579,0)</f>
        <v>0</v>
      </c>
      <c r="K579" s="18" t="str">
        <f>IF(E579=0,"Sin Plan",IF(J579&gt;=1,"Completado",IF(J579&gt;0.001,"En Progreso","Pendiente de ejecutar")))</f>
        <v>Sin Plan</v>
      </c>
      <c r="L579" s="6" t="s">
        <v>323</v>
      </c>
      <c r="M579" s="6" t="s">
        <v>318</v>
      </c>
    </row>
    <row r="580" spans="1:13" hidden="1" x14ac:dyDescent="0.35">
      <c r="A580" s="11" t="s">
        <v>265</v>
      </c>
      <c r="B580" s="11" t="s">
        <v>266</v>
      </c>
      <c r="C580" s="11" t="s">
        <v>19</v>
      </c>
      <c r="D580" s="11" t="s">
        <v>20</v>
      </c>
      <c r="E580" s="14">
        <v>0</v>
      </c>
      <c r="F580" s="72">
        <v>2681599.89</v>
      </c>
      <c r="G580" s="15">
        <v>2735718.35</v>
      </c>
      <c r="H580" s="40">
        <f>F580+G580</f>
        <v>5417318.2400000002</v>
      </c>
      <c r="I580" s="47">
        <f>E580-H580</f>
        <v>-5417318.2400000002</v>
      </c>
      <c r="J580" s="17">
        <f>IFERROR(H580/E580,0)</f>
        <v>0</v>
      </c>
      <c r="K580" s="18" t="str">
        <f>IF(E580=0,"Sin Plan",IF(J580&gt;=1,"Completado",IF(J580&gt;0.001,"En Progreso","Pendiente de ejecutar")))</f>
        <v>Sin Plan</v>
      </c>
      <c r="L580" s="6" t="s">
        <v>321</v>
      </c>
      <c r="M580" s="6" t="s">
        <v>318</v>
      </c>
    </row>
    <row r="581" spans="1:13" hidden="1" x14ac:dyDescent="0.35">
      <c r="A581" s="19" t="s">
        <v>265</v>
      </c>
      <c r="B581" s="19" t="s">
        <v>266</v>
      </c>
      <c r="C581" s="19" t="s">
        <v>125</v>
      </c>
      <c r="D581" s="19" t="s">
        <v>126</v>
      </c>
      <c r="E581" s="13">
        <v>0</v>
      </c>
      <c r="F581" s="72">
        <v>189600</v>
      </c>
      <c r="G581" s="13">
        <v>0</v>
      </c>
      <c r="H581" s="40">
        <f>F581+G581</f>
        <v>189600</v>
      </c>
      <c r="I581" s="47">
        <f>E581-H581</f>
        <v>-189600</v>
      </c>
      <c r="J581" s="17">
        <f>IFERROR(H581/E581,0)</f>
        <v>0</v>
      </c>
      <c r="K581" s="18" t="str">
        <f>IF(E581=0,"Sin Plan",IF(J581&gt;=1,"Completado",IF(J581&gt;0.001,"En Progreso","Pendiente de ejecutar")))</f>
        <v>Sin Plan</v>
      </c>
      <c r="L581" s="6" t="s">
        <v>321</v>
      </c>
      <c r="M581" s="6" t="s">
        <v>318</v>
      </c>
    </row>
    <row r="582" spans="1:13" hidden="1" x14ac:dyDescent="0.35">
      <c r="A582" s="11" t="s">
        <v>265</v>
      </c>
      <c r="B582" s="11" t="s">
        <v>266</v>
      </c>
      <c r="C582" s="11" t="s">
        <v>47</v>
      </c>
      <c r="D582" s="11" t="s">
        <v>48</v>
      </c>
      <c r="E582" s="13">
        <v>0</v>
      </c>
      <c r="F582" s="13">
        <v>0</v>
      </c>
      <c r="G582" s="15">
        <v>9180612.4600000009</v>
      </c>
      <c r="H582" s="40">
        <f>F582+G582</f>
        <v>9180612.4600000009</v>
      </c>
      <c r="I582" s="47">
        <f>E582-H582</f>
        <v>-9180612.4600000009</v>
      </c>
      <c r="J582" s="17">
        <f>IFERROR(H582/E582,0)</f>
        <v>0</v>
      </c>
      <c r="K582" s="18" t="str">
        <f>IF(E582=0,"Sin Plan",IF(J582&gt;=1,"Completado",IF(J582&gt;0.001,"En Progreso","Pendiente de ejecutar")))</f>
        <v>Sin Plan</v>
      </c>
      <c r="L582" s="6" t="s">
        <v>323</v>
      </c>
      <c r="M582" s="6" t="s">
        <v>318</v>
      </c>
    </row>
    <row r="583" spans="1:13" hidden="1" x14ac:dyDescent="0.35">
      <c r="A583" s="11" t="s">
        <v>265</v>
      </c>
      <c r="B583" s="11" t="s">
        <v>266</v>
      </c>
      <c r="C583" s="11" t="s">
        <v>29</v>
      </c>
      <c r="D583" s="11" t="s">
        <v>30</v>
      </c>
      <c r="E583" s="13">
        <v>0</v>
      </c>
      <c r="F583" s="72">
        <v>1137172.5</v>
      </c>
      <c r="G583" s="13">
        <v>0</v>
      </c>
      <c r="H583" s="40">
        <f>F583+G583</f>
        <v>1137172.5</v>
      </c>
      <c r="I583" s="47">
        <f>E583-H583</f>
        <v>-1137172.5</v>
      </c>
      <c r="J583" s="17">
        <f>IFERROR(H583/E583,0)</f>
        <v>0</v>
      </c>
      <c r="K583" s="18" t="str">
        <f>IF(E583=0,"Sin Plan",IF(J583&gt;=1,"Completado",IF(J583&gt;0.001,"En Progreso","Pendiente de ejecutar")))</f>
        <v>Sin Plan</v>
      </c>
      <c r="L583" s="6" t="s">
        <v>323</v>
      </c>
      <c r="M583" s="6" t="s">
        <v>318</v>
      </c>
    </row>
    <row r="584" spans="1:13" hidden="1" x14ac:dyDescent="0.35">
      <c r="A584" s="11" t="s">
        <v>265</v>
      </c>
      <c r="B584" s="11" t="s">
        <v>266</v>
      </c>
      <c r="C584" s="11" t="s">
        <v>217</v>
      </c>
      <c r="D584" s="11" t="s">
        <v>218</v>
      </c>
      <c r="E584" s="14">
        <v>0</v>
      </c>
      <c r="F584" s="72">
        <v>230400</v>
      </c>
      <c r="G584" s="15">
        <v>265688.86</v>
      </c>
      <c r="H584" s="40">
        <f>F584+G584</f>
        <v>496088.86</v>
      </c>
      <c r="I584" s="47">
        <f>E584-H584</f>
        <v>-496088.86</v>
      </c>
      <c r="J584" s="17">
        <f>IFERROR(H584/E584,0)</f>
        <v>0</v>
      </c>
      <c r="K584" s="18" t="str">
        <f>IF(E584=0,"Sin Plan",IF(J584&gt;=1,"Completado",IF(J584&gt;0.001,"En Progreso","Pendiente de ejecutar")))</f>
        <v>Sin Plan</v>
      </c>
      <c r="L584" s="6" t="s">
        <v>321</v>
      </c>
      <c r="M584" s="6" t="s">
        <v>318</v>
      </c>
    </row>
    <row r="585" spans="1:13" hidden="1" x14ac:dyDescent="0.35">
      <c r="A585" s="11" t="s">
        <v>265</v>
      </c>
      <c r="B585" s="11" t="s">
        <v>266</v>
      </c>
      <c r="C585" s="11" t="s">
        <v>135</v>
      </c>
      <c r="D585" s="11" t="s">
        <v>136</v>
      </c>
      <c r="E585" s="13">
        <v>0</v>
      </c>
      <c r="F585" s="72">
        <v>80250.25</v>
      </c>
      <c r="G585" s="13">
        <v>0</v>
      </c>
      <c r="H585" s="40">
        <f>F585+G585</f>
        <v>80250.25</v>
      </c>
      <c r="I585" s="47">
        <f>E585-H585</f>
        <v>-80250.25</v>
      </c>
      <c r="J585" s="17">
        <f>IFERROR(H585/E585,0)</f>
        <v>0</v>
      </c>
      <c r="K585" s="18" t="str">
        <f>IF(E585=0,"Sin Plan",IF(J585&gt;=1,"Completado",IF(J585&gt;0.001,"En Progreso","Pendiente de ejecutar")))</f>
        <v>Sin Plan</v>
      </c>
      <c r="L585" s="6" t="s">
        <v>323</v>
      </c>
      <c r="M585" s="6" t="s">
        <v>318</v>
      </c>
    </row>
    <row r="586" spans="1:13" hidden="1" x14ac:dyDescent="0.35">
      <c r="A586" s="20" t="s">
        <v>267</v>
      </c>
      <c r="B586" s="20" t="s">
        <v>128</v>
      </c>
      <c r="C586" s="20" t="s">
        <v>268</v>
      </c>
      <c r="D586" s="20" t="s">
        <v>269</v>
      </c>
      <c r="E586" s="14">
        <v>0</v>
      </c>
      <c r="F586" s="14">
        <v>275506.17</v>
      </c>
      <c r="G586" s="14">
        <v>0</v>
      </c>
      <c r="H586" s="40">
        <f>F586+G586</f>
        <v>275506.17</v>
      </c>
      <c r="I586" s="47">
        <f>E586-H586</f>
        <v>-275506.17</v>
      </c>
      <c r="J586" s="17">
        <f>IFERROR(H586/E586,0)</f>
        <v>0</v>
      </c>
      <c r="K586" s="18" t="str">
        <f>IF(E586=0,"Sin Plan",IF(J586&gt;=1,"Completado",IF(J586&gt;0.001,"En Progreso","Pendiente de ejecutar")))</f>
        <v>Sin Plan</v>
      </c>
      <c r="L586" s="6" t="s">
        <v>323</v>
      </c>
      <c r="M586" s="6" t="s">
        <v>318</v>
      </c>
    </row>
    <row r="587" spans="1:13" hidden="1" x14ac:dyDescent="0.35">
      <c r="A587" s="11" t="s">
        <v>267</v>
      </c>
      <c r="B587" s="11" t="s">
        <v>128</v>
      </c>
      <c r="C587" s="11" t="s">
        <v>223</v>
      </c>
      <c r="D587" s="11" t="s">
        <v>224</v>
      </c>
      <c r="E587" s="13">
        <v>0</v>
      </c>
      <c r="F587" s="13">
        <v>241986</v>
      </c>
      <c r="G587" s="13">
        <v>0</v>
      </c>
      <c r="H587" s="40">
        <f>F587+G587</f>
        <v>241986</v>
      </c>
      <c r="I587" s="47">
        <f>E587-H587</f>
        <v>-241986</v>
      </c>
      <c r="J587" s="17">
        <f>IFERROR(H587/E587,0)</f>
        <v>0</v>
      </c>
      <c r="K587" s="18" t="str">
        <f>IF(E587=0,"Sin Plan",IF(J587&gt;=1,"Completado",IF(J587&gt;0.001,"En Progreso","Pendiente de ejecutar")))</f>
        <v>Sin Plan</v>
      </c>
      <c r="L587" s="6" t="s">
        <v>323</v>
      </c>
      <c r="M587" s="6" t="s">
        <v>318</v>
      </c>
    </row>
    <row r="588" spans="1:13" hidden="1" x14ac:dyDescent="0.35">
      <c r="A588" s="20" t="s">
        <v>272</v>
      </c>
      <c r="B588" s="20" t="s">
        <v>273</v>
      </c>
      <c r="C588" s="20" t="s">
        <v>274</v>
      </c>
      <c r="D588" s="20" t="s">
        <v>275</v>
      </c>
      <c r="E588" s="13">
        <v>375000</v>
      </c>
      <c r="F588" s="14">
        <v>0</v>
      </c>
      <c r="G588" s="14">
        <v>452647.19</v>
      </c>
      <c r="H588" s="40">
        <f>F588+G588</f>
        <v>452647.19</v>
      </c>
      <c r="I588" s="47">
        <f>E588-H588</f>
        <v>-77647.19</v>
      </c>
      <c r="J588" s="17">
        <f>IFERROR(H588/E588,0)</f>
        <v>1.2070591733333333</v>
      </c>
      <c r="K588" s="18" t="str">
        <f>IF(E588=0,"Sin Plan",IF(J588&gt;=1,"Completado",IF(J588&gt;0.001,"En Progreso","Pendiente de ejecutar")))</f>
        <v>Completado</v>
      </c>
      <c r="L588" s="6" t="s">
        <v>323</v>
      </c>
      <c r="M588" s="6" t="s">
        <v>318</v>
      </c>
    </row>
    <row r="589" spans="1:13" hidden="1" x14ac:dyDescent="0.35">
      <c r="A589" s="11" t="s">
        <v>276</v>
      </c>
      <c r="B589" s="11" t="s">
        <v>273</v>
      </c>
      <c r="C589" s="11" t="s">
        <v>274</v>
      </c>
      <c r="D589" s="11" t="s">
        <v>275</v>
      </c>
      <c r="E589" s="14">
        <v>750000</v>
      </c>
      <c r="F589" s="13">
        <v>0</v>
      </c>
      <c r="G589" s="13">
        <v>905294.38</v>
      </c>
      <c r="H589" s="40">
        <f>F589+G589</f>
        <v>905294.38</v>
      </c>
      <c r="I589" s="47">
        <f>E589-H589</f>
        <v>-155294.38</v>
      </c>
      <c r="J589" s="17">
        <f>IFERROR(H589/E589,0)</f>
        <v>1.2070591733333333</v>
      </c>
      <c r="K589" s="18" t="str">
        <f>IF(E589=0,"Sin Plan",IF(J589&gt;=1,"Completado",IF(J589&gt;0.001,"En Progreso","Pendiente de ejecutar")))</f>
        <v>Completado</v>
      </c>
      <c r="L589" s="6" t="s">
        <v>323</v>
      </c>
      <c r="M589" s="6" t="s">
        <v>318</v>
      </c>
    </row>
    <row r="590" spans="1:13" hidden="1" x14ac:dyDescent="0.35">
      <c r="A590" s="11" t="s">
        <v>279</v>
      </c>
      <c r="B590" s="11" t="s">
        <v>273</v>
      </c>
      <c r="C590" s="11" t="s">
        <v>274</v>
      </c>
      <c r="D590" s="11" t="s">
        <v>275</v>
      </c>
      <c r="E590" s="14">
        <v>375000</v>
      </c>
      <c r="F590" s="13">
        <v>0</v>
      </c>
      <c r="G590" s="13">
        <v>452647.19</v>
      </c>
      <c r="H590" s="40">
        <f>F590+G590</f>
        <v>452647.19</v>
      </c>
      <c r="I590" s="47">
        <f>E994-H590</f>
        <v>-452647.19</v>
      </c>
      <c r="J590" s="17">
        <f>IFERROR(H590/E590,0)</f>
        <v>1.2070591733333333</v>
      </c>
      <c r="K590" s="18" t="str">
        <f>IF(E590=0,"Sin Plan",IF(J590&gt;=1,"Completado",IF(J590&gt;0.001,"En Progreso","Pendiente de ejecutar")))</f>
        <v>Completado</v>
      </c>
      <c r="L590" s="6" t="s">
        <v>323</v>
      </c>
      <c r="M590" s="6" t="s">
        <v>318</v>
      </c>
    </row>
    <row r="591" spans="1:13" hidden="1" x14ac:dyDescent="0.35">
      <c r="A591" s="11" t="s">
        <v>281</v>
      </c>
      <c r="B591" s="11" t="s">
        <v>205</v>
      </c>
      <c r="C591" s="11" t="s">
        <v>202</v>
      </c>
      <c r="D591" s="11" t="s">
        <v>43</v>
      </c>
      <c r="E591" s="13">
        <v>0</v>
      </c>
      <c r="F591" s="13">
        <v>0</v>
      </c>
      <c r="G591" s="13">
        <v>137581.29999999999</v>
      </c>
      <c r="H591" s="40">
        <f>F591+G591</f>
        <v>137581.29999999999</v>
      </c>
      <c r="I591" s="47">
        <f>E591-H591</f>
        <v>-137581.29999999999</v>
      </c>
      <c r="J591" s="17">
        <f>IFERROR(H591/E591,0)</f>
        <v>0</v>
      </c>
      <c r="K591" s="18" t="str">
        <f>IF(E591=0,"Sin Plan",IF(J591&gt;=1,"Completado",IF(J591&gt;0.001,"En Progreso","Pendiente de ejecutar")))</f>
        <v>Sin Plan</v>
      </c>
      <c r="L591" s="6" t="s">
        <v>323</v>
      </c>
      <c r="M591" s="6" t="s">
        <v>318</v>
      </c>
    </row>
    <row r="592" spans="1:13" hidden="1" x14ac:dyDescent="0.35">
      <c r="A592" s="11" t="s">
        <v>282</v>
      </c>
      <c r="B592" s="11" t="s">
        <v>205</v>
      </c>
      <c r="C592" s="11" t="s">
        <v>50</v>
      </c>
      <c r="D592" s="11" t="s">
        <v>51</v>
      </c>
      <c r="E592" s="14">
        <v>0</v>
      </c>
      <c r="F592" s="14">
        <v>8000</v>
      </c>
      <c r="G592" s="14">
        <v>0</v>
      </c>
      <c r="H592" s="40">
        <f>F592+G592</f>
        <v>8000</v>
      </c>
      <c r="I592" s="47">
        <f>E592-H592</f>
        <v>-8000</v>
      </c>
      <c r="J592" s="17">
        <f>IFERROR(H592/E592,0)</f>
        <v>0</v>
      </c>
      <c r="K592" s="18" t="str">
        <f>IF(E592=0,"Sin Plan",IF(J592&gt;=1,"Completado",IF(J592&gt;0.001,"En Progreso","Pendiente de ejecutar")))</f>
        <v>Sin Plan</v>
      </c>
      <c r="L592" s="6" t="s">
        <v>323</v>
      </c>
      <c r="M592" s="6" t="s">
        <v>318</v>
      </c>
    </row>
    <row r="593" spans="1:13" hidden="1" x14ac:dyDescent="0.35">
      <c r="A593" s="26" t="s">
        <v>282</v>
      </c>
      <c r="B593" s="11" t="s">
        <v>205</v>
      </c>
      <c r="C593" s="26" t="s">
        <v>283</v>
      </c>
      <c r="D593" s="26" t="s">
        <v>284</v>
      </c>
      <c r="E593" s="14">
        <v>0</v>
      </c>
      <c r="F593" s="14">
        <v>0</v>
      </c>
      <c r="G593" s="14">
        <v>403000</v>
      </c>
      <c r="H593" s="40">
        <f>F593+G593</f>
        <v>403000</v>
      </c>
      <c r="I593" s="47">
        <f>E593-H593</f>
        <v>-403000</v>
      </c>
      <c r="J593" s="17">
        <f>IFERROR(H593/E593,0)</f>
        <v>0</v>
      </c>
      <c r="K593" s="18" t="str">
        <f>IF(E593=0,"Sin Plan",IF(J593&gt;=1,"Completado",IF(J593&gt;0.001,"En Progreso","Pendiente de ejecutar")))</f>
        <v>Sin Plan</v>
      </c>
      <c r="L593" s="6" t="s">
        <v>321</v>
      </c>
      <c r="M593" s="6" t="s">
        <v>318</v>
      </c>
    </row>
    <row r="594" spans="1:13" hidden="1" x14ac:dyDescent="0.35">
      <c r="A594" s="26" t="s">
        <v>285</v>
      </c>
      <c r="B594" s="11" t="s">
        <v>205</v>
      </c>
      <c r="C594" s="26" t="s">
        <v>19</v>
      </c>
      <c r="D594" s="26" t="s">
        <v>20</v>
      </c>
      <c r="E594" s="13">
        <v>0</v>
      </c>
      <c r="F594" s="13">
        <f>33300+60474.46+7233.09</f>
        <v>101007.54999999999</v>
      </c>
      <c r="G594" s="13">
        <v>0</v>
      </c>
      <c r="H594" s="40">
        <f>F594+G594</f>
        <v>101007.54999999999</v>
      </c>
      <c r="I594" s="47">
        <f>E594-H594</f>
        <v>-101007.54999999999</v>
      </c>
      <c r="J594" s="17">
        <f>IFERROR(H594/E594,0)</f>
        <v>0</v>
      </c>
      <c r="K594" s="18" t="str">
        <f>IF(E594=0,"Sin Plan",IF(J594&gt;=1,"Completado",IF(J594&gt;0.001,"En Progreso","Pendiente de ejecutar")))</f>
        <v>Sin Plan</v>
      </c>
      <c r="L594" s="6" t="s">
        <v>321</v>
      </c>
      <c r="M594" s="6" t="s">
        <v>318</v>
      </c>
    </row>
    <row r="595" spans="1:13" hidden="1" x14ac:dyDescent="0.35">
      <c r="A595" s="11" t="s">
        <v>287</v>
      </c>
      <c r="B595" s="11" t="s">
        <v>205</v>
      </c>
      <c r="C595" s="11" t="s">
        <v>181</v>
      </c>
      <c r="D595" s="11" t="s">
        <v>182</v>
      </c>
      <c r="E595" s="14">
        <v>0</v>
      </c>
      <c r="F595" s="36">
        <v>80480.929999999993</v>
      </c>
      <c r="G595" s="14">
        <v>0</v>
      </c>
      <c r="H595" s="40">
        <f>F595+G595</f>
        <v>80480.929999999993</v>
      </c>
      <c r="I595" s="47">
        <f>E595-H595</f>
        <v>-80480.929999999993</v>
      </c>
      <c r="J595" s="17">
        <f>IFERROR(H595/E595,0)</f>
        <v>0</v>
      </c>
      <c r="K595" s="18" t="str">
        <f>IF(E595=0,"Sin Plan",IF(J595&gt;=1,"Completado",IF(J595&gt;0.001,"En Progreso","Pendiente de ejecutar")))</f>
        <v>Sin Plan</v>
      </c>
      <c r="L595" s="6" t="s">
        <v>323</v>
      </c>
      <c r="M595" s="6" t="s">
        <v>318</v>
      </c>
    </row>
    <row r="596" spans="1:13" hidden="1" x14ac:dyDescent="0.35">
      <c r="A596" s="26" t="s">
        <v>287</v>
      </c>
      <c r="B596" s="11" t="s">
        <v>205</v>
      </c>
      <c r="C596" s="26" t="s">
        <v>27</v>
      </c>
      <c r="D596" s="26" t="s">
        <v>28</v>
      </c>
      <c r="E596" s="14">
        <v>0</v>
      </c>
      <c r="F596" s="14">
        <v>0</v>
      </c>
      <c r="G596" s="14"/>
      <c r="H596" s="40">
        <f>F596+G596</f>
        <v>0</v>
      </c>
      <c r="I596" s="47">
        <f>E596-H596</f>
        <v>0</v>
      </c>
      <c r="J596" s="17">
        <f>IFERROR(H596/E596,0)</f>
        <v>0</v>
      </c>
      <c r="K596" s="18" t="str">
        <f>IF(E596=0,"Sin Plan",IF(J596&gt;=1,"Completado",IF(J596&gt;0.001,"En Progreso","Pendiente de ejecutar")))</f>
        <v>Sin Plan</v>
      </c>
      <c r="L596" s="6" t="s">
        <v>323</v>
      </c>
      <c r="M596" s="6" t="s">
        <v>318</v>
      </c>
    </row>
    <row r="597" spans="1:13" hidden="1" x14ac:dyDescent="0.35">
      <c r="A597" s="19" t="s">
        <v>287</v>
      </c>
      <c r="B597" s="11" t="s">
        <v>205</v>
      </c>
      <c r="C597" s="19" t="s">
        <v>288</v>
      </c>
      <c r="D597" s="19" t="s">
        <v>289</v>
      </c>
      <c r="E597" s="13">
        <v>0</v>
      </c>
      <c r="F597" s="35">
        <v>90022.79</v>
      </c>
      <c r="G597" s="13">
        <v>0</v>
      </c>
      <c r="H597" s="40">
        <f>F597+G597</f>
        <v>90022.79</v>
      </c>
      <c r="I597" s="47">
        <f>E597-H597</f>
        <v>-90022.79</v>
      </c>
      <c r="J597" s="17">
        <f>IFERROR(H597/E597,0)</f>
        <v>0</v>
      </c>
      <c r="K597" s="18" t="str">
        <f>IF(E597=0,"Sin Plan",IF(J597&gt;=1,"Completado",IF(J597&gt;0.001,"En Progreso","Pendiente de ejecutar")))</f>
        <v>Sin Plan</v>
      </c>
      <c r="L597" s="6" t="s">
        <v>323</v>
      </c>
      <c r="M597" s="6" t="s">
        <v>318</v>
      </c>
    </row>
    <row r="598" spans="1:13" hidden="1" x14ac:dyDescent="0.35">
      <c r="A598" s="11" t="s">
        <v>290</v>
      </c>
      <c r="B598" s="11" t="s">
        <v>205</v>
      </c>
      <c r="C598" s="11" t="s">
        <v>83</v>
      </c>
      <c r="D598" s="11" t="s">
        <v>84</v>
      </c>
      <c r="E598" s="13">
        <v>0</v>
      </c>
      <c r="F598" s="13">
        <v>504996.44</v>
      </c>
      <c r="G598" s="14"/>
      <c r="H598" s="40">
        <f>F598+G598</f>
        <v>504996.44</v>
      </c>
      <c r="I598" s="47">
        <f>E598-H598</f>
        <v>-504996.44</v>
      </c>
      <c r="J598" s="17">
        <f>IFERROR(H598/E598,0)</f>
        <v>0</v>
      </c>
      <c r="K598" s="18" t="str">
        <f>IF(E598=0,"Sin Plan",IF(J598&gt;=1,"Completado",IF(J598&gt;0.001,"En Progreso","Pendiente de ejecutar")))</f>
        <v>Sin Plan</v>
      </c>
      <c r="L598" s="6" t="s">
        <v>321</v>
      </c>
      <c r="M598" s="6" t="s">
        <v>318</v>
      </c>
    </row>
    <row r="599" spans="1:13" hidden="1" x14ac:dyDescent="0.35">
      <c r="A599" s="20" t="s">
        <v>290</v>
      </c>
      <c r="B599" s="11" t="s">
        <v>205</v>
      </c>
      <c r="C599" s="20" t="s">
        <v>19</v>
      </c>
      <c r="D599" s="20" t="s">
        <v>20</v>
      </c>
      <c r="E599" s="14">
        <v>0</v>
      </c>
      <c r="F599" s="14">
        <v>101007.55</v>
      </c>
      <c r="G599" s="14">
        <v>0</v>
      </c>
      <c r="H599" s="40">
        <f>F599+G599</f>
        <v>101007.55</v>
      </c>
      <c r="I599" s="47">
        <f>E599-H599</f>
        <v>-101007.55</v>
      </c>
      <c r="J599" s="17">
        <f>IFERROR(H599/E599,0)</f>
        <v>0</v>
      </c>
      <c r="K599" s="18" t="str">
        <f>IF(E599=0,"Sin Plan",IF(J599&gt;=1,"Completado",IF(J599&gt;0.001,"En Progreso","Pendiente de ejecutar")))</f>
        <v>Sin Plan</v>
      </c>
      <c r="L599" s="6" t="s">
        <v>321</v>
      </c>
      <c r="M599" s="6" t="s">
        <v>318</v>
      </c>
    </row>
    <row r="600" spans="1:13" hidden="1" x14ac:dyDescent="0.35">
      <c r="A600" s="26" t="s">
        <v>290</v>
      </c>
      <c r="B600" s="11" t="s">
        <v>205</v>
      </c>
      <c r="C600" s="26" t="s">
        <v>39</v>
      </c>
      <c r="D600" s="26" t="s">
        <v>40</v>
      </c>
      <c r="E600" s="13">
        <v>0</v>
      </c>
      <c r="F600" s="13"/>
      <c r="G600" s="13">
        <v>280000</v>
      </c>
      <c r="H600" s="40">
        <f>F600+G600</f>
        <v>280000</v>
      </c>
      <c r="I600" s="47">
        <f>E600-H600</f>
        <v>-280000</v>
      </c>
      <c r="J600" s="17">
        <f>IFERROR(H600/E600,0)</f>
        <v>0</v>
      </c>
      <c r="K600" s="18" t="str">
        <f>IF(E600=0,"Sin Plan",IF(J600&gt;=1,"Completado",IF(J600&gt;0.001,"En Progreso","Pendiente de ejecutar")))</f>
        <v>Sin Plan</v>
      </c>
      <c r="L600" s="6" t="s">
        <v>321</v>
      </c>
      <c r="M600" s="6" t="s">
        <v>320</v>
      </c>
    </row>
    <row r="601" spans="1:13" hidden="1" x14ac:dyDescent="0.35">
      <c r="A601" s="11" t="s">
        <v>290</v>
      </c>
      <c r="B601" s="11" t="s">
        <v>205</v>
      </c>
      <c r="C601" s="11" t="s">
        <v>47</v>
      </c>
      <c r="D601" s="11" t="s">
        <v>48</v>
      </c>
      <c r="E601" s="14">
        <v>0</v>
      </c>
      <c r="F601" s="14"/>
      <c r="G601" s="14">
        <v>246624.75</v>
      </c>
      <c r="H601" s="40">
        <f>F601+G601</f>
        <v>246624.75</v>
      </c>
      <c r="I601" s="47">
        <f>E601-H601</f>
        <v>-246624.75</v>
      </c>
      <c r="J601" s="17">
        <f>IFERROR(H601/E601,0)</f>
        <v>0</v>
      </c>
      <c r="K601" s="18" t="str">
        <f>IF(E601=0,"Sin Plan",IF(J601&gt;=1,"Completado",IF(J601&gt;0.001,"En Progreso","Pendiente de ejecutar")))</f>
        <v>Sin Plan</v>
      </c>
      <c r="L601" s="6" t="s">
        <v>323</v>
      </c>
      <c r="M601" s="6" t="s">
        <v>318</v>
      </c>
    </row>
    <row r="602" spans="1:13" hidden="1" x14ac:dyDescent="0.35">
      <c r="A602" s="11" t="s">
        <v>290</v>
      </c>
      <c r="B602" s="11" t="s">
        <v>205</v>
      </c>
      <c r="C602" s="11" t="s">
        <v>217</v>
      </c>
      <c r="D602" s="11" t="s">
        <v>218</v>
      </c>
      <c r="E602" s="13">
        <v>0</v>
      </c>
      <c r="F602" s="13">
        <v>618639.1</v>
      </c>
      <c r="G602" s="13">
        <v>0</v>
      </c>
      <c r="H602" s="40">
        <f>F602+G602</f>
        <v>618639.1</v>
      </c>
      <c r="I602" s="47">
        <f>E602-H602</f>
        <v>-618639.1</v>
      </c>
      <c r="J602" s="17">
        <f>IFERROR(H602/E602,0)</f>
        <v>0</v>
      </c>
      <c r="K602" s="18" t="str">
        <f>IF(E602=0,"Sin Plan",IF(J602&gt;=1,"Completado",IF(J602&gt;0.001,"En Progreso","Pendiente de ejecutar")))</f>
        <v>Sin Plan</v>
      </c>
      <c r="L602" s="6" t="s">
        <v>321</v>
      </c>
      <c r="M602" s="6" t="s">
        <v>318</v>
      </c>
    </row>
    <row r="603" spans="1:13" hidden="1" x14ac:dyDescent="0.35">
      <c r="A603" s="11" t="s">
        <v>292</v>
      </c>
      <c r="B603" s="11" t="s">
        <v>205</v>
      </c>
      <c r="C603" s="11" t="s">
        <v>39</v>
      </c>
      <c r="D603" s="11" t="s">
        <v>40</v>
      </c>
      <c r="E603" s="13">
        <v>0</v>
      </c>
      <c r="F603" s="13">
        <v>128000</v>
      </c>
      <c r="G603" s="13">
        <v>0</v>
      </c>
      <c r="H603" s="40">
        <f>F603+G603</f>
        <v>128000</v>
      </c>
      <c r="I603" s="47">
        <f>E603-H603</f>
        <v>-128000</v>
      </c>
      <c r="J603" s="17">
        <f>IFERROR(H603/E603,0)</f>
        <v>0</v>
      </c>
      <c r="K603" s="18" t="str">
        <f>IF(E603=0,"Sin Plan",IF(J603&gt;=1,"Completado",IF(J603&gt;0.001,"En Progreso","Pendiente de ejecutar")))</f>
        <v>Sin Plan</v>
      </c>
      <c r="L603" s="6" t="s">
        <v>321</v>
      </c>
      <c r="M603" s="6" t="s">
        <v>318</v>
      </c>
    </row>
    <row r="604" spans="1:13" hidden="1" x14ac:dyDescent="0.35">
      <c r="A604" s="20" t="s">
        <v>293</v>
      </c>
      <c r="B604" s="11" t="s">
        <v>205</v>
      </c>
      <c r="C604" s="20" t="s">
        <v>50</v>
      </c>
      <c r="D604" s="20" t="s">
        <v>51</v>
      </c>
      <c r="E604" s="14">
        <v>0</v>
      </c>
      <c r="F604" s="15">
        <v>4800</v>
      </c>
      <c r="G604" s="14">
        <v>0</v>
      </c>
      <c r="H604" s="40">
        <f>F604+G604</f>
        <v>4800</v>
      </c>
      <c r="I604" s="47">
        <f>E604-H604</f>
        <v>-4800</v>
      </c>
      <c r="J604" s="17">
        <f>IFERROR(H604/E604,0)</f>
        <v>0</v>
      </c>
      <c r="K604" s="18" t="str">
        <f>IF(E604=0,"Sin Plan",IF(J604&gt;=1,"Completado",IF(J604&gt;0.001,"En Progreso","Pendiente de ejecutar")))</f>
        <v>Sin Plan</v>
      </c>
      <c r="L604" s="6" t="s">
        <v>323</v>
      </c>
      <c r="M604" s="6" t="s">
        <v>318</v>
      </c>
    </row>
    <row r="605" spans="1:13" hidden="1" x14ac:dyDescent="0.35">
      <c r="A605" s="19" t="s">
        <v>282</v>
      </c>
      <c r="B605" s="11" t="s">
        <v>205</v>
      </c>
      <c r="C605" s="19" t="s">
        <v>37</v>
      </c>
      <c r="D605" s="11" t="s">
        <v>38</v>
      </c>
      <c r="E605" s="13">
        <v>49000</v>
      </c>
      <c r="F605" s="13">
        <v>17067.28</v>
      </c>
      <c r="G605" s="13">
        <v>0</v>
      </c>
      <c r="H605" s="40">
        <f>F605+G605</f>
        <v>17067.28</v>
      </c>
      <c r="I605" s="47">
        <f>E605-H605</f>
        <v>31932.720000000001</v>
      </c>
      <c r="J605" s="17">
        <f>IFERROR(H605/E605,0)</f>
        <v>0.34831183673469385</v>
      </c>
      <c r="K605" s="18" t="str">
        <f>IF(E605=0,"Sin Plan",IF(J605&gt;=1,"Completado",IF(J605&gt;0.001,"En Progreso","Pendiente de ejecutar")))</f>
        <v>En Progreso</v>
      </c>
      <c r="L605" s="6" t="s">
        <v>321</v>
      </c>
      <c r="M605" s="6" t="s">
        <v>320</v>
      </c>
    </row>
    <row r="606" spans="1:13" hidden="1" x14ac:dyDescent="0.35">
      <c r="A606" s="11" t="s">
        <v>293</v>
      </c>
      <c r="B606" s="11" t="s">
        <v>205</v>
      </c>
      <c r="C606" s="11" t="s">
        <v>249</v>
      </c>
      <c r="D606" s="11" t="s">
        <v>250</v>
      </c>
      <c r="E606" s="14">
        <v>0</v>
      </c>
      <c r="F606" s="15">
        <v>243700</v>
      </c>
      <c r="G606" s="14">
        <v>0</v>
      </c>
      <c r="H606" s="40">
        <f>F606+G606</f>
        <v>243700</v>
      </c>
      <c r="I606" s="47">
        <f>E606-H606</f>
        <v>-243700</v>
      </c>
      <c r="J606" s="17">
        <f>IFERROR(H606/E606,0)</f>
        <v>0</v>
      </c>
      <c r="K606" s="18" t="str">
        <f>IF(E606=0,"Sin Plan",IF(J606&gt;=1,"Completado",IF(J606&gt;0.001,"En Progreso","Pendiente de ejecutar")))</f>
        <v>Sin Plan</v>
      </c>
      <c r="L606" s="6" t="s">
        <v>321</v>
      </c>
      <c r="M606" s="6" t="s">
        <v>318</v>
      </c>
    </row>
    <row r="607" spans="1:13" hidden="1" x14ac:dyDescent="0.35">
      <c r="A607" s="20" t="s">
        <v>293</v>
      </c>
      <c r="B607" s="11" t="s">
        <v>205</v>
      </c>
      <c r="C607" s="20" t="s">
        <v>199</v>
      </c>
      <c r="D607" s="20" t="s">
        <v>200</v>
      </c>
      <c r="E607" s="14">
        <v>0</v>
      </c>
      <c r="F607" s="15">
        <v>222616.9</v>
      </c>
      <c r="G607" s="14">
        <v>0</v>
      </c>
      <c r="H607" s="40">
        <f>F607+G607</f>
        <v>222616.9</v>
      </c>
      <c r="I607" s="47">
        <f>E607-H607</f>
        <v>-222616.9</v>
      </c>
      <c r="J607" s="17">
        <f>IFERROR(H607/E607,0)</f>
        <v>0</v>
      </c>
      <c r="K607" s="18" t="str">
        <f>IF(E607=0,"Sin Plan",IF(J607&gt;=1,"Completado",IF(J607&gt;0.001,"En Progreso","Pendiente de ejecutar")))</f>
        <v>Sin Plan</v>
      </c>
      <c r="L607" s="6" t="s">
        <v>321</v>
      </c>
      <c r="M607" s="6" t="s">
        <v>318</v>
      </c>
    </row>
    <row r="608" spans="1:13" hidden="1" x14ac:dyDescent="0.35">
      <c r="A608" s="11" t="s">
        <v>293</v>
      </c>
      <c r="B608" s="11" t="s">
        <v>205</v>
      </c>
      <c r="C608" s="11" t="s">
        <v>29</v>
      </c>
      <c r="D608" s="23" t="s">
        <v>294</v>
      </c>
      <c r="E608" s="14">
        <v>0</v>
      </c>
      <c r="F608" s="14">
        <v>160264.1</v>
      </c>
      <c r="G608" s="14">
        <v>0</v>
      </c>
      <c r="H608" s="40">
        <f>F608+G608</f>
        <v>160264.1</v>
      </c>
      <c r="I608" s="47">
        <f>E608-H608</f>
        <v>-160264.1</v>
      </c>
      <c r="J608" s="17">
        <f>IFERROR(H608/E608,0)</f>
        <v>0</v>
      </c>
      <c r="K608" s="18" t="str">
        <f>IF(E608=0,"Sin Plan",IF(J608&gt;=1,"Completado",IF(J608&gt;0.001,"En Progreso","Pendiente de ejecutar")))</f>
        <v>Sin Plan</v>
      </c>
      <c r="L608" s="6" t="s">
        <v>323</v>
      </c>
      <c r="M608" s="6" t="s">
        <v>318</v>
      </c>
    </row>
    <row r="609" spans="1:13" hidden="1" x14ac:dyDescent="0.35">
      <c r="A609" s="11" t="s">
        <v>293</v>
      </c>
      <c r="B609" s="11" t="s">
        <v>205</v>
      </c>
      <c r="C609" s="11" t="s">
        <v>137</v>
      </c>
      <c r="D609" s="11" t="s">
        <v>138</v>
      </c>
      <c r="E609" s="14">
        <v>0</v>
      </c>
      <c r="F609" s="15">
        <v>49848.39</v>
      </c>
      <c r="G609" s="14">
        <v>0</v>
      </c>
      <c r="H609" s="40">
        <f>F609+G609</f>
        <v>49848.39</v>
      </c>
      <c r="I609" s="47">
        <f>E609-H609</f>
        <v>-49848.39</v>
      </c>
      <c r="J609" s="17">
        <f>IFERROR(H609/E609,0)</f>
        <v>0</v>
      </c>
      <c r="K609" s="18" t="str">
        <f>IF(E609=0,"Sin Plan",IF(J609&gt;=1,"Completado",IF(J609&gt;0.001,"En Progreso","Pendiente de ejecutar")))</f>
        <v>Sin Plan</v>
      </c>
      <c r="L609" s="6" t="s">
        <v>323</v>
      </c>
      <c r="M609" s="6" t="s">
        <v>318</v>
      </c>
    </row>
    <row r="610" spans="1:13" hidden="1" x14ac:dyDescent="0.35">
      <c r="A610" s="19" t="s">
        <v>295</v>
      </c>
      <c r="B610" s="11" t="s">
        <v>205</v>
      </c>
      <c r="C610" s="19" t="s">
        <v>47</v>
      </c>
      <c r="D610" s="19" t="s">
        <v>48</v>
      </c>
      <c r="E610" s="13">
        <v>0</v>
      </c>
      <c r="F610" s="13">
        <v>0</v>
      </c>
      <c r="G610" s="13">
        <v>246624.75</v>
      </c>
      <c r="H610" s="40">
        <f>F610+G610</f>
        <v>246624.75</v>
      </c>
      <c r="I610" s="47">
        <f>E610-H610</f>
        <v>-246624.75</v>
      </c>
      <c r="J610" s="17">
        <f>IFERROR(H610/E610,0)</f>
        <v>0</v>
      </c>
      <c r="K610" s="18" t="str">
        <f>IF(E610=0,"Sin Plan",IF(J610&gt;=1,"Completado",IF(J610&gt;0.001,"En Progreso","Pendiente de ejecutar")))</f>
        <v>Sin Plan</v>
      </c>
      <c r="L610" s="6" t="s">
        <v>323</v>
      </c>
      <c r="M610" s="6" t="s">
        <v>318</v>
      </c>
    </row>
    <row r="611" spans="1:13" hidden="1" x14ac:dyDescent="0.35">
      <c r="A611" s="20" t="s">
        <v>299</v>
      </c>
      <c r="B611" s="11" t="s">
        <v>205</v>
      </c>
      <c r="C611" s="20" t="s">
        <v>199</v>
      </c>
      <c r="D611" s="20" t="s">
        <v>200</v>
      </c>
      <c r="E611" s="14">
        <v>0</v>
      </c>
      <c r="F611" s="14">
        <v>693460</v>
      </c>
      <c r="G611" s="14">
        <f>(70000*2)+22497</f>
        <v>162497</v>
      </c>
      <c r="H611" s="40">
        <f>F611+G611</f>
        <v>855957</v>
      </c>
      <c r="I611" s="47">
        <f>E611-H611</f>
        <v>-855957</v>
      </c>
      <c r="J611" s="17">
        <f>IFERROR(H611/E611,0)</f>
        <v>0</v>
      </c>
      <c r="K611" s="18" t="str">
        <f>IF(E611=0,"Sin Plan",IF(J611&gt;=1,"Completado",IF(J611&gt;0.001,"En Progreso","Pendiente de ejecutar")))</f>
        <v>Sin Plan</v>
      </c>
      <c r="L611" s="6" t="s">
        <v>321</v>
      </c>
      <c r="M611" s="6" t="s">
        <v>318</v>
      </c>
    </row>
    <row r="612" spans="1:13" hidden="1" x14ac:dyDescent="0.35">
      <c r="A612" s="19" t="s">
        <v>299</v>
      </c>
      <c r="B612" s="11" t="s">
        <v>205</v>
      </c>
      <c r="C612" s="19" t="s">
        <v>47</v>
      </c>
      <c r="D612" s="19" t="s">
        <v>48</v>
      </c>
      <c r="E612" s="13">
        <v>0</v>
      </c>
      <c r="F612" s="13">
        <v>534229.98</v>
      </c>
      <c r="G612" s="13">
        <v>246624.75</v>
      </c>
      <c r="H612" s="40">
        <f>F612+G612</f>
        <v>780854.73</v>
      </c>
      <c r="I612" s="47">
        <f>E612-H612</f>
        <v>-780854.73</v>
      </c>
      <c r="J612" s="17">
        <f>IFERROR(H612/E612,0)</f>
        <v>0</v>
      </c>
      <c r="K612" s="18" t="str">
        <f>IF(E612=0,"Sin Plan",IF(J612&gt;=1,"Completado",IF(J612&gt;0.001,"En Progreso","Pendiente de ejecutar")))</f>
        <v>Sin Plan</v>
      </c>
      <c r="L612" s="6" t="s">
        <v>323</v>
      </c>
      <c r="M612" s="6" t="s">
        <v>318</v>
      </c>
    </row>
    <row r="613" spans="1:13" hidden="1" x14ac:dyDescent="0.35">
      <c r="A613" s="20" t="s">
        <v>119</v>
      </c>
      <c r="B613" s="11" t="s">
        <v>319</v>
      </c>
      <c r="C613" s="20" t="s">
        <v>33</v>
      </c>
      <c r="D613" s="20" t="s">
        <v>34</v>
      </c>
      <c r="E613" s="14">
        <v>462000</v>
      </c>
      <c r="F613" s="14">
        <v>583375.01</v>
      </c>
      <c r="G613" s="14">
        <v>0</v>
      </c>
      <c r="H613" s="40">
        <f>F613+G613</f>
        <v>583375.01</v>
      </c>
      <c r="I613" s="47">
        <f>E613-H613</f>
        <v>-121375.01000000001</v>
      </c>
      <c r="J613" s="17">
        <f>IFERROR(H613/E613,0)</f>
        <v>1.2627164718614718</v>
      </c>
      <c r="K613" s="18" t="str">
        <f>IF(E613=0,"Sin Plan",IF(J613&gt;=1,"Completado",IF(J613&gt;0.001,"En Progreso","Pendiente de ejecutar")))</f>
        <v>Completado</v>
      </c>
      <c r="L613" s="6" t="s">
        <v>321</v>
      </c>
      <c r="M613" s="6" t="s">
        <v>320</v>
      </c>
    </row>
    <row r="614" spans="1:13" hidden="1" x14ac:dyDescent="0.35">
      <c r="A614" s="11" t="s">
        <v>285</v>
      </c>
      <c r="B614" s="11"/>
      <c r="C614" s="11"/>
      <c r="D614" s="22" t="s">
        <v>325</v>
      </c>
      <c r="E614" s="14">
        <v>-120000</v>
      </c>
      <c r="F614" s="14"/>
      <c r="G614" s="14"/>
      <c r="H614" s="40"/>
      <c r="I614" s="16">
        <f>E614-H614</f>
        <v>-120000</v>
      </c>
      <c r="J614" s="17">
        <f>IFERROR(H614/E614,0)</f>
        <v>0</v>
      </c>
      <c r="K614" s="18" t="str">
        <f>IF(E614=0,"Sin Plan",IF(J614&gt;=1,"Completado",IF(J614&gt;0.001,"En Progreso","Pendiente de ejecutar")))</f>
        <v>Pendiente de ejecutar</v>
      </c>
      <c r="L614" s="6" t="s">
        <v>323</v>
      </c>
      <c r="M614" s="6"/>
    </row>
    <row r="615" spans="1:13" hidden="1" x14ac:dyDescent="0.35">
      <c r="A615" s="11" t="s">
        <v>118</v>
      </c>
      <c r="B615" s="11" t="s">
        <v>319</v>
      </c>
      <c r="C615" s="11" t="s">
        <v>66</v>
      </c>
      <c r="D615" s="11" t="s">
        <v>67</v>
      </c>
      <c r="E615" s="14">
        <v>232500</v>
      </c>
      <c r="F615" s="14">
        <v>131773.41</v>
      </c>
      <c r="G615" s="14">
        <v>101208.19</v>
      </c>
      <c r="H615" s="40">
        <f>F615+G615</f>
        <v>232981.6</v>
      </c>
      <c r="I615" s="47">
        <f>E615-H615</f>
        <v>-481.60000000000582</v>
      </c>
      <c r="J615" s="17">
        <f>IFERROR(H615/E615,0)</f>
        <v>1.0020713978494624</v>
      </c>
      <c r="K615" s="18" t="str">
        <f>IF(E615=0,"Sin Plan",IF(J615&gt;=1,"Completado",IF(J615&gt;0.001,"En Progreso","Pendiente de ejecutar")))</f>
        <v>Completado</v>
      </c>
      <c r="L615" s="6" t="s">
        <v>323</v>
      </c>
      <c r="M615" s="6" t="s">
        <v>320</v>
      </c>
    </row>
    <row r="616" spans="1:13" hidden="1" x14ac:dyDescent="0.35">
      <c r="A616" s="19" t="s">
        <v>118</v>
      </c>
      <c r="B616" s="11" t="s">
        <v>319</v>
      </c>
      <c r="C616" s="19" t="s">
        <v>13</v>
      </c>
      <c r="D616" s="19" t="s">
        <v>14</v>
      </c>
      <c r="E616" s="13">
        <v>685000</v>
      </c>
      <c r="F616" s="13">
        <v>0</v>
      </c>
      <c r="G616" s="13">
        <v>731000</v>
      </c>
      <c r="H616" s="40">
        <f>F616+G616</f>
        <v>731000</v>
      </c>
      <c r="I616" s="47">
        <f>E616-H616</f>
        <v>-46000</v>
      </c>
      <c r="J616" s="17">
        <f>IFERROR(H616/E616,0)</f>
        <v>1.0671532846715328</v>
      </c>
      <c r="K616" s="18" t="str">
        <f>IF(E616=0,"Sin Plan",IF(J616&gt;=1,"Completado",IF(J616&gt;0.001,"En Progreso","Pendiente de ejecutar")))</f>
        <v>Completado</v>
      </c>
      <c r="L616" s="6" t="s">
        <v>323</v>
      </c>
      <c r="M616" s="6" t="s">
        <v>320</v>
      </c>
    </row>
    <row r="617" spans="1:13" hidden="1" x14ac:dyDescent="0.35">
      <c r="A617" s="11" t="s">
        <v>118</v>
      </c>
      <c r="B617" s="11" t="s">
        <v>319</v>
      </c>
      <c r="C617" s="11" t="s">
        <v>47</v>
      </c>
      <c r="D617" s="11" t="s">
        <v>48</v>
      </c>
      <c r="E617" s="14">
        <v>126000</v>
      </c>
      <c r="F617" s="14">
        <v>0</v>
      </c>
      <c r="G617" s="14">
        <v>137843.10999999999</v>
      </c>
      <c r="H617" s="40">
        <f>F617+G617</f>
        <v>137843.10999999999</v>
      </c>
      <c r="I617" s="47">
        <f>E617-H617</f>
        <v>-11843.109999999986</v>
      </c>
      <c r="J617" s="17">
        <f>IFERROR(H617/E617,0)</f>
        <v>1.0939929365079364</v>
      </c>
      <c r="K617" s="18" t="str">
        <f>IF(E617=0,"Sin Plan",IF(J617&gt;=1,"Completado",IF(J617&gt;0.001,"En Progreso","Pendiente de ejecutar")))</f>
        <v>Completado</v>
      </c>
      <c r="L617" s="6" t="s">
        <v>323</v>
      </c>
      <c r="M617" s="6" t="s">
        <v>320</v>
      </c>
    </row>
    <row r="618" spans="1:13" hidden="1" x14ac:dyDescent="0.35">
      <c r="A618" s="19" t="s">
        <v>118</v>
      </c>
      <c r="B618" s="11" t="s">
        <v>319</v>
      </c>
      <c r="C618" s="19" t="s">
        <v>29</v>
      </c>
      <c r="D618" s="19" t="s">
        <v>30</v>
      </c>
      <c r="E618" s="13">
        <v>0</v>
      </c>
      <c r="F618" s="13">
        <v>134910.60999999999</v>
      </c>
      <c r="G618" s="13">
        <v>0</v>
      </c>
      <c r="H618" s="40">
        <f>F618+G618</f>
        <v>134910.60999999999</v>
      </c>
      <c r="I618" s="47">
        <f>E618-H618</f>
        <v>-134910.60999999999</v>
      </c>
      <c r="J618" s="17">
        <f>IFERROR(H618/E618,0)</f>
        <v>0</v>
      </c>
      <c r="K618" s="18" t="str">
        <f>IF(E618=0,"Sin Plan",IF(J618&gt;=1,"Completado",IF(J618&gt;0.001,"En Progreso","Pendiente de ejecutar")))</f>
        <v>Sin Plan</v>
      </c>
      <c r="L618" s="6" t="s">
        <v>323</v>
      </c>
      <c r="M618" s="6" t="s">
        <v>322</v>
      </c>
    </row>
    <row r="619" spans="1:13" hidden="1" x14ac:dyDescent="0.35">
      <c r="A619" s="11" t="s">
        <v>119</v>
      </c>
      <c r="B619" s="11" t="s">
        <v>319</v>
      </c>
      <c r="C619" s="11" t="s">
        <v>13</v>
      </c>
      <c r="D619" s="11" t="s">
        <v>14</v>
      </c>
      <c r="E619" s="14">
        <v>685000</v>
      </c>
      <c r="F619" s="14">
        <v>0</v>
      </c>
      <c r="G619" s="14">
        <v>724100</v>
      </c>
      <c r="H619" s="40">
        <f>F619+G619</f>
        <v>724100</v>
      </c>
      <c r="I619" s="47">
        <f>E619-H619</f>
        <v>-39100</v>
      </c>
      <c r="J619" s="17">
        <f>IFERROR(H619/E619,0)</f>
        <v>1.0570802919708029</v>
      </c>
      <c r="K619" s="18" t="str">
        <f>IF(E619=0,"Sin Plan",IF(J619&gt;=1,"Completado",IF(J619&gt;0.001,"En Progreso","Pendiente de ejecutar")))</f>
        <v>Completado</v>
      </c>
      <c r="L619" s="6" t="s">
        <v>323</v>
      </c>
      <c r="M619" s="6" t="s">
        <v>320</v>
      </c>
    </row>
    <row r="620" spans="1:13" hidden="1" x14ac:dyDescent="0.35">
      <c r="A620" s="19" t="s">
        <v>119</v>
      </c>
      <c r="B620" s="11" t="s">
        <v>319</v>
      </c>
      <c r="C620" s="19" t="s">
        <v>78</v>
      </c>
      <c r="D620" s="19" t="s">
        <v>79</v>
      </c>
      <c r="E620" s="13">
        <v>220420</v>
      </c>
      <c r="F620" s="13">
        <v>110732.58</v>
      </c>
      <c r="G620" s="13">
        <v>0</v>
      </c>
      <c r="H620" s="40">
        <f>F620+G620</f>
        <v>110732.58</v>
      </c>
      <c r="I620" s="47">
        <f>E620-H620</f>
        <v>109687.42</v>
      </c>
      <c r="J620" s="17">
        <f>IFERROR(H620/E620,0)</f>
        <v>0.50237083749206057</v>
      </c>
      <c r="K620" s="18" t="str">
        <f>IF(E620=0,"Sin Plan",IF(J620&gt;=1,"Completado",IF(J620&gt;0.001,"En Progreso","Pendiente de ejecutar")))</f>
        <v>En Progreso</v>
      </c>
      <c r="L620" s="6" t="s">
        <v>323</v>
      </c>
      <c r="M620" s="6" t="s">
        <v>320</v>
      </c>
    </row>
    <row r="621" spans="1:13" hidden="1" x14ac:dyDescent="0.35">
      <c r="A621" s="29" t="s">
        <v>290</v>
      </c>
      <c r="B621" s="29"/>
      <c r="C621" s="29"/>
      <c r="D621" s="22" t="s">
        <v>325</v>
      </c>
      <c r="E621" s="14">
        <v>-29000</v>
      </c>
      <c r="F621" s="14"/>
      <c r="G621" s="14"/>
      <c r="H621" s="40">
        <f>F621+G621</f>
        <v>0</v>
      </c>
      <c r="I621" s="47">
        <f>E621-H621</f>
        <v>-29000</v>
      </c>
      <c r="J621" s="17"/>
      <c r="K621" s="18"/>
      <c r="L621" s="6" t="s">
        <v>323</v>
      </c>
      <c r="M621" s="6"/>
    </row>
    <row r="622" spans="1:13" hidden="1" x14ac:dyDescent="0.35">
      <c r="A622" s="20" t="s">
        <v>120</v>
      </c>
      <c r="B622" s="11" t="s">
        <v>319</v>
      </c>
      <c r="C622" s="20" t="s">
        <v>13</v>
      </c>
      <c r="D622" s="20" t="s">
        <v>14</v>
      </c>
      <c r="E622" s="14">
        <v>685000</v>
      </c>
      <c r="F622" s="14">
        <v>0</v>
      </c>
      <c r="G622" s="14">
        <v>456100</v>
      </c>
      <c r="H622" s="40">
        <f>F622+G622</f>
        <v>456100</v>
      </c>
      <c r="I622" s="47">
        <f>E622-H622</f>
        <v>228900</v>
      </c>
      <c r="J622" s="17">
        <f>IFERROR(H622/E622,0)</f>
        <v>0.66583941605839414</v>
      </c>
      <c r="K622" s="18" t="str">
        <f>IF(E622=0,"Sin Plan",IF(J622&gt;=1,"Completado",IF(J622&gt;0.001,"En Progreso","Pendiente de ejecutar")))</f>
        <v>En Progreso</v>
      </c>
      <c r="L622" s="6" t="s">
        <v>323</v>
      </c>
      <c r="M622" s="6" t="s">
        <v>320</v>
      </c>
    </row>
    <row r="623" spans="1:13" hidden="1" x14ac:dyDescent="0.35">
      <c r="A623" s="19" t="s">
        <v>155</v>
      </c>
      <c r="B623" s="19" t="s">
        <v>128</v>
      </c>
      <c r="C623" s="12"/>
      <c r="D623" s="24" t="s">
        <v>136</v>
      </c>
      <c r="E623" s="13"/>
      <c r="F623" s="13">
        <v>96300</v>
      </c>
      <c r="G623" s="15"/>
      <c r="H623" s="40">
        <f>F623+G623</f>
        <v>96300</v>
      </c>
      <c r="I623" s="16"/>
      <c r="J623" s="17">
        <f>IFERROR(H623/E623,0)</f>
        <v>0</v>
      </c>
      <c r="K623" s="18" t="str">
        <f>IF(E623=0,"Sin Plan",IF(J623&gt;=1,"Completado",IF(J623&gt;0.001,"En Progreso","Pendiente de ejecutar")))</f>
        <v>Sin Plan</v>
      </c>
      <c r="L623" s="6" t="s">
        <v>323</v>
      </c>
      <c r="M623" s="6" t="s">
        <v>318</v>
      </c>
    </row>
    <row r="624" spans="1:13" hidden="1" x14ac:dyDescent="0.35">
      <c r="A624" s="26" t="s">
        <v>198</v>
      </c>
      <c r="B624" s="11" t="s">
        <v>205</v>
      </c>
      <c r="C624" s="22"/>
      <c r="D624" s="23" t="s">
        <v>190</v>
      </c>
      <c r="E624" s="14"/>
      <c r="F624" s="14">
        <v>81650</v>
      </c>
      <c r="G624" s="14"/>
      <c r="H624" s="40">
        <f>F624+G624</f>
        <v>81650</v>
      </c>
      <c r="I624" s="16"/>
      <c r="J624" s="17">
        <f>IFERROR(H624/E624,0)</f>
        <v>0</v>
      </c>
      <c r="K624" s="18" t="str">
        <f>IF(E624=0,"Sin Plan",IF(J624&gt;=1,"Completado",IF(J624&gt;0.001,"En Progreso","Pendiente de ejecutar")))</f>
        <v>Sin Plan</v>
      </c>
      <c r="L624" s="6" t="s">
        <v>321</v>
      </c>
      <c r="M624" s="6" t="s">
        <v>318</v>
      </c>
    </row>
    <row r="625" spans="1:13" hidden="1" x14ac:dyDescent="0.35">
      <c r="A625" s="19" t="s">
        <v>201</v>
      </c>
      <c r="B625" s="11" t="s">
        <v>205</v>
      </c>
      <c r="C625" s="12"/>
      <c r="D625" s="24" t="s">
        <v>203</v>
      </c>
      <c r="E625" s="13">
        <v>27000</v>
      </c>
      <c r="F625" s="13">
        <v>47800</v>
      </c>
      <c r="G625" s="13"/>
      <c r="H625" s="40">
        <f>F625+G625</f>
        <v>47800</v>
      </c>
      <c r="I625" s="16">
        <f>E625-H625</f>
        <v>-20800</v>
      </c>
      <c r="J625" s="17">
        <f>IFERROR(H625/E625,0)</f>
        <v>1.7703703703703704</v>
      </c>
      <c r="K625" s="18" t="str">
        <f>IF(E625=0,"Sin Plan",IF(J625&gt;=1,"Completado",IF(J625&gt;0.001,"En Progreso","Pendiente de ejecutar")))</f>
        <v>Completado</v>
      </c>
      <c r="L625" s="6" t="s">
        <v>323</v>
      </c>
      <c r="M625" s="6" t="s">
        <v>318</v>
      </c>
    </row>
    <row r="626" spans="1:13" x14ac:dyDescent="0.35">
      <c r="A626" s="29" t="s">
        <v>240</v>
      </c>
      <c r="B626" s="11" t="s">
        <v>205</v>
      </c>
      <c r="C626" s="29"/>
      <c r="D626" s="22" t="s">
        <v>325</v>
      </c>
      <c r="E626" s="14">
        <v>139000</v>
      </c>
      <c r="F626" s="14"/>
      <c r="G626" s="14"/>
      <c r="H626" s="40">
        <f>F626+G626</f>
        <v>0</v>
      </c>
      <c r="I626" s="47">
        <f>E626-H626</f>
        <v>139000</v>
      </c>
      <c r="J626" s="17"/>
      <c r="K626" s="18"/>
      <c r="L626" s="6" t="s">
        <v>323</v>
      </c>
      <c r="M626" s="6"/>
    </row>
    <row r="627" spans="1:13" hidden="1" x14ac:dyDescent="0.35">
      <c r="A627" s="11" t="s">
        <v>207</v>
      </c>
      <c r="B627" s="11" t="s">
        <v>205</v>
      </c>
      <c r="C627" s="11"/>
      <c r="D627" s="11" t="s">
        <v>208</v>
      </c>
      <c r="E627" s="13"/>
      <c r="F627" s="13">
        <v>60474.47</v>
      </c>
      <c r="G627" s="13"/>
      <c r="H627" s="40">
        <f>F627+G627</f>
        <v>60474.47</v>
      </c>
      <c r="I627" s="16">
        <f>E627-H627</f>
        <v>-60474.47</v>
      </c>
      <c r="J627" s="17">
        <f>IFERROR(H627/E627,0)</f>
        <v>0</v>
      </c>
      <c r="K627" s="18" t="str">
        <f>IF(E627=0,"Sin Plan",IF(J627&gt;=1,"Completado",IF(J627&gt;0.001,"En Progreso","Pendiente de ejecutar")))</f>
        <v>Sin Plan</v>
      </c>
      <c r="L627" s="6" t="s">
        <v>321</v>
      </c>
      <c r="M627" s="6" t="s">
        <v>318</v>
      </c>
    </row>
    <row r="628" spans="1:13" hidden="1" x14ac:dyDescent="0.35">
      <c r="A628" s="20" t="s">
        <v>287</v>
      </c>
      <c r="B628" s="11" t="s">
        <v>205</v>
      </c>
      <c r="C628" s="20"/>
      <c r="D628" s="20" t="s">
        <v>38</v>
      </c>
      <c r="E628" s="14"/>
      <c r="F628" s="36">
        <f>(17067.29*2)+21000</f>
        <v>55134.58</v>
      </c>
      <c r="G628" s="14"/>
      <c r="H628" s="40">
        <f>F628+G628</f>
        <v>55134.58</v>
      </c>
      <c r="I628" s="21"/>
      <c r="J628" s="17">
        <f>IFERROR(H628/E628,0)</f>
        <v>0</v>
      </c>
      <c r="K628" s="18" t="str">
        <f>IF(E628=0,"Sin Plan",IF(J628&gt;=1,"Completado",IF(J628&gt;0.001,"En Progreso","Pendiente de ejecutar")))</f>
        <v>Sin Plan</v>
      </c>
      <c r="L628" s="6" t="s">
        <v>323</v>
      </c>
      <c r="M628" s="6" t="s">
        <v>318</v>
      </c>
    </row>
    <row r="629" spans="1:13" hidden="1" x14ac:dyDescent="0.35">
      <c r="A629" s="48" t="s">
        <v>290</v>
      </c>
      <c r="B629" s="29" t="s">
        <v>205</v>
      </c>
      <c r="C629" s="48" t="s">
        <v>37</v>
      </c>
      <c r="D629" s="29" t="s">
        <v>38</v>
      </c>
      <c r="E629" s="41">
        <v>12480000</v>
      </c>
      <c r="F629" s="41">
        <v>602725.14</v>
      </c>
      <c r="G629" s="41">
        <v>0</v>
      </c>
      <c r="H629" s="40">
        <f>F629+G629</f>
        <v>602725.14</v>
      </c>
      <c r="I629" s="47">
        <f>E629-H629</f>
        <v>11877274.859999999</v>
      </c>
      <c r="J629" s="17">
        <f>IFERROR(H629/E629,0)</f>
        <v>4.8295283653846152E-2</v>
      </c>
      <c r="K629" s="18" t="str">
        <f>IF(E629=0,"Sin Plan",IF(J629&gt;=1,"Completado",IF(J629&gt;0.001,"En Progreso","Pendiente de ejecutar")))</f>
        <v>En Progreso</v>
      </c>
      <c r="L629" s="6" t="s">
        <v>321</v>
      </c>
      <c r="M629" s="6" t="s">
        <v>320</v>
      </c>
    </row>
    <row r="630" spans="1:13" x14ac:dyDescent="0.35">
      <c r="A630" s="29" t="s">
        <v>240</v>
      </c>
      <c r="B630" s="11" t="s">
        <v>205</v>
      </c>
      <c r="C630" s="22"/>
      <c r="D630" s="22" t="s">
        <v>325</v>
      </c>
      <c r="E630" s="14">
        <v>40500</v>
      </c>
      <c r="F630" s="100"/>
      <c r="G630" s="100"/>
      <c r="H630" s="40">
        <f>F630+G630</f>
        <v>0</v>
      </c>
      <c r="I630" s="47">
        <f>E630-H630</f>
        <v>40500</v>
      </c>
      <c r="J630" s="17">
        <f>IFERROR(H630/E630,0)</f>
        <v>0</v>
      </c>
      <c r="K630" s="18" t="str">
        <f>IF(E630=0,"Sin Plan",IF(J630&gt;=1,"Completado",IF(J630&gt;0.001,"En Progreso","Pendiente de ejecutar")))</f>
        <v>Pendiente de ejecutar</v>
      </c>
      <c r="L630" s="81" t="s">
        <v>321</v>
      </c>
      <c r="M630" s="6"/>
    </row>
    <row r="631" spans="1:13" x14ac:dyDescent="0.35">
      <c r="A631" s="11" t="s">
        <v>240</v>
      </c>
      <c r="B631" s="11" t="s">
        <v>205</v>
      </c>
      <c r="C631" s="11" t="s">
        <v>135</v>
      </c>
      <c r="D631" s="11" t="s">
        <v>136</v>
      </c>
      <c r="E631" s="14">
        <v>10000</v>
      </c>
      <c r="F631" s="14">
        <v>0</v>
      </c>
      <c r="G631" s="14">
        <v>0</v>
      </c>
      <c r="H631" s="40">
        <f>F631+G631</f>
        <v>0</v>
      </c>
      <c r="I631" s="47">
        <f>E631-H631</f>
        <v>10000</v>
      </c>
      <c r="J631" s="17">
        <f>IFERROR(H631/E631,0)</f>
        <v>0</v>
      </c>
      <c r="K631" s="18" t="str">
        <f>IF(E631=0,"Sin Plan",IF(J631&gt;=1,"Completado",IF(J631&gt;0.001,"En Progreso","Pendiente de ejecutar")))</f>
        <v>Pendiente de ejecutar</v>
      </c>
      <c r="L631" s="6" t="s">
        <v>323</v>
      </c>
      <c r="M631" s="6" t="s">
        <v>320</v>
      </c>
    </row>
    <row r="632" spans="1:13" x14ac:dyDescent="0.35">
      <c r="A632" s="19" t="s">
        <v>240</v>
      </c>
      <c r="B632" s="11" t="s">
        <v>205</v>
      </c>
      <c r="C632" s="19" t="s">
        <v>78</v>
      </c>
      <c r="D632" s="19" t="s">
        <v>79</v>
      </c>
      <c r="E632" s="13">
        <v>0</v>
      </c>
      <c r="F632" s="35">
        <v>170059.44</v>
      </c>
      <c r="G632" s="89"/>
      <c r="H632" s="40">
        <f>F632+G632</f>
        <v>170059.44</v>
      </c>
      <c r="I632" s="47">
        <f>E632-H632</f>
        <v>-170059.44</v>
      </c>
      <c r="J632" s="17">
        <f>IFERROR(H632/E632,0)</f>
        <v>0</v>
      </c>
      <c r="K632" s="18" t="str">
        <f>IF(E632=0,"Sin Plan",IF(J632&gt;=1,"Completado",IF(J632&gt;0.001,"En Progreso","Pendiente de ejecutar")))</f>
        <v>Sin Plan</v>
      </c>
      <c r="L632" s="6" t="s">
        <v>323</v>
      </c>
      <c r="M632" s="6" t="s">
        <v>318</v>
      </c>
    </row>
    <row r="633" spans="1:13" x14ac:dyDescent="0.35">
      <c r="A633" s="20" t="s">
        <v>240</v>
      </c>
      <c r="B633" s="11" t="s">
        <v>205</v>
      </c>
      <c r="C633" s="20" t="s">
        <v>27</v>
      </c>
      <c r="D633" s="20" t="s">
        <v>28</v>
      </c>
      <c r="E633" s="14">
        <v>0</v>
      </c>
      <c r="F633" s="14">
        <v>0</v>
      </c>
      <c r="G633" s="36">
        <v>117608.07</v>
      </c>
      <c r="H633" s="40">
        <f>F633+G633</f>
        <v>117608.07</v>
      </c>
      <c r="I633" s="47">
        <f>E633-H633</f>
        <v>-117608.07</v>
      </c>
      <c r="J633" s="17">
        <f>IFERROR(H633/E633,0)</f>
        <v>0</v>
      </c>
      <c r="K633" s="18" t="str">
        <f>IF(E633=0,"Sin Plan",IF(J633&gt;=1,"Completado",IF(J633&gt;0.001,"En Progreso","Pendiente de ejecutar")))</f>
        <v>Sin Plan</v>
      </c>
      <c r="L633" s="6" t="s">
        <v>323</v>
      </c>
      <c r="M633" s="6" t="s">
        <v>318</v>
      </c>
    </row>
    <row r="634" spans="1:13" x14ac:dyDescent="0.35">
      <c r="A634" s="11" t="s">
        <v>240</v>
      </c>
      <c r="B634" s="11" t="s">
        <v>205</v>
      </c>
      <c r="C634" s="11" t="s">
        <v>63</v>
      </c>
      <c r="D634" s="11" t="s">
        <v>64</v>
      </c>
      <c r="E634" s="13">
        <v>0</v>
      </c>
      <c r="F634" s="35">
        <v>112945.64</v>
      </c>
      <c r="G634" s="13">
        <v>0</v>
      </c>
      <c r="H634" s="40">
        <f>F634+G634</f>
        <v>112945.64</v>
      </c>
      <c r="I634" s="47">
        <f>E634-H634</f>
        <v>-112945.64</v>
      </c>
      <c r="J634" s="17">
        <f>IFERROR(H634/E634,0)</f>
        <v>0</v>
      </c>
      <c r="K634" s="18" t="str">
        <f>IF(E634=0,"Sin Plan",IF(J634&gt;=1,"Completado",IF(J634&gt;0.001,"En Progreso","Pendiente de ejecutar")))</f>
        <v>Sin Plan</v>
      </c>
      <c r="L634" s="6" t="s">
        <v>321</v>
      </c>
      <c r="M634" s="6" t="s">
        <v>318</v>
      </c>
    </row>
    <row r="635" spans="1:13" x14ac:dyDescent="0.35">
      <c r="A635" s="20" t="s">
        <v>240</v>
      </c>
      <c r="B635" s="11" t="s">
        <v>205</v>
      </c>
      <c r="C635" s="11"/>
      <c r="D635" s="11" t="s">
        <v>91</v>
      </c>
      <c r="E635" s="13"/>
      <c r="F635" s="13">
        <v>86100</v>
      </c>
      <c r="G635" s="13"/>
      <c r="H635" s="40">
        <f>F635+G635</f>
        <v>86100</v>
      </c>
      <c r="I635" s="47">
        <f>E635-H635</f>
        <v>-86100</v>
      </c>
      <c r="J635" s="17">
        <f>IFERROR(H635/E635,0)</f>
        <v>0</v>
      </c>
      <c r="K635" s="18" t="str">
        <f>IF(E635=0,"Sin Plan",IF(J635&gt;=1,"Completado",IF(J635&gt;0.001,"En Progreso","Pendiente de ejecutar")))</f>
        <v>Sin Plan</v>
      </c>
      <c r="L635" s="81" t="s">
        <v>323</v>
      </c>
      <c r="M635" s="6"/>
    </row>
    <row r="636" spans="1:13" hidden="1" x14ac:dyDescent="0.35">
      <c r="A636" s="11" t="s">
        <v>239</v>
      </c>
      <c r="B636" s="11" t="s">
        <v>205</v>
      </c>
      <c r="C636" s="11"/>
      <c r="D636" s="11" t="s">
        <v>336</v>
      </c>
      <c r="E636" s="13"/>
      <c r="F636" s="13">
        <v>106973.73</v>
      </c>
      <c r="G636" s="13"/>
      <c r="H636" s="40">
        <f>F636+G636</f>
        <v>106973.73</v>
      </c>
      <c r="I636" s="16">
        <f>E636-H636</f>
        <v>-106973.73</v>
      </c>
      <c r="J636" s="17">
        <f>IFERROR(H636/E636,0)</f>
        <v>0</v>
      </c>
      <c r="K636" s="18" t="str">
        <f>IF(E636=0,"Sin Plan",IF(J636&gt;=1,"Completado",IF(J636&gt;0.001,"En Progreso","Pendiente de ejecutar")))</f>
        <v>Sin Plan</v>
      </c>
      <c r="L636" s="6" t="s">
        <v>323</v>
      </c>
      <c r="M636" s="6" t="s">
        <v>318</v>
      </c>
    </row>
    <row r="637" spans="1:13" x14ac:dyDescent="0.35">
      <c r="A637" s="20" t="s">
        <v>240</v>
      </c>
      <c r="B637" s="11" t="s">
        <v>205</v>
      </c>
      <c r="C637" s="20"/>
      <c r="D637" s="20" t="s">
        <v>233</v>
      </c>
      <c r="E637" s="14"/>
      <c r="F637" s="14"/>
      <c r="G637" s="14">
        <v>150430</v>
      </c>
      <c r="H637" s="40">
        <f>F637+G637</f>
        <v>150430</v>
      </c>
      <c r="I637" s="47">
        <f>E637-H637</f>
        <v>-150430</v>
      </c>
      <c r="J637" s="17">
        <f>IFERROR(H637/E637,0)</f>
        <v>0</v>
      </c>
      <c r="K637" s="18" t="str">
        <f>IF(E637=0,"Sin Plan",IF(J637&gt;=1,"Completado",IF(J637&gt;0.001,"En Progreso","Pendiente de ejecutar")))</f>
        <v>Sin Plan</v>
      </c>
      <c r="L637" s="81" t="s">
        <v>323</v>
      </c>
      <c r="M637" s="6"/>
    </row>
    <row r="638" spans="1:13" x14ac:dyDescent="0.35">
      <c r="A638" s="107" t="s">
        <v>242</v>
      </c>
      <c r="B638" s="11" t="s">
        <v>205</v>
      </c>
      <c r="C638" s="29" t="s">
        <v>37</v>
      </c>
      <c r="D638" s="107" t="s">
        <v>38</v>
      </c>
      <c r="E638" s="100">
        <v>7000000</v>
      </c>
      <c r="F638" s="100">
        <f>708428.3+2812930.56+1654550.44</f>
        <v>5175909.3000000007</v>
      </c>
      <c r="G638" s="100">
        <f>343775.65+446908.35</f>
        <v>790684</v>
      </c>
      <c r="H638" s="40">
        <f>F638+G638</f>
        <v>5966593.3000000007</v>
      </c>
      <c r="I638" s="47">
        <f>E638-H638</f>
        <v>1033406.6999999993</v>
      </c>
      <c r="J638" s="17">
        <f>IFERROR(H638/E638,0)</f>
        <v>0.85237047142857159</v>
      </c>
      <c r="K638" s="18" t="str">
        <f>IF(E638=0,"Sin Plan",IF(J638&gt;=1,"Completado",IF(J638&gt;0.001,"En Progreso","Pendiente de ejecutar")))</f>
        <v>En Progreso</v>
      </c>
      <c r="L638" s="6" t="s">
        <v>321</v>
      </c>
      <c r="M638" s="6" t="s">
        <v>320</v>
      </c>
    </row>
    <row r="639" spans="1:13" x14ac:dyDescent="0.35">
      <c r="A639" s="107" t="s">
        <v>242</v>
      </c>
      <c r="B639" s="11" t="s">
        <v>205</v>
      </c>
      <c r="C639" s="28" t="s">
        <v>23</v>
      </c>
      <c r="D639" s="107" t="s">
        <v>24</v>
      </c>
      <c r="E639" s="100">
        <v>4284000</v>
      </c>
      <c r="F639" s="100"/>
      <c r="G639" s="100">
        <v>0</v>
      </c>
      <c r="H639" s="40">
        <f>F639+G639</f>
        <v>0</v>
      </c>
      <c r="I639" s="47">
        <f>E639-H639</f>
        <v>4284000</v>
      </c>
      <c r="J639" s="17">
        <f>IFERROR(H639/E639,0)</f>
        <v>0</v>
      </c>
      <c r="K639" s="18" t="str">
        <f>IF(E639=0,"Sin Plan",IF(J639&gt;=1,"Completado",IF(J639&gt;0.001,"En Progreso","Pendiente de ejecutar")))</f>
        <v>Pendiente de ejecutar</v>
      </c>
      <c r="L639" s="6" t="s">
        <v>321</v>
      </c>
      <c r="M639" s="6" t="s">
        <v>320</v>
      </c>
    </row>
    <row r="640" spans="1:13" x14ac:dyDescent="0.35">
      <c r="A640" s="107" t="s">
        <v>242</v>
      </c>
      <c r="B640" s="11" t="s">
        <v>205</v>
      </c>
      <c r="C640" s="28" t="s">
        <v>231</v>
      </c>
      <c r="D640" s="107" t="s">
        <v>232</v>
      </c>
      <c r="E640" s="100">
        <v>1685000</v>
      </c>
      <c r="F640" s="100">
        <v>158547.88</v>
      </c>
      <c r="G640" s="100">
        <v>0</v>
      </c>
      <c r="H640" s="40">
        <f>F640+G640</f>
        <v>158547.88</v>
      </c>
      <c r="I640" s="47">
        <f>E640-H640</f>
        <v>1526452.12</v>
      </c>
      <c r="J640" s="17">
        <f>IFERROR(H640/E640,0)</f>
        <v>9.4093697329376863E-2</v>
      </c>
      <c r="K640" s="18" t="str">
        <f>IF(E640=0,"Sin Plan",IF(J640&gt;=1,"Completado",IF(J640&gt;0.001,"En Progreso","Pendiente de ejecutar")))</f>
        <v>En Progreso</v>
      </c>
      <c r="L640" s="6" t="s">
        <v>321</v>
      </c>
      <c r="M640" s="6" t="s">
        <v>320</v>
      </c>
    </row>
    <row r="641" spans="1:13" hidden="1" x14ac:dyDescent="0.35">
      <c r="A641" s="28" t="s">
        <v>248</v>
      </c>
      <c r="B641" s="11" t="s">
        <v>205</v>
      </c>
      <c r="C641" s="22"/>
      <c r="D641" s="29" t="s">
        <v>251</v>
      </c>
      <c r="E641" s="14"/>
      <c r="F641" s="14">
        <f>595573.16-379877.73</f>
        <v>215695.43000000005</v>
      </c>
      <c r="G641" s="14"/>
      <c r="H641" s="40">
        <f>F641+G641</f>
        <v>215695.43000000005</v>
      </c>
      <c r="I641" s="16">
        <f>E641-H641</f>
        <v>-215695.43000000005</v>
      </c>
      <c r="J641" s="17">
        <f>IFERROR(H641/E641,0)</f>
        <v>0</v>
      </c>
      <c r="K641" s="18" t="str">
        <f>IF(E641=0,"Sin Plan",IF(J641&gt;=1,"Completado",IF(J641&gt;0.001,"En Progreso","Pendiente de ejecutar")))</f>
        <v>Sin Plan</v>
      </c>
      <c r="L641" s="6" t="s">
        <v>323</v>
      </c>
      <c r="M641" s="6" t="s">
        <v>318</v>
      </c>
    </row>
    <row r="642" spans="1:13" hidden="1" x14ac:dyDescent="0.35">
      <c r="A642" s="28" t="s">
        <v>248</v>
      </c>
      <c r="B642" s="11" t="s">
        <v>205</v>
      </c>
      <c r="C642" s="22"/>
      <c r="D642" s="23" t="s">
        <v>20</v>
      </c>
      <c r="E642" s="14"/>
      <c r="F642" s="14">
        <v>60474.46</v>
      </c>
      <c r="G642" s="14"/>
      <c r="H642" s="40">
        <f>F642+G642</f>
        <v>60474.46</v>
      </c>
      <c r="I642" s="16"/>
      <c r="J642" s="17">
        <f>IFERROR(H642/E642,0)</f>
        <v>0</v>
      </c>
      <c r="K642" s="18" t="str">
        <f>IF(E642=0,"Sin Plan",IF(J642&gt;=1,"Completado",IF(J642&gt;0.001,"En Progreso","Pendiente de ejecutar")))</f>
        <v>Sin Plan</v>
      </c>
      <c r="L642" s="6" t="s">
        <v>321</v>
      </c>
      <c r="M642" s="6" t="s">
        <v>318</v>
      </c>
    </row>
    <row r="643" spans="1:13" hidden="1" x14ac:dyDescent="0.35">
      <c r="A643" s="11" t="s">
        <v>262</v>
      </c>
      <c r="B643" s="11" t="s">
        <v>205</v>
      </c>
      <c r="C643" s="11" t="s">
        <v>199</v>
      </c>
      <c r="D643" s="11" t="s">
        <v>200</v>
      </c>
      <c r="E643" s="14"/>
      <c r="F643" s="14">
        <v>696460</v>
      </c>
      <c r="G643" s="14">
        <v>162497.70000000001</v>
      </c>
      <c r="H643" s="40">
        <f>F643+G643</f>
        <v>858957.7</v>
      </c>
      <c r="I643" s="16">
        <f>E643-H643</f>
        <v>-858957.7</v>
      </c>
      <c r="J643" s="17">
        <f>IFERROR(H643/E643,0)</f>
        <v>0</v>
      </c>
      <c r="K643" s="18" t="str">
        <f>IF(E643=0,"Sin Plan",IF(J643&gt;=1,"Completado",IF(J643&gt;0.001,"En Progreso","Pendiente de ejecutar")))</f>
        <v>Sin Plan</v>
      </c>
      <c r="L643" s="6" t="s">
        <v>321</v>
      </c>
      <c r="M643" s="6" t="s">
        <v>318</v>
      </c>
    </row>
    <row r="644" spans="1:13" hidden="1" x14ac:dyDescent="0.35">
      <c r="A644" s="55" t="s">
        <v>80</v>
      </c>
      <c r="B644" s="11" t="s">
        <v>319</v>
      </c>
      <c r="C644" s="22"/>
      <c r="D644" s="22" t="s">
        <v>325</v>
      </c>
      <c r="E644" s="14">
        <v>11390</v>
      </c>
      <c r="F644" s="14"/>
      <c r="G644" s="14"/>
      <c r="H644" s="40">
        <f>F644+G644</f>
        <v>0</v>
      </c>
      <c r="I644" s="47">
        <f>E644-H644</f>
        <v>11390</v>
      </c>
      <c r="J644" s="17"/>
      <c r="K644" s="18"/>
      <c r="L644" s="6" t="s">
        <v>323</v>
      </c>
      <c r="M644" s="6"/>
    </row>
    <row r="645" spans="1:13" hidden="1" x14ac:dyDescent="0.35">
      <c r="A645" s="26" t="s">
        <v>285</v>
      </c>
      <c r="B645" s="11" t="s">
        <v>205</v>
      </c>
      <c r="C645" s="12"/>
      <c r="D645" s="24" t="s">
        <v>286</v>
      </c>
      <c r="E645" s="13"/>
      <c r="F645" s="13">
        <v>30890</v>
      </c>
      <c r="G645" s="13"/>
      <c r="H645" s="40">
        <f>F645+G645</f>
        <v>30890</v>
      </c>
      <c r="I645" s="12"/>
      <c r="J645" s="17">
        <f>IFERROR(H645/E645,0)</f>
        <v>0</v>
      </c>
      <c r="K645" s="18" t="str">
        <f>IF(E645=0,"Sin Plan",IF(J645&gt;=1,"Completado",IF(J645&gt;0.001,"En Progreso","Pendiente de ejecutar")))</f>
        <v>Sin Plan</v>
      </c>
      <c r="L645" s="6" t="s">
        <v>321</v>
      </c>
      <c r="M645" s="6" t="s">
        <v>318</v>
      </c>
    </row>
    <row r="646" spans="1:13" hidden="1" x14ac:dyDescent="0.35">
      <c r="A646" s="11" t="s">
        <v>293</v>
      </c>
      <c r="B646" s="11" t="s">
        <v>205</v>
      </c>
      <c r="C646" s="11" t="s">
        <v>37</v>
      </c>
      <c r="D646" s="11" t="s">
        <v>38</v>
      </c>
      <c r="E646" s="13">
        <v>0</v>
      </c>
      <c r="F646" s="13">
        <v>0</v>
      </c>
      <c r="G646" s="35">
        <v>22033.89</v>
      </c>
      <c r="H646" s="40">
        <f>F646+G646</f>
        <v>22033.89</v>
      </c>
      <c r="I646" s="47">
        <f>E646-H646</f>
        <v>-22033.89</v>
      </c>
      <c r="J646" s="17">
        <f>IFERROR(H646/E646,0)</f>
        <v>0</v>
      </c>
      <c r="K646" s="18" t="str">
        <f>IF(E646=0,"Sin Plan",IF(J646&gt;=1,"Completado",IF(J646&gt;0.001,"En Progreso","Pendiente de ejecutar")))</f>
        <v>Sin Plan</v>
      </c>
      <c r="L646" s="6" t="s">
        <v>323</v>
      </c>
      <c r="M646" s="6" t="s">
        <v>318</v>
      </c>
    </row>
    <row r="647" spans="1:13" hidden="1" x14ac:dyDescent="0.35">
      <c r="A647" s="20" t="s">
        <v>290</v>
      </c>
      <c r="B647" s="11"/>
      <c r="C647" s="20"/>
      <c r="D647" s="20" t="s">
        <v>339</v>
      </c>
      <c r="E647" s="14"/>
      <c r="F647" s="36">
        <v>34912.86</v>
      </c>
      <c r="G647" s="14">
        <v>136475.6</v>
      </c>
      <c r="H647" s="40">
        <f>F647+G647</f>
        <v>171388.46000000002</v>
      </c>
      <c r="I647" s="47">
        <f>E647-H647</f>
        <v>-171388.46000000002</v>
      </c>
      <c r="J647" s="17">
        <f>IFERROR(H647/E647,0)</f>
        <v>0</v>
      </c>
      <c r="K647" s="18" t="str">
        <f>IF(E647=0,"Sin Plan",IF(J647&gt;=1,"Completado",IF(J647&gt;0.001,"En Progreso","Pendiente de ejecutar")))</f>
        <v>Sin Plan</v>
      </c>
      <c r="L647" s="6" t="s">
        <v>321</v>
      </c>
      <c r="M647" s="6"/>
    </row>
    <row r="648" spans="1:13" hidden="1" x14ac:dyDescent="0.35">
      <c r="A648" s="43" t="s">
        <v>290</v>
      </c>
      <c r="B648" s="11" t="s">
        <v>205</v>
      </c>
      <c r="C648" s="44"/>
      <c r="D648" s="44" t="s">
        <v>291</v>
      </c>
      <c r="E648" s="45"/>
      <c r="F648" s="45"/>
      <c r="G648" s="45"/>
      <c r="H648" s="40">
        <f>F648+G648</f>
        <v>0</v>
      </c>
      <c r="I648" s="46"/>
      <c r="J648" s="17">
        <f>IFERROR(H648/E648,0)</f>
        <v>0</v>
      </c>
      <c r="K648" s="18" t="str">
        <f>IF(E648=0,"Sin Plan",IF(J648&gt;=1,"Completado",IF(J648&gt;0.001,"En Progreso","Pendiente de ejecutar")))</f>
        <v>Sin Plan</v>
      </c>
      <c r="L648" s="6" t="s">
        <v>323</v>
      </c>
      <c r="M648" s="6" t="s">
        <v>318</v>
      </c>
    </row>
    <row r="649" spans="1:13" hidden="1" x14ac:dyDescent="0.35">
      <c r="A649" s="19" t="s">
        <v>296</v>
      </c>
      <c r="B649" s="11" t="s">
        <v>205</v>
      </c>
      <c r="C649" s="39"/>
      <c r="D649" s="39" t="s">
        <v>297</v>
      </c>
      <c r="E649" s="13"/>
      <c r="F649" s="13">
        <v>904144.25</v>
      </c>
      <c r="G649" s="13"/>
      <c r="H649" s="40">
        <f>F649+G649</f>
        <v>904144.25</v>
      </c>
      <c r="I649" s="16"/>
      <c r="J649" s="17">
        <f>IFERROR(H649/E649,0)</f>
        <v>0</v>
      </c>
      <c r="K649" s="18" t="str">
        <f>IF(E649=0,"Sin Plan",IF(J649&gt;=1,"Completado",IF(J649&gt;0.001,"En Progreso","Pendiente de ejecutar")))</f>
        <v>Sin Plan</v>
      </c>
      <c r="L649" s="6" t="s">
        <v>323</v>
      </c>
      <c r="M649" s="6" t="s">
        <v>318</v>
      </c>
    </row>
    <row r="650" spans="1:13" hidden="1" x14ac:dyDescent="0.35">
      <c r="A650" s="42" t="s">
        <v>299</v>
      </c>
      <c r="B650" s="11" t="s">
        <v>205</v>
      </c>
      <c r="D650" s="38" t="s">
        <v>300</v>
      </c>
      <c r="E650" s="14"/>
      <c r="F650" s="14"/>
      <c r="G650" s="14">
        <v>30982.43</v>
      </c>
      <c r="H650" s="40">
        <f>F650+G650</f>
        <v>30982.43</v>
      </c>
      <c r="I650" s="16">
        <f>E650-H650</f>
        <v>-30982.43</v>
      </c>
      <c r="J650" s="17">
        <f>IFERROR(H650/E650,0)</f>
        <v>0</v>
      </c>
      <c r="K650" s="18" t="str">
        <f>IF(E650=0,"Sin Plan",IF(J650&gt;=1,"Completado",IF(J650&gt;0.001,"En Progreso","Pendiente de ejecutar")))</f>
        <v>Sin Plan</v>
      </c>
      <c r="L650" s="6" t="s">
        <v>321</v>
      </c>
      <c r="M650" s="6" t="s">
        <v>318</v>
      </c>
    </row>
    <row r="651" spans="1:13" x14ac:dyDescent="0.35">
      <c r="A651" s="110" t="s">
        <v>242</v>
      </c>
      <c r="B651" s="11" t="s">
        <v>205</v>
      </c>
      <c r="C651" s="111" t="s">
        <v>66</v>
      </c>
      <c r="D651" s="110" t="s">
        <v>67</v>
      </c>
      <c r="E651" s="100">
        <v>1250000</v>
      </c>
      <c r="F651" s="100"/>
      <c r="G651" s="100">
        <v>964147.5</v>
      </c>
      <c r="H651" s="40">
        <f>F651+G651</f>
        <v>964147.5</v>
      </c>
      <c r="I651" s="47">
        <f>E651-H651</f>
        <v>285852.5</v>
      </c>
      <c r="J651" s="17">
        <f>IFERROR(H651/E651,0)</f>
        <v>0.77131799999999995</v>
      </c>
      <c r="K651" s="18" t="str">
        <f>IF(E651=0,"Sin Plan",IF(J651&gt;=1,"Completado",IF(J651&gt;0.001,"En Progreso","Pendiente de ejecutar")))</f>
        <v>En Progreso</v>
      </c>
      <c r="L651" s="6" t="s">
        <v>323</v>
      </c>
      <c r="M651" s="6" t="s">
        <v>320</v>
      </c>
    </row>
    <row r="652" spans="1:13" hidden="1" x14ac:dyDescent="0.35">
      <c r="A652" s="39" t="s">
        <v>260</v>
      </c>
      <c r="B652" s="11" t="s">
        <v>205</v>
      </c>
      <c r="D652" t="s">
        <v>326</v>
      </c>
      <c r="E652" s="14"/>
      <c r="F652" s="14"/>
      <c r="G652" s="14">
        <v>162863</v>
      </c>
      <c r="H652" s="40">
        <f>F652+G652</f>
        <v>162863</v>
      </c>
      <c r="I652" s="47">
        <f>E652-H652</f>
        <v>-162863</v>
      </c>
      <c r="J652" s="17">
        <f>IFERROR(H652/E652,0)</f>
        <v>0</v>
      </c>
      <c r="K652" s="18" t="str">
        <f>IF(E652=0,"Sin Plan",IF(J652&gt;=1,"Completado",IF(J652&gt;0.001,"En Progreso","Pendiente de ejecutar")))</f>
        <v>Sin Plan</v>
      </c>
      <c r="L652" s="6" t="s">
        <v>323</v>
      </c>
      <c r="M652" s="6"/>
    </row>
    <row r="653" spans="1:13" x14ac:dyDescent="0.35">
      <c r="A653" s="107" t="s">
        <v>242</v>
      </c>
      <c r="B653" s="11" t="s">
        <v>205</v>
      </c>
      <c r="C653" s="111" t="s">
        <v>243</v>
      </c>
      <c r="D653" s="110" t="s">
        <v>244</v>
      </c>
      <c r="E653" s="100">
        <v>450000</v>
      </c>
      <c r="F653" s="100">
        <v>395025</v>
      </c>
      <c r="G653" s="100">
        <v>0</v>
      </c>
      <c r="H653" s="40">
        <f>F653+G653</f>
        <v>395025</v>
      </c>
      <c r="I653" s="47">
        <f>E653-H653</f>
        <v>54975</v>
      </c>
      <c r="J653" s="17">
        <f>IFERROR(H653/E653,0)</f>
        <v>0.87783333333333335</v>
      </c>
      <c r="K653" s="18" t="str">
        <f>IF(E653=0,"Sin Plan",IF(J653&gt;=1,"Completado",IF(J653&gt;0.001,"En Progreso","Pendiente de ejecutar")))</f>
        <v>En Progreso</v>
      </c>
      <c r="L653" s="6" t="s">
        <v>323</v>
      </c>
      <c r="M653" s="6" t="s">
        <v>320</v>
      </c>
    </row>
    <row r="654" spans="1:13" x14ac:dyDescent="0.35">
      <c r="A654" s="107" t="s">
        <v>242</v>
      </c>
      <c r="B654" s="11" t="s">
        <v>205</v>
      </c>
      <c r="C654" s="93"/>
      <c r="D654" s="109" t="s">
        <v>325</v>
      </c>
      <c r="E654" s="100">
        <v>378000</v>
      </c>
      <c r="F654" s="100"/>
      <c r="G654" s="100"/>
      <c r="H654" s="40">
        <f>F654+G654</f>
        <v>0</v>
      </c>
      <c r="I654" s="47">
        <f>E654-H654</f>
        <v>378000</v>
      </c>
      <c r="J654" s="17">
        <f>IFERROR(H654/E654,0)</f>
        <v>0</v>
      </c>
      <c r="K654" s="18" t="str">
        <f>IF(E654=0,"Sin Plan",IF(J654&gt;=1,"Completado",IF(J654&gt;0.001,"En Progreso","Pendiente de ejecutar")))</f>
        <v>Pendiente de ejecutar</v>
      </c>
      <c r="L654" s="81" t="s">
        <v>321</v>
      </c>
      <c r="M654" s="6"/>
    </row>
    <row r="655" spans="1:13" x14ac:dyDescent="0.35">
      <c r="A655" s="107" t="s">
        <v>242</v>
      </c>
      <c r="B655" s="11" t="s">
        <v>205</v>
      </c>
      <c r="C655" s="111" t="s">
        <v>211</v>
      </c>
      <c r="D655" s="110" t="s">
        <v>212</v>
      </c>
      <c r="E655" s="100">
        <v>311000</v>
      </c>
      <c r="F655" s="100">
        <v>205239.74</v>
      </c>
      <c r="G655" s="100">
        <v>0</v>
      </c>
      <c r="H655" s="40">
        <f>F655+G655</f>
        <v>205239.74</v>
      </c>
      <c r="I655" s="47">
        <f>E655-H655</f>
        <v>105760.26000000001</v>
      </c>
      <c r="J655" s="17">
        <f>IFERROR(H655/E655,0)</f>
        <v>0.65993485530546625</v>
      </c>
      <c r="K655" s="18" t="str">
        <f>IF(E655=0,"Sin Plan",IF(J655&gt;=1,"Completado",IF(J655&gt;0.001,"En Progreso","Pendiente de ejecutar")))</f>
        <v>En Progreso</v>
      </c>
      <c r="L655" s="6" t="s">
        <v>323</v>
      </c>
      <c r="M655" s="6" t="s">
        <v>320</v>
      </c>
    </row>
    <row r="656" spans="1:13" hidden="1" x14ac:dyDescent="0.35">
      <c r="A656" s="51" t="s">
        <v>168</v>
      </c>
      <c r="B656" s="11" t="s">
        <v>205</v>
      </c>
      <c r="D656" s="52" t="s">
        <v>333</v>
      </c>
      <c r="E656" s="41"/>
      <c r="F656" s="41">
        <v>42750</v>
      </c>
      <c r="G656" s="36"/>
      <c r="H656" s="40">
        <f>F656+G656</f>
        <v>42750</v>
      </c>
      <c r="I656" s="47">
        <f>E656-H656</f>
        <v>-42750</v>
      </c>
      <c r="J656" s="17">
        <f>IFERROR(H656/E656,0)</f>
        <v>0</v>
      </c>
      <c r="K656" s="18" t="str">
        <f>IF(E656=0,"Sin Plan",IF(J656&gt;=1,"Completado",IF(J656&gt;0.001,"En Progreso","Pendiente de ejecutar")))</f>
        <v>Sin Plan</v>
      </c>
      <c r="L656" s="6" t="s">
        <v>323</v>
      </c>
      <c r="M656" s="6"/>
    </row>
    <row r="657" spans="1:13" hidden="1" x14ac:dyDescent="0.35">
      <c r="A657" s="57" t="s">
        <v>115</v>
      </c>
      <c r="B657" s="20"/>
      <c r="D657" s="22" t="s">
        <v>325</v>
      </c>
      <c r="E657" s="14">
        <v>15000</v>
      </c>
      <c r="F657" s="36"/>
      <c r="G657" s="14"/>
      <c r="H657" s="14"/>
      <c r="I657" s="37">
        <f>E657-H657</f>
        <v>15000</v>
      </c>
      <c r="J657" s="17">
        <f>IFERROR(H657/E657,0)</f>
        <v>0</v>
      </c>
      <c r="K657" s="18" t="str">
        <f>IF(E657=0,"Sin Plan",IF(J657&gt;=1,"Completado",IF(J657&gt;0.001,"En Progreso","Pendiente de ejecutar")))</f>
        <v>Pendiente de ejecutar</v>
      </c>
      <c r="L657" s="6" t="s">
        <v>323</v>
      </c>
      <c r="M657" s="6"/>
    </row>
    <row r="658" spans="1:13" hidden="1" x14ac:dyDescent="0.35">
      <c r="A658" s="42" t="s">
        <v>121</v>
      </c>
      <c r="B658" s="11" t="s">
        <v>319</v>
      </c>
      <c r="C658" s="42" t="s">
        <v>47</v>
      </c>
      <c r="D658" s="42" t="s">
        <v>48</v>
      </c>
      <c r="E658" s="14">
        <v>132300</v>
      </c>
      <c r="F658" s="14">
        <v>0</v>
      </c>
      <c r="G658" s="14">
        <v>246624.75</v>
      </c>
      <c r="H658" s="40">
        <f>F658+G658</f>
        <v>246624.75</v>
      </c>
      <c r="I658" s="21">
        <f>E658-H658</f>
        <v>-114324.75</v>
      </c>
      <c r="J658" s="17">
        <f>IFERROR(H658/E658,0)</f>
        <v>1.8641326530612246</v>
      </c>
      <c r="K658" s="18" t="str">
        <f>IF(E658=0,"Sin Plan",IF(J658&gt;=1,"Completado",IF(J658&gt;0.001,"En Progreso","Pendiente de ejecutar")))</f>
        <v>Completado</v>
      </c>
      <c r="L658" s="6" t="s">
        <v>323</v>
      </c>
      <c r="M658" s="6" t="s">
        <v>320</v>
      </c>
    </row>
    <row r="659" spans="1:13" hidden="1" x14ac:dyDescent="0.35">
      <c r="A659" s="57" t="s">
        <v>119</v>
      </c>
      <c r="B659" s="11" t="s">
        <v>319</v>
      </c>
      <c r="D659" s="22" t="s">
        <v>325</v>
      </c>
      <c r="E659" s="14">
        <v>18585.59</v>
      </c>
      <c r="F659" s="14"/>
      <c r="G659" s="14"/>
      <c r="H659" s="40">
        <f>F659+G659</f>
        <v>0</v>
      </c>
      <c r="I659" s="47">
        <f>E659-H659</f>
        <v>18585.59</v>
      </c>
      <c r="J659" s="17"/>
      <c r="K659" s="18"/>
      <c r="L659" s="6" t="s">
        <v>323</v>
      </c>
      <c r="M659" s="6"/>
    </row>
    <row r="660" spans="1:13" hidden="1" x14ac:dyDescent="0.35">
      <c r="A660" s="39" t="s">
        <v>122</v>
      </c>
      <c r="B660" s="11" t="s">
        <v>319</v>
      </c>
      <c r="C660" s="39" t="s">
        <v>13</v>
      </c>
      <c r="D660" s="39" t="s">
        <v>14</v>
      </c>
      <c r="E660" s="14">
        <v>685000</v>
      </c>
      <c r="F660" s="14">
        <v>0</v>
      </c>
      <c r="G660" s="14">
        <v>84500</v>
      </c>
      <c r="H660" s="40">
        <f>F660+G660</f>
        <v>84500</v>
      </c>
      <c r="I660" s="21">
        <f>E660-H660</f>
        <v>600500</v>
      </c>
      <c r="J660" s="17">
        <f>IFERROR(H660/E660,0)</f>
        <v>0.12335766423357664</v>
      </c>
      <c r="K660" s="18" t="str">
        <f>IF(E660=0,"Sin Plan",IF(J660&gt;=1,"Completado",IF(J660&gt;0.001,"En Progreso","Pendiente de ejecutar")))</f>
        <v>En Progreso</v>
      </c>
      <c r="L660" s="6" t="s">
        <v>323</v>
      </c>
      <c r="M660" s="6" t="s">
        <v>320</v>
      </c>
    </row>
    <row r="661" spans="1:13" hidden="1" x14ac:dyDescent="0.35">
      <c r="A661" s="39" t="s">
        <v>122</v>
      </c>
      <c r="B661" s="11" t="s">
        <v>319</v>
      </c>
      <c r="C661" s="39" t="s">
        <v>47</v>
      </c>
      <c r="D661" s="39" t="s">
        <v>48</v>
      </c>
      <c r="E661" s="13">
        <v>120000</v>
      </c>
      <c r="F661" s="13">
        <v>0</v>
      </c>
      <c r="G661" s="13">
        <v>246624.75</v>
      </c>
      <c r="H661" s="40">
        <f>F661+G661</f>
        <v>246624.75</v>
      </c>
      <c r="I661" s="21">
        <f>E661-H661</f>
        <v>-126624.75</v>
      </c>
      <c r="J661" s="17">
        <f>IFERROR(H661/E661,0)</f>
        <v>2.0552062499999999</v>
      </c>
      <c r="K661" s="18" t="str">
        <f>IF(E661=0,"Sin Plan",IF(J661&gt;=1,"Completado",IF(J661&gt;0.001,"En Progreso","Pendiente de ejecutar")))</f>
        <v>Completado</v>
      </c>
      <c r="L661" s="6" t="s">
        <v>323</v>
      </c>
      <c r="M661" s="6" t="s">
        <v>320</v>
      </c>
    </row>
    <row r="662" spans="1:13" hidden="1" x14ac:dyDescent="0.35">
      <c r="A662" s="39" t="s">
        <v>123</v>
      </c>
      <c r="B662" s="11" t="s">
        <v>319</v>
      </c>
      <c r="C662" s="39" t="s">
        <v>47</v>
      </c>
      <c r="D662" s="39" t="s">
        <v>48</v>
      </c>
      <c r="E662" s="14">
        <v>132300</v>
      </c>
      <c r="F662" s="14">
        <v>0</v>
      </c>
      <c r="G662" s="14">
        <v>246624.75</v>
      </c>
      <c r="H662" s="40">
        <f>F662+G662</f>
        <v>246624.75</v>
      </c>
      <c r="I662" s="21">
        <f>E662-H662</f>
        <v>-114324.75</v>
      </c>
      <c r="J662" s="17">
        <f>IFERROR(H662/E662,0)</f>
        <v>1.8641326530612246</v>
      </c>
      <c r="K662" s="18" t="str">
        <f>IF(E662=0,"Sin Plan",IF(J662&gt;=1,"Completado",IF(J662&gt;0.001,"En Progreso","Pendiente de ejecutar")))</f>
        <v>Completado</v>
      </c>
      <c r="L662" s="6" t="s">
        <v>323</v>
      </c>
      <c r="M662" s="6" t="s">
        <v>320</v>
      </c>
    </row>
    <row r="663" spans="1:13" x14ac:dyDescent="0.35">
      <c r="A663" s="110" t="s">
        <v>242</v>
      </c>
      <c r="B663" s="11" t="s">
        <v>205</v>
      </c>
      <c r="C663" s="111" t="s">
        <v>199</v>
      </c>
      <c r="D663" s="107" t="s">
        <v>200</v>
      </c>
      <c r="E663" s="100">
        <v>120000</v>
      </c>
      <c r="F663" s="100"/>
      <c r="G663" s="100">
        <v>0</v>
      </c>
      <c r="H663" s="40">
        <f>F663+G663</f>
        <v>0</v>
      </c>
      <c r="I663" s="47">
        <f>E663-H663</f>
        <v>120000</v>
      </c>
      <c r="J663" s="17">
        <f>IFERROR(H663/E663,0)</f>
        <v>0</v>
      </c>
      <c r="K663" s="18" t="str">
        <f>IF(E663=0,"Sin Plan",IF(J663&gt;=1,"Completado",IF(J663&gt;0.001,"En Progreso","Pendiente de ejecutar")))</f>
        <v>Pendiente de ejecutar</v>
      </c>
      <c r="L663" s="6" t="s">
        <v>321</v>
      </c>
      <c r="M663" s="6" t="s">
        <v>320</v>
      </c>
    </row>
    <row r="664" spans="1:13" hidden="1" x14ac:dyDescent="0.35">
      <c r="A664" s="39" t="s">
        <v>156</v>
      </c>
      <c r="B664" s="11" t="s">
        <v>319</v>
      </c>
      <c r="C664" s="39" t="s">
        <v>50</v>
      </c>
      <c r="D664" s="39" t="s">
        <v>51</v>
      </c>
      <c r="E664" s="13">
        <v>0</v>
      </c>
      <c r="F664" s="13">
        <v>23075.48</v>
      </c>
      <c r="G664" s="13">
        <v>51270</v>
      </c>
      <c r="H664" s="40">
        <f>F664+G664</f>
        <v>74345.48</v>
      </c>
      <c r="I664" s="16">
        <f>E664-H664</f>
        <v>-74345.48</v>
      </c>
      <c r="J664" s="17">
        <f>IFERROR(H664/E664,0)</f>
        <v>0</v>
      </c>
      <c r="K664" s="18" t="str">
        <f>IF(E664=0,"Sin Plan",IF(J664&gt;=1,"Completado",IF(J664&gt;0.001,"En Progreso","Pendiente de ejecutar")))</f>
        <v>Sin Plan</v>
      </c>
      <c r="L664" s="6" t="s">
        <v>323</v>
      </c>
      <c r="M664" s="6" t="s">
        <v>318</v>
      </c>
    </row>
    <row r="665" spans="1:13" hidden="1" x14ac:dyDescent="0.35">
      <c r="A665" s="58" t="s">
        <v>156</v>
      </c>
      <c r="B665" s="11" t="s">
        <v>319</v>
      </c>
      <c r="C665" s="58" t="s">
        <v>68</v>
      </c>
      <c r="D665" s="58" t="s">
        <v>69</v>
      </c>
      <c r="E665" s="13">
        <v>0</v>
      </c>
      <c r="F665" s="13">
        <v>48000</v>
      </c>
      <c r="G665" s="13">
        <v>0</v>
      </c>
      <c r="H665" s="40">
        <f>F665+G665</f>
        <v>48000</v>
      </c>
      <c r="I665" s="21">
        <f>E665-H665</f>
        <v>-48000</v>
      </c>
      <c r="J665" s="17">
        <f>IFERROR(H665/E665,0)</f>
        <v>0</v>
      </c>
      <c r="K665" s="18" t="str">
        <f>IF(E665=0,"Sin Plan",IF(J665&gt;=1,"Completado",IF(J665&gt;0.001,"En Progreso","Pendiente de ejecutar")))</f>
        <v>Sin Plan</v>
      </c>
      <c r="L665" s="6" t="s">
        <v>323</v>
      </c>
      <c r="M665" s="6" t="s">
        <v>318</v>
      </c>
    </row>
    <row r="666" spans="1:13" hidden="1" x14ac:dyDescent="0.35">
      <c r="A666" s="42" t="s">
        <v>156</v>
      </c>
      <c r="B666" s="11" t="s">
        <v>319</v>
      </c>
      <c r="C666" s="42" t="s">
        <v>13</v>
      </c>
      <c r="D666" s="42" t="s">
        <v>14</v>
      </c>
      <c r="E666" s="14">
        <v>780000</v>
      </c>
      <c r="F666" s="14">
        <v>0</v>
      </c>
      <c r="G666" s="14">
        <v>93300</v>
      </c>
      <c r="H666" s="40">
        <f>F666+G666</f>
        <v>93300</v>
      </c>
      <c r="I666" s="21">
        <f>E666-H666</f>
        <v>686700</v>
      </c>
      <c r="J666" s="17">
        <f>IFERROR(H666/E666,0)</f>
        <v>0.11961538461538461</v>
      </c>
      <c r="K666" s="18" t="str">
        <f>IF(E666=0,"Sin Plan",IF(J666&gt;=1,"Completado",IF(J666&gt;0.001,"En Progreso","Pendiente de ejecutar")))</f>
        <v>En Progreso</v>
      </c>
      <c r="L666" s="6" t="s">
        <v>323</v>
      </c>
      <c r="M666" s="6" t="s">
        <v>320</v>
      </c>
    </row>
    <row r="667" spans="1:13" hidden="1" x14ac:dyDescent="0.35">
      <c r="A667" s="58" t="s">
        <v>156</v>
      </c>
      <c r="B667" s="11" t="s">
        <v>319</v>
      </c>
      <c r="C667" s="58" t="s">
        <v>90</v>
      </c>
      <c r="D667" s="58" t="s">
        <v>91</v>
      </c>
      <c r="E667" s="13">
        <v>3600000</v>
      </c>
      <c r="F667" s="13">
        <v>546389.19999999995</v>
      </c>
      <c r="G667" s="13">
        <v>0</v>
      </c>
      <c r="H667" s="40">
        <f>F667+G667</f>
        <v>546389.19999999995</v>
      </c>
      <c r="I667" s="21">
        <f>E667-H667</f>
        <v>3053610.8</v>
      </c>
      <c r="J667" s="17">
        <f>IFERROR(H667/E667,0)</f>
        <v>0.15177477777777776</v>
      </c>
      <c r="K667" s="18" t="str">
        <f>IF(E667=0,"Sin Plan",IF(J667&gt;=1,"Completado",IF(J667&gt;0.001,"En Progreso","Pendiente de ejecutar")))</f>
        <v>En Progreso</v>
      </c>
      <c r="L667" s="6" t="s">
        <v>323</v>
      </c>
      <c r="M667" s="6" t="s">
        <v>320</v>
      </c>
    </row>
    <row r="668" spans="1:13" hidden="1" x14ac:dyDescent="0.35">
      <c r="A668" s="42" t="s">
        <v>156</v>
      </c>
      <c r="B668" s="11" t="s">
        <v>319</v>
      </c>
      <c r="C668" s="42" t="s">
        <v>27</v>
      </c>
      <c r="D668" s="42" t="s">
        <v>28</v>
      </c>
      <c r="E668" s="14">
        <v>221680</v>
      </c>
      <c r="F668" s="14">
        <v>0</v>
      </c>
      <c r="G668" s="14">
        <v>116499.8</v>
      </c>
      <c r="H668" s="40">
        <f>F668+G668</f>
        <v>116499.8</v>
      </c>
      <c r="I668" s="21">
        <f>E668-H668</f>
        <v>105180.2</v>
      </c>
      <c r="J668" s="17">
        <f>IFERROR(H668/E668,0)</f>
        <v>0.52553139660772286</v>
      </c>
      <c r="K668" s="18" t="str">
        <f>IF(E668=0,"Sin Plan",IF(J668&gt;=1,"Completado",IF(J668&gt;0.001,"En Progreso","Pendiente de ejecutar")))</f>
        <v>En Progreso</v>
      </c>
      <c r="L668" s="6" t="s">
        <v>323</v>
      </c>
      <c r="M668" s="6" t="s">
        <v>320</v>
      </c>
    </row>
    <row r="669" spans="1:13" hidden="1" x14ac:dyDescent="0.35">
      <c r="A669" s="42" t="s">
        <v>57</v>
      </c>
      <c r="B669" s="11" t="s">
        <v>319</v>
      </c>
      <c r="C669" s="42" t="s">
        <v>60</v>
      </c>
      <c r="D669" s="42" t="s">
        <v>61</v>
      </c>
      <c r="E669" s="14">
        <v>0</v>
      </c>
      <c r="F669" s="14">
        <v>0</v>
      </c>
      <c r="G669" s="14">
        <v>1733831.48</v>
      </c>
      <c r="H669" s="40">
        <f>F669+G669</f>
        <v>1733831.48</v>
      </c>
      <c r="I669" s="21">
        <f>E669-H669</f>
        <v>-1733831.48</v>
      </c>
      <c r="J669" s="17">
        <f>IFERROR(H669/E669,0)</f>
        <v>0</v>
      </c>
      <c r="K669" s="18" t="str">
        <f>IF(E669=0,"Sin Plan",IF(J669&gt;=1,"Completado",IF(J669&gt;0.001,"En Progreso","Pendiente de ejecutar")))</f>
        <v>Sin Plan</v>
      </c>
      <c r="L669" s="6" t="s">
        <v>321</v>
      </c>
      <c r="M669" s="6" t="s">
        <v>318</v>
      </c>
    </row>
    <row r="670" spans="1:13" hidden="1" x14ac:dyDescent="0.35">
      <c r="A670" s="58" t="s">
        <v>82</v>
      </c>
      <c r="B670" s="11" t="s">
        <v>319</v>
      </c>
      <c r="C670" s="68"/>
      <c r="D670" s="69" t="s">
        <v>85</v>
      </c>
      <c r="E670" s="13"/>
      <c r="F670" s="15">
        <v>275967.8</v>
      </c>
      <c r="G670" s="13"/>
      <c r="H670" s="40">
        <f>F670+G670</f>
        <v>275967.8</v>
      </c>
      <c r="I670" s="21">
        <f>E670-H670</f>
        <v>-275967.8</v>
      </c>
      <c r="J670" s="17">
        <f>IFERROR(H670/E670,0)</f>
        <v>0</v>
      </c>
      <c r="K670" s="18" t="str">
        <f>IF(E670=0,"Sin Plan",IF(J670&gt;=1,"Completado",IF(J670&gt;0.001,"En Progreso","Pendiente de ejecutar")))</f>
        <v>Sin Plan</v>
      </c>
      <c r="L670" s="6" t="s">
        <v>321</v>
      </c>
      <c r="M670" s="6" t="s">
        <v>318</v>
      </c>
    </row>
    <row r="671" spans="1:13" hidden="1" x14ac:dyDescent="0.35">
      <c r="A671" s="58" t="s">
        <v>156</v>
      </c>
      <c r="B671" s="11" t="s">
        <v>319</v>
      </c>
      <c r="C671" s="58" t="s">
        <v>135</v>
      </c>
      <c r="D671" s="58" t="s">
        <v>136</v>
      </c>
      <c r="E671" s="13">
        <v>114000</v>
      </c>
      <c r="F671" s="13">
        <v>113483.48</v>
      </c>
      <c r="G671" s="13">
        <v>0</v>
      </c>
      <c r="H671" s="40">
        <f>F671+G671</f>
        <v>113483.48</v>
      </c>
      <c r="I671" s="21">
        <f>E671-H671</f>
        <v>516.52000000000407</v>
      </c>
      <c r="J671" s="17">
        <f>IFERROR(H671/E671,0)</f>
        <v>0.99546912280701749</v>
      </c>
      <c r="K671" s="18" t="str">
        <f>IF(E671=0,"Sin Plan",IF(J671&gt;=1,"Completado",IF(J671&gt;0.001,"En Progreso","Pendiente de ejecutar")))</f>
        <v>En Progreso</v>
      </c>
      <c r="L671" s="6" t="s">
        <v>323</v>
      </c>
      <c r="M671" s="6" t="s">
        <v>320</v>
      </c>
    </row>
    <row r="672" spans="1:13" hidden="1" x14ac:dyDescent="0.35">
      <c r="A672" s="57" t="s">
        <v>116</v>
      </c>
      <c r="B672" s="11" t="s">
        <v>319</v>
      </c>
      <c r="D672" s="22" t="s">
        <v>325</v>
      </c>
      <c r="E672" s="14">
        <v>49120</v>
      </c>
      <c r="F672" s="14"/>
      <c r="G672" s="14"/>
      <c r="H672" s="40">
        <f>F672+G672</f>
        <v>0</v>
      </c>
      <c r="I672" s="47">
        <f>E672-H672</f>
        <v>49120</v>
      </c>
      <c r="J672" s="17"/>
      <c r="K672" s="18"/>
      <c r="L672" s="6" t="s">
        <v>323</v>
      </c>
      <c r="M672" s="6"/>
    </row>
    <row r="673" spans="1:13" hidden="1" x14ac:dyDescent="0.35">
      <c r="A673" s="51" t="s">
        <v>292</v>
      </c>
      <c r="B673" s="29"/>
      <c r="C673" s="51"/>
      <c r="D673" s="22" t="s">
        <v>325</v>
      </c>
      <c r="E673" s="14">
        <v>71659.839999999997</v>
      </c>
      <c r="F673" s="14"/>
      <c r="G673" s="14"/>
      <c r="H673" s="40">
        <f>F673+G673</f>
        <v>0</v>
      </c>
      <c r="I673" s="47">
        <f>E673-H673</f>
        <v>71659.839999999997</v>
      </c>
      <c r="J673" s="17"/>
      <c r="K673" s="18"/>
      <c r="L673" s="6" t="s">
        <v>323</v>
      </c>
      <c r="M673" s="6"/>
    </row>
    <row r="674" spans="1:13" hidden="1" x14ac:dyDescent="0.35">
      <c r="A674" s="57" t="s">
        <v>123</v>
      </c>
      <c r="B674" s="11" t="s">
        <v>319</v>
      </c>
      <c r="D674" s="22" t="s">
        <v>325</v>
      </c>
      <c r="E674" s="14">
        <v>114325</v>
      </c>
      <c r="F674" s="14"/>
      <c r="G674" s="14"/>
      <c r="H674" s="40">
        <f>F674+G674</f>
        <v>0</v>
      </c>
      <c r="I674" s="21">
        <f>E674-H674</f>
        <v>114325</v>
      </c>
      <c r="J674" s="17"/>
      <c r="K674" s="18"/>
      <c r="L674" s="6" t="s">
        <v>323</v>
      </c>
      <c r="M674" s="6"/>
    </row>
    <row r="675" spans="1:13" hidden="1" x14ac:dyDescent="0.35">
      <c r="A675" s="57" t="s">
        <v>267</v>
      </c>
      <c r="B675" s="11" t="s">
        <v>128</v>
      </c>
      <c r="D675" s="52" t="s">
        <v>24</v>
      </c>
      <c r="E675" s="14"/>
      <c r="F675" s="14"/>
      <c r="G675" s="14">
        <v>1387010.6</v>
      </c>
      <c r="H675" s="40">
        <f>F675+G675</f>
        <v>1387010.6</v>
      </c>
      <c r="I675" s="47">
        <f>E675-H675</f>
        <v>-1387010.6</v>
      </c>
      <c r="J675" s="17">
        <f>IFERROR(H675/E675,0)</f>
        <v>0</v>
      </c>
      <c r="K675" s="18" t="str">
        <f>IF(E675=0,"Sin Plan",IF(J675&gt;=1,"Completado",IF(J675&gt;0.001,"En Progreso","Pendiente de ejecutar")))</f>
        <v>Sin Plan</v>
      </c>
      <c r="L675" s="6" t="s">
        <v>321</v>
      </c>
      <c r="M675" s="6"/>
    </row>
    <row r="676" spans="1:13" x14ac:dyDescent="0.35">
      <c r="A676" s="110" t="s">
        <v>242</v>
      </c>
      <c r="B676" s="11" t="s">
        <v>205</v>
      </c>
      <c r="C676" s="111" t="s">
        <v>135</v>
      </c>
      <c r="D676" s="107" t="s">
        <v>136</v>
      </c>
      <c r="E676" s="100">
        <v>105500</v>
      </c>
      <c r="F676" s="100">
        <v>96860.76</v>
      </c>
      <c r="G676" s="100">
        <v>0</v>
      </c>
      <c r="H676" s="40">
        <f>F676+G676</f>
        <v>96860.76</v>
      </c>
      <c r="I676" s="47">
        <f>E676-H676</f>
        <v>8639.2400000000052</v>
      </c>
      <c r="J676" s="17">
        <f>IFERROR(H676/E676,0)</f>
        <v>0.91811146919431275</v>
      </c>
      <c r="K676" s="18" t="str">
        <f>IF(E676=0,"Sin Plan",IF(J676&gt;=1,"Completado",IF(J676&gt;0.001,"En Progreso","Pendiente de ejecutar")))</f>
        <v>En Progreso</v>
      </c>
      <c r="L676" s="6" t="s">
        <v>323</v>
      </c>
      <c r="M676" s="6" t="s">
        <v>320</v>
      </c>
    </row>
    <row r="677" spans="1:13" s="63" customFormat="1" hidden="1" x14ac:dyDescent="0.35">
      <c r="A677" s="66" t="s">
        <v>178</v>
      </c>
      <c r="B677" s="11" t="s">
        <v>205</v>
      </c>
      <c r="C677" s="39" t="s">
        <v>135</v>
      </c>
      <c r="D677" s="66" t="s">
        <v>136</v>
      </c>
      <c r="E677" s="35">
        <v>600000</v>
      </c>
      <c r="F677" s="35">
        <v>0</v>
      </c>
      <c r="G677" s="35">
        <v>614410.00000000105</v>
      </c>
      <c r="H677" s="40">
        <f>F677+G677</f>
        <v>614410.00000000105</v>
      </c>
      <c r="I677" s="47">
        <f>E677-H677</f>
        <v>-14410.000000001048</v>
      </c>
      <c r="J677" s="17">
        <f>IFERROR(H677/E677,0)</f>
        <v>1.0240166666666684</v>
      </c>
      <c r="K677" s="18" t="str">
        <f>IF(E677=0,"Sin Plan",IF(J677&gt;=1,"Completado",IF(J677&gt;0.001,"En Progreso","Pendiente de ejecutar")))</f>
        <v>Completado</v>
      </c>
      <c r="L677" s="62" t="s">
        <v>323</v>
      </c>
      <c r="M677" s="62" t="s">
        <v>320</v>
      </c>
    </row>
    <row r="678" spans="1:13" s="63" customFormat="1" hidden="1" x14ac:dyDescent="0.35">
      <c r="A678" s="65" t="s">
        <v>178</v>
      </c>
      <c r="B678" s="11" t="s">
        <v>205</v>
      </c>
      <c r="C678" s="42" t="s">
        <v>157</v>
      </c>
      <c r="D678" s="65" t="s">
        <v>158</v>
      </c>
      <c r="E678" s="36">
        <v>640000</v>
      </c>
      <c r="F678" s="36">
        <v>581133.9</v>
      </c>
      <c r="G678" s="36">
        <v>0</v>
      </c>
      <c r="H678" s="40">
        <f>F678+G678</f>
        <v>581133.9</v>
      </c>
      <c r="I678" s="47">
        <f>E678-H678</f>
        <v>58866.099999999977</v>
      </c>
      <c r="J678" s="17">
        <f>IFERROR(H678/E678,0)</f>
        <v>0.90802171875000004</v>
      </c>
      <c r="K678" s="18" t="str">
        <f>IF(E678=0,"Sin Plan",IF(J678&gt;=1,"Completado",IF(J678&gt;0.001,"En Progreso","Pendiente de ejecutar")))</f>
        <v>En Progreso</v>
      </c>
      <c r="L678" s="62" t="s">
        <v>321</v>
      </c>
      <c r="M678" s="62" t="s">
        <v>320</v>
      </c>
    </row>
    <row r="679" spans="1:13" s="63" customFormat="1" hidden="1" x14ac:dyDescent="0.35">
      <c r="A679" s="67" t="s">
        <v>178</v>
      </c>
      <c r="B679" s="11" t="s">
        <v>205</v>
      </c>
      <c r="C679" s="58" t="s">
        <v>47</v>
      </c>
      <c r="D679" s="67" t="s">
        <v>48</v>
      </c>
      <c r="E679" s="36">
        <v>693000</v>
      </c>
      <c r="F679" s="35">
        <v>0</v>
      </c>
      <c r="G679" s="35">
        <v>246624.75</v>
      </c>
      <c r="H679" s="40">
        <f>F679+G679</f>
        <v>246624.75</v>
      </c>
      <c r="I679" s="47">
        <f>E679-H679</f>
        <v>446375.25</v>
      </c>
      <c r="J679" s="17">
        <f>IFERROR(H679/E679,0)</f>
        <v>0.35587987012987016</v>
      </c>
      <c r="K679" s="18" t="str">
        <f>IF(E679=0,"Sin Plan",IF(J679&gt;=1,"Completado",IF(J679&gt;0.001,"En Progreso","Pendiente de ejecutar")))</f>
        <v>En Progreso</v>
      </c>
      <c r="L679" s="62" t="s">
        <v>321</v>
      </c>
      <c r="M679" s="62" t="s">
        <v>320</v>
      </c>
    </row>
    <row r="680" spans="1:13" s="63" customFormat="1" hidden="1" x14ac:dyDescent="0.35">
      <c r="A680" s="65" t="s">
        <v>178</v>
      </c>
      <c r="B680" s="29" t="s">
        <v>205</v>
      </c>
      <c r="C680" s="59" t="s">
        <v>160</v>
      </c>
      <c r="D680" s="65" t="s">
        <v>161</v>
      </c>
      <c r="E680" s="36">
        <v>3700000</v>
      </c>
      <c r="F680" s="36">
        <v>0</v>
      </c>
      <c r="G680" s="36">
        <v>9217603.9199999999</v>
      </c>
      <c r="H680" s="40">
        <f>F680+G680</f>
        <v>9217603.9199999999</v>
      </c>
      <c r="I680" s="47">
        <f>E680-H680</f>
        <v>-5517603.9199999999</v>
      </c>
      <c r="J680" s="17">
        <f>IFERROR(H680/E680,0)</f>
        <v>2.4912443027027025</v>
      </c>
      <c r="K680" s="18" t="str">
        <f>IF(E680=0,"Sin Plan",IF(J680&gt;=1,"Completado",IF(J680&gt;0.001,"En Progreso","Pendiente de ejecutar")))</f>
        <v>Completado</v>
      </c>
      <c r="L680" s="62" t="s">
        <v>321</v>
      </c>
      <c r="M680" s="62" t="s">
        <v>320</v>
      </c>
    </row>
    <row r="681" spans="1:13" hidden="1" x14ac:dyDescent="0.35">
      <c r="A681" s="51" t="s">
        <v>178</v>
      </c>
      <c r="B681" s="29" t="s">
        <v>205</v>
      </c>
      <c r="C681" s="51" t="s">
        <v>66</v>
      </c>
      <c r="D681" s="51" t="s">
        <v>67</v>
      </c>
      <c r="E681" s="40">
        <v>7500000</v>
      </c>
      <c r="F681" s="40">
        <v>0</v>
      </c>
      <c r="G681" s="40">
        <v>0</v>
      </c>
      <c r="H681" s="40">
        <f>F681+G681</f>
        <v>0</v>
      </c>
      <c r="I681" s="47">
        <f>E681-H681</f>
        <v>7500000</v>
      </c>
      <c r="J681" s="17">
        <f>IFERROR(H681/E681,0)</f>
        <v>0</v>
      </c>
      <c r="K681" s="18" t="str">
        <f>IF(E681=0,"Sin Plan",IF(J681&gt;=1,"Completado",IF(J681&gt;0.001,"En Progreso","Pendiente de ejecutar")))</f>
        <v>Pendiente de ejecutar</v>
      </c>
      <c r="L681" s="6" t="s">
        <v>323</v>
      </c>
      <c r="M681" s="6" t="s">
        <v>320</v>
      </c>
    </row>
    <row r="682" spans="1:13" hidden="1" x14ac:dyDescent="0.35">
      <c r="A682" s="57" t="s">
        <v>277</v>
      </c>
      <c r="B682" s="11" t="s">
        <v>128</v>
      </c>
      <c r="D682" s="22" t="s">
        <v>325</v>
      </c>
      <c r="E682" s="14">
        <v>150000</v>
      </c>
      <c r="F682" s="14"/>
      <c r="G682" s="14"/>
      <c r="H682" s="40">
        <f>F682+G682</f>
        <v>0</v>
      </c>
      <c r="I682" s="47">
        <f>E682-H682</f>
        <v>150000</v>
      </c>
      <c r="J682" s="17"/>
      <c r="K682" s="18"/>
      <c r="L682" s="6" t="s">
        <v>323</v>
      </c>
      <c r="M682" s="6"/>
    </row>
    <row r="683" spans="1:13" hidden="1" x14ac:dyDescent="0.35">
      <c r="A683" s="51" t="s">
        <v>201</v>
      </c>
      <c r="B683" s="29" t="s">
        <v>205</v>
      </c>
      <c r="C683" s="51"/>
      <c r="D683" s="51" t="s">
        <v>332</v>
      </c>
      <c r="E683" s="14">
        <v>6000</v>
      </c>
      <c r="F683" s="14"/>
      <c r="G683" s="14"/>
      <c r="H683" s="40">
        <f>F683+G683</f>
        <v>0</v>
      </c>
      <c r="I683" s="47">
        <f>E683-H683</f>
        <v>6000</v>
      </c>
      <c r="J683" s="17">
        <f>IFERROR(H683/E683,0)</f>
        <v>0</v>
      </c>
      <c r="K683" s="18" t="str">
        <f>IF(E683=0,"Sin Plan",IF(J683&gt;=1,"Completado",IF(J683&gt;0.001,"En Progreso","Pendiente de ejecutar")))</f>
        <v>Pendiente de ejecutar</v>
      </c>
      <c r="L683" s="6" t="s">
        <v>323</v>
      </c>
      <c r="M683" s="6"/>
    </row>
    <row r="684" spans="1:13" hidden="1" x14ac:dyDescent="0.35">
      <c r="A684" s="57" t="s">
        <v>117</v>
      </c>
      <c r="B684" s="11" t="s">
        <v>319</v>
      </c>
      <c r="D684" s="22" t="s">
        <v>325</v>
      </c>
      <c r="E684" s="14">
        <v>196800</v>
      </c>
      <c r="F684" s="14"/>
      <c r="G684" s="14"/>
      <c r="H684" s="40">
        <f>F684+G684</f>
        <v>0</v>
      </c>
      <c r="I684" s="47">
        <f>E684-H684</f>
        <v>196800</v>
      </c>
      <c r="J684" s="17"/>
      <c r="K684" s="18"/>
      <c r="L684" s="6" t="s">
        <v>323</v>
      </c>
      <c r="M684" s="6"/>
    </row>
    <row r="685" spans="1:13" hidden="1" x14ac:dyDescent="0.35">
      <c r="A685" s="57" t="s">
        <v>121</v>
      </c>
      <c r="B685" s="11" t="s">
        <v>319</v>
      </c>
      <c r="D685" s="22" t="s">
        <v>325</v>
      </c>
      <c r="E685" s="14">
        <v>201994</v>
      </c>
      <c r="F685" s="14"/>
      <c r="G685" s="14"/>
      <c r="H685" s="40">
        <f>F685+G685</f>
        <v>0</v>
      </c>
      <c r="I685" s="21">
        <f>E685-H685</f>
        <v>201994</v>
      </c>
      <c r="J685" s="17"/>
      <c r="K685" s="18"/>
      <c r="L685" s="6" t="s">
        <v>323</v>
      </c>
      <c r="M685" s="6"/>
    </row>
    <row r="686" spans="1:13" hidden="1" x14ac:dyDescent="0.35">
      <c r="A686" s="51" t="s">
        <v>222</v>
      </c>
      <c r="B686" s="29"/>
      <c r="C686" s="51"/>
      <c r="D686" s="51" t="s">
        <v>335</v>
      </c>
      <c r="E686" s="14"/>
      <c r="F686" s="14"/>
      <c r="G686" s="14">
        <v>590935.94999999995</v>
      </c>
      <c r="H686" s="40">
        <f>F686+G686</f>
        <v>590935.94999999995</v>
      </c>
      <c r="I686" s="47">
        <f>E686-H686</f>
        <v>-590935.94999999995</v>
      </c>
      <c r="J686" s="17">
        <f>IFERROR(H686/E686,0)</f>
        <v>0</v>
      </c>
      <c r="K686" s="18" t="str">
        <f>IF(E686=0,"Sin Plan",IF(J686&gt;=1,"Completado",IF(J686&gt;0.001,"En Progreso","Pendiente de ejecutar")))</f>
        <v>Sin Plan</v>
      </c>
      <c r="L686" s="6" t="s">
        <v>321</v>
      </c>
      <c r="M686" s="6"/>
    </row>
    <row r="687" spans="1:13" hidden="1" x14ac:dyDescent="0.35">
      <c r="A687" s="51" t="s">
        <v>239</v>
      </c>
      <c r="B687" s="29"/>
      <c r="C687" s="51"/>
      <c r="D687" s="51" t="s">
        <v>203</v>
      </c>
      <c r="E687" s="14"/>
      <c r="F687" s="14">
        <v>23900</v>
      </c>
      <c r="G687" s="89"/>
      <c r="H687" s="40" t="e">
        <f>#REF!+F687</f>
        <v>#REF!</v>
      </c>
      <c r="I687" s="47" t="e">
        <f>E687-H687</f>
        <v>#REF!</v>
      </c>
      <c r="J687" s="17">
        <f>IFERROR(H687/E687,0)</f>
        <v>0</v>
      </c>
      <c r="K687" s="18" t="str">
        <f>IF(E687=0,"Sin Plan",IF(J687&gt;=1,"Completado",IF(J687&gt;0.001,"En Progreso","Pendiente de ejecutar")))</f>
        <v>Sin Plan</v>
      </c>
      <c r="L687" s="6" t="s">
        <v>323</v>
      </c>
      <c r="M687" s="6"/>
    </row>
    <row r="688" spans="1:13" hidden="1" x14ac:dyDescent="0.35">
      <c r="A688" s="51" t="s">
        <v>185</v>
      </c>
      <c r="B688" s="11" t="s">
        <v>205</v>
      </c>
      <c r="D688" s="22" t="s">
        <v>325</v>
      </c>
      <c r="E688" s="41">
        <v>209400</v>
      </c>
      <c r="F688" s="41"/>
      <c r="G688" s="36"/>
      <c r="H688" s="40">
        <f>F688+G688</f>
        <v>0</v>
      </c>
      <c r="I688" s="47">
        <f>E688-H688</f>
        <v>209400</v>
      </c>
      <c r="J688" s="17"/>
      <c r="K688" s="18"/>
      <c r="L688" s="6" t="s">
        <v>323</v>
      </c>
      <c r="M688" s="6"/>
    </row>
    <row r="689" spans="1:13" hidden="1" x14ac:dyDescent="0.35">
      <c r="A689" s="57" t="s">
        <v>81</v>
      </c>
      <c r="B689" s="11" t="s">
        <v>319</v>
      </c>
      <c r="D689" s="22" t="s">
        <v>325</v>
      </c>
      <c r="E689" s="14">
        <v>247761.38</v>
      </c>
      <c r="F689" s="14"/>
      <c r="G689" s="14"/>
      <c r="H689" s="40">
        <f>F689+G689</f>
        <v>0</v>
      </c>
      <c r="I689" s="47">
        <f>E689-H689</f>
        <v>247761.38</v>
      </c>
      <c r="J689" s="17"/>
      <c r="K689" s="18"/>
      <c r="L689" s="6" t="s">
        <v>323</v>
      </c>
      <c r="M689" s="6"/>
    </row>
    <row r="690" spans="1:13" x14ac:dyDescent="0.35">
      <c r="A690" s="110" t="s">
        <v>242</v>
      </c>
      <c r="B690" s="11" t="s">
        <v>205</v>
      </c>
      <c r="C690" s="111" t="s">
        <v>68</v>
      </c>
      <c r="D690" s="110" t="s">
        <v>69</v>
      </c>
      <c r="E690" s="100">
        <v>52000</v>
      </c>
      <c r="F690" s="100"/>
      <c r="G690" s="100">
        <v>0</v>
      </c>
      <c r="H690" s="40">
        <f>F690+G690</f>
        <v>0</v>
      </c>
      <c r="I690" s="47">
        <f>E690-H690</f>
        <v>52000</v>
      </c>
      <c r="J690" s="17">
        <f>IFERROR(H690/E690,0)</f>
        <v>0</v>
      </c>
      <c r="K690" s="18" t="str">
        <f>IF(E690=0,"Sin Plan",IF(J690&gt;=1,"Completado",IF(J690&gt;0.001,"En Progreso","Pendiente de ejecutar")))</f>
        <v>Pendiente de ejecutar</v>
      </c>
      <c r="L690" s="6" t="s">
        <v>323</v>
      </c>
      <c r="M690" s="6" t="s">
        <v>320</v>
      </c>
    </row>
    <row r="691" spans="1:13" hidden="1" x14ac:dyDescent="0.35">
      <c r="A691" s="57" t="s">
        <v>113</v>
      </c>
      <c r="B691" s="11" t="s">
        <v>319</v>
      </c>
      <c r="D691" s="22" t="s">
        <v>325</v>
      </c>
      <c r="E691" s="14">
        <v>265000</v>
      </c>
      <c r="F691" s="14"/>
      <c r="G691" s="14"/>
      <c r="H691" s="40">
        <f>F691+G691</f>
        <v>0</v>
      </c>
      <c r="I691" s="47">
        <f>E691-H691</f>
        <v>265000</v>
      </c>
      <c r="J691" s="17"/>
      <c r="K691" s="18"/>
      <c r="L691" s="6" t="s">
        <v>323</v>
      </c>
      <c r="M691" s="6"/>
    </row>
    <row r="692" spans="1:13" hidden="1" x14ac:dyDescent="0.35">
      <c r="A692" s="51" t="s">
        <v>287</v>
      </c>
      <c r="B692" s="29"/>
      <c r="C692" s="51"/>
      <c r="D692" s="51" t="s">
        <v>230</v>
      </c>
      <c r="E692" s="14"/>
      <c r="F692" s="1">
        <v>47476</v>
      </c>
      <c r="G692" s="14"/>
      <c r="H692" s="40"/>
      <c r="I692" s="47">
        <f>E692-H692</f>
        <v>0</v>
      </c>
      <c r="J692" s="17">
        <f>IFERROR(H692/E692,0)</f>
        <v>0</v>
      </c>
      <c r="K692" s="18" t="str">
        <f>IF(E692=0,"Sin Plan",IF(J692&gt;=1,"Completado",IF(J692&gt;0.001,"En Progreso","Pendiente de ejecutar")))</f>
        <v>Sin Plan</v>
      </c>
      <c r="L692" s="6" t="s">
        <v>323</v>
      </c>
      <c r="M692" s="6"/>
    </row>
    <row r="693" spans="1:13" hidden="1" x14ac:dyDescent="0.35">
      <c r="A693" s="51" t="s">
        <v>287</v>
      </c>
      <c r="B693" s="29"/>
      <c r="C693" s="51"/>
      <c r="D693" s="51" t="s">
        <v>337</v>
      </c>
      <c r="E693" s="14"/>
      <c r="F693" s="14">
        <v>114825.94</v>
      </c>
      <c r="G693" s="14"/>
      <c r="H693" s="40">
        <f>F693+G693</f>
        <v>114825.94</v>
      </c>
      <c r="I693" s="47">
        <f>E693-H693</f>
        <v>-114825.94</v>
      </c>
      <c r="J693" s="17">
        <f>IFERROR(H693/E693,0)</f>
        <v>0</v>
      </c>
      <c r="K693" s="18" t="str">
        <f>IF(E693=0,"Sin Plan",IF(J693&gt;=1,"Completado",IF(J693&gt;0.001,"En Progreso","Pendiente de ejecutar")))</f>
        <v>Sin Plan</v>
      </c>
      <c r="L693" s="6" t="s">
        <v>323</v>
      </c>
      <c r="M693" s="6"/>
    </row>
    <row r="694" spans="1:13" hidden="1" x14ac:dyDescent="0.35">
      <c r="A694" s="57" t="s">
        <v>105</v>
      </c>
      <c r="B694" s="11" t="s">
        <v>319</v>
      </c>
      <c r="D694" s="22" t="s">
        <v>325</v>
      </c>
      <c r="E694" s="14">
        <v>268000</v>
      </c>
      <c r="F694" s="14"/>
      <c r="G694" s="14"/>
      <c r="H694" s="40">
        <f>F694+G694</f>
        <v>0</v>
      </c>
      <c r="I694" s="47">
        <f>E694-H694</f>
        <v>268000</v>
      </c>
      <c r="J694" s="17"/>
      <c r="K694" s="18"/>
      <c r="L694" s="6" t="s">
        <v>323</v>
      </c>
      <c r="M694" s="6"/>
    </row>
    <row r="695" spans="1:13" hidden="1" x14ac:dyDescent="0.35">
      <c r="A695" s="39" t="s">
        <v>253</v>
      </c>
      <c r="B695" s="11" t="s">
        <v>205</v>
      </c>
      <c r="D695" s="22" t="s">
        <v>325</v>
      </c>
      <c r="E695" s="14">
        <v>270457</v>
      </c>
      <c r="F695" s="14"/>
      <c r="G695" s="14"/>
      <c r="H695" s="40">
        <f>F695+G695</f>
        <v>0</v>
      </c>
      <c r="I695" s="47">
        <f>E695-H695</f>
        <v>270457</v>
      </c>
      <c r="J695" s="17"/>
      <c r="K695" s="18"/>
      <c r="L695" s="6" t="s">
        <v>323</v>
      </c>
      <c r="M695" s="6"/>
    </row>
    <row r="696" spans="1:13" hidden="1" x14ac:dyDescent="0.35">
      <c r="A696" s="57" t="s">
        <v>110</v>
      </c>
      <c r="B696" s="11" t="s">
        <v>319</v>
      </c>
      <c r="D696" s="22" t="s">
        <v>325</v>
      </c>
      <c r="E696" s="14">
        <v>302524.98</v>
      </c>
      <c r="F696" s="14"/>
      <c r="G696" s="14"/>
      <c r="H696" s="40">
        <f>F696+G696</f>
        <v>0</v>
      </c>
      <c r="I696" s="47">
        <f>E696-H696</f>
        <v>302524.98</v>
      </c>
      <c r="J696" s="17"/>
      <c r="K696" s="18"/>
      <c r="L696" s="6" t="s">
        <v>323</v>
      </c>
      <c r="M696" s="6"/>
    </row>
    <row r="697" spans="1:13" hidden="1" x14ac:dyDescent="0.35">
      <c r="A697" s="57" t="s">
        <v>111</v>
      </c>
      <c r="B697" s="11" t="s">
        <v>319</v>
      </c>
      <c r="D697" s="22" t="s">
        <v>325</v>
      </c>
      <c r="E697" s="14">
        <v>311378.56</v>
      </c>
      <c r="F697" s="14"/>
      <c r="G697" s="14"/>
      <c r="H697" s="40">
        <f>F697+G697</f>
        <v>0</v>
      </c>
      <c r="I697" s="47">
        <f>E697-H697</f>
        <v>311378.56</v>
      </c>
      <c r="J697" s="17"/>
      <c r="K697" s="18"/>
      <c r="L697" s="6" t="s">
        <v>323</v>
      </c>
      <c r="M697" s="6"/>
    </row>
    <row r="698" spans="1:13" hidden="1" x14ac:dyDescent="0.35">
      <c r="A698" s="51" t="s">
        <v>227</v>
      </c>
      <c r="B698" s="20"/>
      <c r="D698" s="22" t="s">
        <v>325</v>
      </c>
      <c r="E698" s="14">
        <v>403494.51</v>
      </c>
      <c r="F698" s="14"/>
      <c r="G698" s="14"/>
      <c r="H698" s="14"/>
      <c r="I698" s="37">
        <f>E698-H698</f>
        <v>403494.51</v>
      </c>
      <c r="J698" s="17">
        <f>IFERROR(H698/E698,0)</f>
        <v>0</v>
      </c>
      <c r="K698" s="18" t="str">
        <f>IF(E698=0,"Sin Plan",IF(J698&gt;=1,"Completado",IF(J698&gt;0.001,"En Progreso","Pendiente de ejecutar")))</f>
        <v>Pendiente de ejecutar</v>
      </c>
      <c r="L698" s="6" t="s">
        <v>323</v>
      </c>
      <c r="M698" s="6"/>
    </row>
    <row r="699" spans="1:13" hidden="1" x14ac:dyDescent="0.35">
      <c r="A699" s="57" t="s">
        <v>279</v>
      </c>
      <c r="B699" s="20"/>
      <c r="D699" s="22" t="s">
        <v>325</v>
      </c>
      <c r="E699" s="14">
        <v>452647</v>
      </c>
      <c r="F699" s="14"/>
      <c r="G699" s="14"/>
      <c r="H699" s="14"/>
      <c r="I699" s="37">
        <f>E699-H699</f>
        <v>452647</v>
      </c>
      <c r="J699" s="17"/>
      <c r="K699" s="18"/>
      <c r="L699" s="6" t="s">
        <v>323</v>
      </c>
      <c r="M699" s="6"/>
    </row>
    <row r="700" spans="1:13" hidden="1" x14ac:dyDescent="0.35">
      <c r="A700" s="57" t="s">
        <v>81</v>
      </c>
      <c r="B700" s="20"/>
      <c r="D700" s="22" t="s">
        <v>325</v>
      </c>
      <c r="E700" s="14">
        <v>531810</v>
      </c>
      <c r="F700" s="36"/>
      <c r="G700" s="14"/>
      <c r="H700" s="14"/>
      <c r="I700" s="37">
        <f>E700-H700</f>
        <v>531810</v>
      </c>
      <c r="J700" s="17">
        <f>IFERROR(H700/E700,0)</f>
        <v>0</v>
      </c>
      <c r="K700" s="18" t="str">
        <f>IF(E700=0,"Sin Plan",IF(J700&gt;=1,"Completado",IF(J700&gt;0.001,"En Progreso","Pendiente de ejecutar")))</f>
        <v>Pendiente de ejecutar</v>
      </c>
      <c r="L700" s="6" t="s">
        <v>323</v>
      </c>
      <c r="M700" s="6"/>
    </row>
    <row r="701" spans="1:13" hidden="1" x14ac:dyDescent="0.35">
      <c r="A701" s="82" t="s">
        <v>279</v>
      </c>
      <c r="B701" s="20"/>
      <c r="D701" s="83" t="s">
        <v>378</v>
      </c>
      <c r="E701" s="14">
        <v>452647</v>
      </c>
      <c r="F701" s="14"/>
      <c r="G701" s="89">
        <v>180000</v>
      </c>
      <c r="H701" s="14"/>
      <c r="I701" s="37">
        <f>E701-H701</f>
        <v>452647</v>
      </c>
      <c r="J701" s="17">
        <f>IFERROR(H701/E701,0)</f>
        <v>0</v>
      </c>
      <c r="K701" s="18" t="str">
        <f>IF(E701=0,"Sin Plan",IF(J701&gt;=1,"Completado",IF(J701&gt;0.001,"En Progreso","Pendiente de ejecutar")))</f>
        <v>Pendiente de ejecutar</v>
      </c>
      <c r="L701" s="6" t="s">
        <v>323</v>
      </c>
      <c r="M701" s="6"/>
    </row>
    <row r="702" spans="1:13" hidden="1" x14ac:dyDescent="0.35">
      <c r="A702" s="51" t="s">
        <v>296</v>
      </c>
      <c r="B702" s="29"/>
      <c r="C702" s="51"/>
      <c r="D702" s="22" t="s">
        <v>325</v>
      </c>
      <c r="E702" s="14">
        <v>560644.25</v>
      </c>
      <c r="F702" s="14"/>
      <c r="G702" s="14"/>
      <c r="H702" s="40">
        <f>F702+G702</f>
        <v>0</v>
      </c>
      <c r="I702" s="47">
        <f>E702-H702</f>
        <v>560644.25</v>
      </c>
      <c r="J702" s="17"/>
      <c r="K702" s="18"/>
      <c r="L702" s="6" t="s">
        <v>323</v>
      </c>
      <c r="M702" s="6"/>
    </row>
    <row r="703" spans="1:13" hidden="1" x14ac:dyDescent="0.35">
      <c r="A703" s="51" t="s">
        <v>299</v>
      </c>
      <c r="B703" s="20"/>
      <c r="D703" s="22" t="s">
        <v>325</v>
      </c>
      <c r="E703" s="14">
        <v>795466.5</v>
      </c>
      <c r="F703" s="36"/>
      <c r="G703" s="14"/>
      <c r="H703" s="14"/>
      <c r="I703" s="37">
        <f>E703-H703</f>
        <v>795466.5</v>
      </c>
      <c r="J703" s="17">
        <f>IFERROR(H703/E703,0)</f>
        <v>0</v>
      </c>
      <c r="K703" s="18" t="str">
        <f>IF(E703=0,"Sin Plan",IF(J703&gt;=1,"Completado",IF(J703&gt;0.001,"En Progreso","Pendiente de ejecutar")))</f>
        <v>Pendiente de ejecutar</v>
      </c>
      <c r="L703" s="6" t="s">
        <v>323</v>
      </c>
      <c r="M703" s="6"/>
    </row>
    <row r="704" spans="1:13" hidden="1" x14ac:dyDescent="0.35">
      <c r="A704" s="51" t="s">
        <v>185</v>
      </c>
      <c r="B704" s="20"/>
      <c r="D704" s="22" t="s">
        <v>325</v>
      </c>
      <c r="E704" s="14">
        <v>810722</v>
      </c>
      <c r="F704" s="14"/>
      <c r="G704" s="14"/>
      <c r="H704" s="14"/>
      <c r="I704" s="37">
        <f>E704-H704</f>
        <v>810722</v>
      </c>
      <c r="J704" s="17">
        <f>IFERROR(H704/E704,0)</f>
        <v>0</v>
      </c>
      <c r="K704" s="18" t="str">
        <f>IF(E704=0,"Sin Plan",IF(J704&gt;=1,"Completado",IF(J704&gt;0.001,"En Progreso","Pendiente de ejecutar")))</f>
        <v>Pendiente de ejecutar</v>
      </c>
      <c r="L704" s="6" t="s">
        <v>323</v>
      </c>
      <c r="M704" s="6"/>
    </row>
    <row r="705" spans="1:13" hidden="1" x14ac:dyDescent="0.35">
      <c r="A705" s="57" t="s">
        <v>377</v>
      </c>
      <c r="B705" s="20"/>
      <c r="D705" s="52" t="s">
        <v>378</v>
      </c>
      <c r="E705" s="14">
        <v>298422</v>
      </c>
      <c r="F705" s="14"/>
      <c r="G705" s="14">
        <v>252900</v>
      </c>
      <c r="H705" s="14"/>
      <c r="I705" s="37">
        <f>E705-H705</f>
        <v>298422</v>
      </c>
      <c r="J705" s="17">
        <f>IFERROR(H705/E705,0)</f>
        <v>0</v>
      </c>
      <c r="K705" s="18" t="str">
        <f>IF(E705=0,"Sin Plan",IF(J705&gt;=1,"Completado",IF(J705&gt;0.001,"En Progreso","Pendiente de ejecutar")))</f>
        <v>Pendiente de ejecutar</v>
      </c>
      <c r="L705" s="6" t="s">
        <v>323</v>
      </c>
      <c r="M705" s="6"/>
    </row>
    <row r="706" spans="1:13" hidden="1" x14ac:dyDescent="0.35">
      <c r="A706" s="57" t="s">
        <v>155</v>
      </c>
      <c r="B706" s="11" t="s">
        <v>128</v>
      </c>
      <c r="D706" s="22" t="s">
        <v>325</v>
      </c>
      <c r="E706" s="14">
        <v>896000</v>
      </c>
      <c r="F706" s="14"/>
      <c r="G706" s="14"/>
      <c r="H706" s="40">
        <f>F706+G706</f>
        <v>0</v>
      </c>
      <c r="I706" s="47">
        <f>E706-H706</f>
        <v>896000</v>
      </c>
      <c r="J706" s="17"/>
      <c r="K706" s="18"/>
      <c r="L706" s="6" t="s">
        <v>323</v>
      </c>
      <c r="M706" s="6"/>
    </row>
    <row r="707" spans="1:13" hidden="1" x14ac:dyDescent="0.35">
      <c r="A707" s="57" t="s">
        <v>82</v>
      </c>
      <c r="B707" s="11" t="s">
        <v>319</v>
      </c>
      <c r="D707" s="22" t="s">
        <v>325</v>
      </c>
      <c r="E707" s="14">
        <v>1040000</v>
      </c>
      <c r="F707" s="14"/>
      <c r="G707" s="14"/>
      <c r="H707" s="40">
        <f>F707+G707</f>
        <v>0</v>
      </c>
      <c r="I707" s="47">
        <f>E707-H707</f>
        <v>1040000</v>
      </c>
      <c r="J707" s="17"/>
      <c r="K707" s="18"/>
      <c r="L707" s="6" t="s">
        <v>323</v>
      </c>
      <c r="M707" s="6"/>
    </row>
    <row r="708" spans="1:13" hidden="1" x14ac:dyDescent="0.35">
      <c r="A708" s="57" t="s">
        <v>98</v>
      </c>
      <c r="B708" s="11" t="s">
        <v>319</v>
      </c>
      <c r="D708" s="22" t="s">
        <v>325</v>
      </c>
      <c r="E708" s="14">
        <v>1136355.69</v>
      </c>
      <c r="F708" s="14"/>
      <c r="G708" s="14"/>
      <c r="H708" s="40">
        <f>F708+G708</f>
        <v>0</v>
      </c>
      <c r="I708" s="47">
        <f>E708-H708</f>
        <v>1136355.69</v>
      </c>
      <c r="J708" s="17"/>
      <c r="K708" s="18"/>
      <c r="L708" s="6" t="s">
        <v>323</v>
      </c>
      <c r="M708" s="6"/>
    </row>
    <row r="709" spans="1:13" hidden="1" x14ac:dyDescent="0.35">
      <c r="A709" s="57" t="s">
        <v>379</v>
      </c>
      <c r="B709" s="20"/>
      <c r="D709" s="83" t="s">
        <v>378</v>
      </c>
      <c r="E709" s="14">
        <v>181602</v>
      </c>
      <c r="F709" s="14"/>
      <c r="G709" s="14"/>
      <c r="H709" s="14"/>
      <c r="I709" s="37">
        <f>E709-H709</f>
        <v>181602</v>
      </c>
      <c r="J709" s="17">
        <f>IFERROR(H709/E709,0)</f>
        <v>0</v>
      </c>
      <c r="K709" s="18" t="str">
        <f>IF(E709=0,"Sin Plan",IF(J709&gt;=1,"Completado",IF(J709&gt;0.001,"En Progreso","Pendiente de ejecutar")))</f>
        <v>Pendiente de ejecutar</v>
      </c>
      <c r="L709" s="6" t="s">
        <v>323</v>
      </c>
      <c r="M709" s="6"/>
    </row>
    <row r="710" spans="1:13" hidden="1" x14ac:dyDescent="0.35">
      <c r="A710" s="51" t="s">
        <v>262</v>
      </c>
      <c r="B710" s="29"/>
      <c r="C710" s="51"/>
      <c r="D710" s="22" t="s">
        <v>325</v>
      </c>
      <c r="E710" s="14">
        <v>1174922</v>
      </c>
      <c r="F710" s="14"/>
      <c r="G710" s="14"/>
      <c r="H710" s="40">
        <f>F710+G710</f>
        <v>0</v>
      </c>
      <c r="I710" s="47">
        <f>E710-H710</f>
        <v>1174922</v>
      </c>
      <c r="J710" s="17"/>
      <c r="K710" s="18"/>
      <c r="L710" s="6" t="s">
        <v>323</v>
      </c>
      <c r="M710" s="6"/>
    </row>
    <row r="711" spans="1:13" hidden="1" x14ac:dyDescent="0.35">
      <c r="A711" s="51" t="s">
        <v>299</v>
      </c>
      <c r="B711" s="29"/>
      <c r="C711" s="51"/>
      <c r="D711" s="22" t="s">
        <v>325</v>
      </c>
      <c r="E711" s="14">
        <v>1174922</v>
      </c>
      <c r="F711" s="14"/>
      <c r="G711" s="14"/>
      <c r="H711" s="40">
        <f>F711+G711</f>
        <v>0</v>
      </c>
      <c r="I711" s="47">
        <f>E711-H711</f>
        <v>1174922</v>
      </c>
      <c r="J711" s="17"/>
      <c r="K711" s="18"/>
      <c r="L711" s="6" t="s">
        <v>323</v>
      </c>
      <c r="M711" s="6"/>
    </row>
    <row r="712" spans="1:13" hidden="1" x14ac:dyDescent="0.35">
      <c r="A712" s="51" t="s">
        <v>225</v>
      </c>
      <c r="B712" s="20"/>
      <c r="D712" s="22" t="s">
        <v>325</v>
      </c>
      <c r="E712" s="14">
        <v>1305186</v>
      </c>
      <c r="F712" s="14"/>
      <c r="G712" s="14"/>
      <c r="H712" s="14"/>
      <c r="I712" s="37">
        <f>E712-H712</f>
        <v>1305186</v>
      </c>
      <c r="J712" s="17">
        <f>IFERROR(H712/E712,0)</f>
        <v>0</v>
      </c>
      <c r="K712" s="18" t="str">
        <f>IF(E712=0,"Sin Plan",IF(J712&gt;=1,"Completado",IF(J712&gt;0.001,"En Progreso","Pendiente de ejecutar")))</f>
        <v>Pendiente de ejecutar</v>
      </c>
      <c r="L712" s="6" t="s">
        <v>323</v>
      </c>
      <c r="M712" s="6"/>
    </row>
    <row r="713" spans="1:13" hidden="1" x14ac:dyDescent="0.35">
      <c r="A713" s="39" t="s">
        <v>260</v>
      </c>
      <c r="B713" s="11" t="s">
        <v>205</v>
      </c>
      <c r="D713" s="22" t="s">
        <v>325</v>
      </c>
      <c r="E713" s="14">
        <v>1317000</v>
      </c>
      <c r="F713" s="14"/>
      <c r="G713" s="14"/>
      <c r="H713" s="40">
        <f>F713+G713</f>
        <v>0</v>
      </c>
      <c r="I713" s="47">
        <f>E713-H713</f>
        <v>1317000</v>
      </c>
      <c r="J713" s="90"/>
      <c r="K713" s="39"/>
      <c r="L713" s="6" t="s">
        <v>323</v>
      </c>
      <c r="M713" s="6"/>
    </row>
    <row r="714" spans="1:13" hidden="1" x14ac:dyDescent="0.35">
      <c r="A714" s="39" t="s">
        <v>256</v>
      </c>
      <c r="B714" s="11" t="s">
        <v>205</v>
      </c>
      <c r="C714" s="39" t="s">
        <v>139</v>
      </c>
      <c r="D714" s="22" t="s">
        <v>325</v>
      </c>
      <c r="E714" s="14">
        <v>1326922</v>
      </c>
      <c r="F714" s="14"/>
      <c r="G714" s="14"/>
      <c r="H714" s="40">
        <f>F714+G714</f>
        <v>0</v>
      </c>
      <c r="I714" s="47">
        <f>E714-H714</f>
        <v>1326922</v>
      </c>
      <c r="J714" s="90"/>
      <c r="K714" s="39"/>
      <c r="L714" s="6" t="s">
        <v>323</v>
      </c>
      <c r="M714" s="6" t="s">
        <v>318</v>
      </c>
    </row>
    <row r="715" spans="1:13" hidden="1" x14ac:dyDescent="0.35">
      <c r="A715" s="57" t="s">
        <v>127</v>
      </c>
      <c r="B715" s="20"/>
      <c r="D715" s="22" t="s">
        <v>325</v>
      </c>
      <c r="E715" s="14">
        <v>1500722.3399999961</v>
      </c>
      <c r="F715" s="14"/>
      <c r="G715" s="14"/>
      <c r="H715" s="14"/>
      <c r="I715" s="37">
        <f>E715-H715</f>
        <v>1500722.3399999961</v>
      </c>
      <c r="J715" s="90"/>
      <c r="K715" s="39"/>
      <c r="L715" s="6" t="s">
        <v>323</v>
      </c>
      <c r="M715" s="6"/>
    </row>
    <row r="716" spans="1:13" hidden="1" x14ac:dyDescent="0.35">
      <c r="A716" s="82" t="s">
        <v>253</v>
      </c>
      <c r="B716" s="20"/>
      <c r="D716" s="22" t="s">
        <v>325</v>
      </c>
      <c r="E716" s="14">
        <v>1532419</v>
      </c>
      <c r="F716" s="14"/>
      <c r="G716" s="14"/>
      <c r="H716" s="14"/>
      <c r="I716" s="37">
        <f>E716-H716</f>
        <v>1532419</v>
      </c>
      <c r="J716" s="90"/>
      <c r="K716" s="39"/>
      <c r="L716" s="6" t="s">
        <v>323</v>
      </c>
      <c r="M716" s="6"/>
    </row>
    <row r="717" spans="1:13" x14ac:dyDescent="0.35">
      <c r="A717" s="110" t="s">
        <v>242</v>
      </c>
      <c r="B717" s="11" t="s">
        <v>205</v>
      </c>
      <c r="C717" s="111" t="s">
        <v>170</v>
      </c>
      <c r="D717" s="107" t="s">
        <v>171</v>
      </c>
      <c r="E717" s="100">
        <v>0</v>
      </c>
      <c r="F717" s="100">
        <v>393360</v>
      </c>
      <c r="G717" s="100">
        <v>0</v>
      </c>
      <c r="H717" s="40">
        <f>F717+G717</f>
        <v>393360</v>
      </c>
      <c r="I717" s="47">
        <f>E717-H717</f>
        <v>-393360</v>
      </c>
      <c r="J717" s="103">
        <f>IFERROR(H717/E717,0)</f>
        <v>0</v>
      </c>
      <c r="K717" s="102" t="str">
        <f>IF(E717=0,"Sin Plan",IF(J717&gt;=1,"Completado",IF(J717&gt;0.001,"En Progreso","Pendiente de ejecutar")))</f>
        <v>Sin Plan</v>
      </c>
      <c r="L717" s="6" t="s">
        <v>323</v>
      </c>
      <c r="M717" s="6" t="s">
        <v>318</v>
      </c>
    </row>
    <row r="718" spans="1:13" hidden="1" x14ac:dyDescent="0.35">
      <c r="A718" s="57" t="s">
        <v>154</v>
      </c>
      <c r="B718" s="11" t="s">
        <v>128</v>
      </c>
      <c r="D718" s="22" t="s">
        <v>325</v>
      </c>
      <c r="E718" s="14">
        <v>1966464</v>
      </c>
      <c r="F718" s="14"/>
      <c r="G718" s="14"/>
      <c r="H718" s="40">
        <f>F718+G718</f>
        <v>0</v>
      </c>
      <c r="I718" s="47">
        <f>E718-H718</f>
        <v>1966464</v>
      </c>
      <c r="J718" s="90"/>
      <c r="K718" s="39"/>
      <c r="L718" s="6" t="s">
        <v>323</v>
      </c>
      <c r="M718" s="6"/>
    </row>
    <row r="719" spans="1:13" x14ac:dyDescent="0.35">
      <c r="A719" s="110" t="s">
        <v>242</v>
      </c>
      <c r="B719" s="11" t="s">
        <v>205</v>
      </c>
      <c r="C719" s="111" t="s">
        <v>101</v>
      </c>
      <c r="D719" s="110" t="s">
        <v>102</v>
      </c>
      <c r="E719" s="100">
        <v>0</v>
      </c>
      <c r="F719" s="100">
        <v>283076.44</v>
      </c>
      <c r="G719" s="100">
        <v>0</v>
      </c>
      <c r="H719" s="40">
        <f>F719+G719</f>
        <v>283076.44</v>
      </c>
      <c r="I719" s="47">
        <f>E719-H719</f>
        <v>-283076.44</v>
      </c>
      <c r="J719" s="103">
        <f>IFERROR(H719/E719,0)</f>
        <v>0</v>
      </c>
      <c r="K719" s="102" t="str">
        <f>IF(E719=0,"Sin Plan",IF(J719&gt;=1,"Completado",IF(J719&gt;0.001,"En Progreso","Pendiente de ejecutar")))</f>
        <v>Sin Plan</v>
      </c>
      <c r="L719" s="6" t="s">
        <v>323</v>
      </c>
      <c r="M719" s="6" t="s">
        <v>318</v>
      </c>
    </row>
    <row r="720" spans="1:13" hidden="1" x14ac:dyDescent="0.35">
      <c r="A720" s="51" t="s">
        <v>278</v>
      </c>
      <c r="B720" s="29"/>
      <c r="C720" s="51"/>
      <c r="D720" s="22" t="s">
        <v>325</v>
      </c>
      <c r="E720" s="14">
        <v>2852367</v>
      </c>
      <c r="F720" s="14"/>
      <c r="G720" s="14"/>
      <c r="H720" s="14"/>
      <c r="I720" s="37">
        <f>E720-H720</f>
        <v>2852367</v>
      </c>
      <c r="J720" s="90"/>
      <c r="K720" s="39"/>
      <c r="L720" s="6" t="s">
        <v>323</v>
      </c>
      <c r="M720" s="6"/>
    </row>
    <row r="721" spans="1:13" hidden="1" x14ac:dyDescent="0.35">
      <c r="A721" s="29" t="s">
        <v>198</v>
      </c>
      <c r="B721" s="29" t="s">
        <v>205</v>
      </c>
      <c r="C721" s="51"/>
      <c r="D721" s="22" t="s">
        <v>325</v>
      </c>
      <c r="E721" s="14">
        <v>3456385.53</v>
      </c>
      <c r="F721" s="14"/>
      <c r="G721" s="14"/>
      <c r="H721" s="40">
        <f>F721+G721</f>
        <v>0</v>
      </c>
      <c r="I721" s="47">
        <f>E721-H721</f>
        <v>3456385.53</v>
      </c>
      <c r="J721" s="90"/>
      <c r="K721" s="39"/>
      <c r="L721" s="6" t="s">
        <v>323</v>
      </c>
      <c r="M721" s="6"/>
    </row>
    <row r="722" spans="1:13" hidden="1" x14ac:dyDescent="0.35">
      <c r="A722" s="51" t="s">
        <v>178</v>
      </c>
      <c r="B722" s="29" t="s">
        <v>205</v>
      </c>
      <c r="C722" s="51"/>
      <c r="D722" s="22" t="s">
        <v>325</v>
      </c>
      <c r="E722" s="14">
        <v>3611200</v>
      </c>
      <c r="F722" s="14"/>
      <c r="G722" s="14"/>
      <c r="H722" s="40">
        <f>F722+G722</f>
        <v>0</v>
      </c>
      <c r="I722" s="47">
        <f>E722-H722</f>
        <v>3611200</v>
      </c>
      <c r="J722" s="90"/>
      <c r="K722" s="39"/>
      <c r="L722" s="6" t="s">
        <v>323</v>
      </c>
      <c r="M722" s="6"/>
    </row>
    <row r="723" spans="1:13" hidden="1" x14ac:dyDescent="0.35">
      <c r="A723" s="57" t="s">
        <v>62</v>
      </c>
      <c r="B723" s="20"/>
      <c r="D723" s="51" t="s">
        <v>24</v>
      </c>
      <c r="E723" s="14"/>
      <c r="F723" s="36"/>
      <c r="G723" s="14">
        <v>326810</v>
      </c>
      <c r="H723" s="14"/>
      <c r="I723" s="37">
        <f>E723-H723</f>
        <v>0</v>
      </c>
      <c r="J723" s="90">
        <f>IFERROR(H723/E723,0)</f>
        <v>0</v>
      </c>
      <c r="K723" s="39" t="str">
        <f>IF(E723=0,"Sin Plan",IF(J723&gt;=1,"Completado",IF(J723&gt;0.001,"En Progreso","Pendiente de ejecutar")))</f>
        <v>Sin Plan</v>
      </c>
      <c r="L723" s="6" t="s">
        <v>321</v>
      </c>
      <c r="M723" s="6"/>
    </row>
    <row r="724" spans="1:13" hidden="1" x14ac:dyDescent="0.35">
      <c r="A724" s="57" t="s">
        <v>127</v>
      </c>
      <c r="B724" s="11" t="s">
        <v>128</v>
      </c>
      <c r="D724" s="22" t="s">
        <v>325</v>
      </c>
      <c r="E724" s="14">
        <v>10401019.060000001</v>
      </c>
      <c r="F724" s="14"/>
      <c r="G724" s="14"/>
      <c r="H724" s="40">
        <f>F724+G724</f>
        <v>0</v>
      </c>
      <c r="I724" s="47">
        <f>E724-H724</f>
        <v>10401019.060000001</v>
      </c>
      <c r="J724" s="90"/>
      <c r="K724" s="39"/>
      <c r="L724" s="6" t="s">
        <v>323</v>
      </c>
      <c r="M724" s="6"/>
    </row>
    <row r="725" spans="1:13" x14ac:dyDescent="0.35">
      <c r="A725" s="107" t="s">
        <v>242</v>
      </c>
      <c r="B725" s="11" t="s">
        <v>205</v>
      </c>
      <c r="C725" s="111" t="s">
        <v>47</v>
      </c>
      <c r="D725" s="110" t="s">
        <v>48</v>
      </c>
      <c r="E725" s="100">
        <v>0</v>
      </c>
      <c r="F725" s="100">
        <v>534306.94999999995</v>
      </c>
      <c r="G725" s="100">
        <v>246624.75</v>
      </c>
      <c r="H725" s="40">
        <f>F725+G725</f>
        <v>780931.7</v>
      </c>
      <c r="I725" s="47">
        <f>E725-H725</f>
        <v>-780931.7</v>
      </c>
      <c r="J725" s="103">
        <f>IFERROR(H725/E725,0)</f>
        <v>0</v>
      </c>
      <c r="K725" s="102" t="str">
        <f>IF(E725=0,"Sin Plan",IF(J725&gt;=1,"Completado",IF(J725&gt;0.001,"En Progreso","Pendiente de ejecutar")))</f>
        <v>Sin Plan</v>
      </c>
      <c r="L725" s="6" t="s">
        <v>323</v>
      </c>
      <c r="M725" s="6" t="s">
        <v>318</v>
      </c>
    </row>
    <row r="726" spans="1:13" x14ac:dyDescent="0.35">
      <c r="A726" s="107" t="s">
        <v>242</v>
      </c>
      <c r="B726" s="11" t="s">
        <v>205</v>
      </c>
      <c r="C726" s="111" t="s">
        <v>29</v>
      </c>
      <c r="D726" s="110" t="s">
        <v>30</v>
      </c>
      <c r="E726" s="100">
        <v>0</v>
      </c>
      <c r="F726" s="100"/>
      <c r="G726" s="100"/>
      <c r="H726" s="40">
        <f>F726+G726</f>
        <v>0</v>
      </c>
      <c r="I726" s="47">
        <f>E726-H726</f>
        <v>0</v>
      </c>
      <c r="J726" s="103">
        <f>IFERROR(H726/E726,0)</f>
        <v>0</v>
      </c>
      <c r="K726" s="102" t="str">
        <f>IF(E726=0,"Sin Plan",IF(J726&gt;=1,"Completado",IF(J726&gt;0.001,"En Progreso","Pendiente de ejecutar")))</f>
        <v>Sin Plan</v>
      </c>
      <c r="L726" s="6" t="s">
        <v>323</v>
      </c>
      <c r="M726" s="6" t="s">
        <v>318</v>
      </c>
    </row>
    <row r="727" spans="1:13" x14ac:dyDescent="0.35">
      <c r="A727" s="107" t="s">
        <v>242</v>
      </c>
      <c r="B727" s="11" t="s">
        <v>205</v>
      </c>
      <c r="C727" s="111" t="s">
        <v>63</v>
      </c>
      <c r="D727" s="110" t="s">
        <v>64</v>
      </c>
      <c r="E727" s="100">
        <v>0</v>
      </c>
      <c r="F727" s="100">
        <v>112811.45</v>
      </c>
      <c r="G727" s="101"/>
      <c r="H727" s="40">
        <f>F727+G727</f>
        <v>112811.45</v>
      </c>
      <c r="I727" s="47">
        <f>E727-H727</f>
        <v>-112811.45</v>
      </c>
      <c r="J727" s="103">
        <f>IFERROR(H727/E727,0)</f>
        <v>0</v>
      </c>
      <c r="K727" s="102" t="str">
        <f>IF(E727=0,"Sin Plan",IF(J727&gt;=1,"Completado",IF(J727&gt;0.001,"En Progreso","Pendiente de ejecutar")))</f>
        <v>Sin Plan</v>
      </c>
      <c r="L727" s="6" t="s">
        <v>321</v>
      </c>
      <c r="M727" s="6" t="s">
        <v>318</v>
      </c>
    </row>
    <row r="728" spans="1:13" x14ac:dyDescent="0.35">
      <c r="A728" s="107" t="s">
        <v>242</v>
      </c>
      <c r="B728" s="11" t="s">
        <v>205</v>
      </c>
      <c r="C728" s="97"/>
      <c r="D728" s="110" t="s">
        <v>14</v>
      </c>
      <c r="E728" s="100"/>
      <c r="F728" s="100"/>
      <c r="G728" s="100">
        <v>5354670.4800000004</v>
      </c>
      <c r="H728" s="40">
        <f>F728+G728</f>
        <v>5354670.4800000004</v>
      </c>
      <c r="I728" s="47">
        <f>E728-H728</f>
        <v>-5354670.4800000004</v>
      </c>
      <c r="J728" s="103">
        <f>IFERROR(H728/E728,0)</f>
        <v>0</v>
      </c>
      <c r="K728" s="102" t="str">
        <f>IF(E728=0,"Sin Plan",IF(J728&gt;=1,"Completado",IF(J728&gt;0.001,"En Progreso","Pendiente de ejecutar")))</f>
        <v>Sin Plan</v>
      </c>
      <c r="L728" s="81" t="s">
        <v>323</v>
      </c>
      <c r="M728" s="6"/>
    </row>
    <row r="729" spans="1:13" x14ac:dyDescent="0.35">
      <c r="A729" s="107" t="s">
        <v>242</v>
      </c>
      <c r="B729" s="11" t="s">
        <v>205</v>
      </c>
      <c r="C729" s="112"/>
      <c r="D729" s="113" t="s">
        <v>245</v>
      </c>
      <c r="E729" s="100"/>
      <c r="F729" s="100"/>
      <c r="G729" s="100"/>
      <c r="H729" s="40">
        <f>F729+G729</f>
        <v>0</v>
      </c>
      <c r="I729" s="47">
        <f>E729-H729</f>
        <v>0</v>
      </c>
      <c r="J729" s="103">
        <f>IFERROR(H729/E729,0)</f>
        <v>0</v>
      </c>
      <c r="K729" s="102" t="str">
        <f>IF(E729=0,"Sin Plan",IF(J729&gt;=1,"Completado",IF(J729&gt;0.001,"En Progreso","Pendiente de ejecutar")))</f>
        <v>Sin Plan</v>
      </c>
      <c r="L729" s="6" t="s">
        <v>323</v>
      </c>
      <c r="M729" s="6" t="s">
        <v>318</v>
      </c>
    </row>
    <row r="730" spans="1:13" hidden="1" x14ac:dyDescent="0.35">
      <c r="A730" s="11" t="s">
        <v>207</v>
      </c>
      <c r="B730" s="11"/>
      <c r="D730" s="95" t="s">
        <v>325</v>
      </c>
      <c r="E730" s="14">
        <v>-1056489.1499999999</v>
      </c>
      <c r="F730" s="100"/>
      <c r="G730" s="100"/>
      <c r="H730" s="40"/>
      <c r="I730" s="47">
        <f>E730-H730</f>
        <v>-1056489.1499999999</v>
      </c>
      <c r="J730" s="90">
        <f>IFERROR(H730/E730,0)</f>
        <v>0</v>
      </c>
      <c r="K730" s="39" t="str">
        <f>IF(E730=0,"Sin Plan",IF(J730&gt;=1,"Completado",IF(J730&gt;0.001,"En Progreso","Pendiente de ejecutar")))</f>
        <v>Pendiente de ejecutar</v>
      </c>
      <c r="L730" s="81" t="s">
        <v>321</v>
      </c>
      <c r="M730" s="6"/>
    </row>
    <row r="731" spans="1:13" x14ac:dyDescent="0.35">
      <c r="A731" s="110" t="s">
        <v>242</v>
      </c>
      <c r="B731" s="11" t="s">
        <v>205</v>
      </c>
      <c r="C731" s="111"/>
      <c r="D731" s="107" t="s">
        <v>399</v>
      </c>
      <c r="E731" s="100"/>
      <c r="F731" s="100">
        <v>735900.08</v>
      </c>
      <c r="G731" s="100"/>
      <c r="H731" s="40">
        <f>F731+G731</f>
        <v>735900.08</v>
      </c>
      <c r="I731" s="47">
        <f>E731-H731</f>
        <v>-735900.08</v>
      </c>
      <c r="J731" s="103">
        <f>IFERROR(H731/E731,0)</f>
        <v>0</v>
      </c>
      <c r="K731" s="102" t="str">
        <f>IF(E731=0,"Sin Plan",IF(J731&gt;=1,"Completado",IF(J731&gt;0.001,"En Progreso","Pendiente de ejecutar")))</f>
        <v>Sin Plan</v>
      </c>
      <c r="L731" s="81" t="s">
        <v>323</v>
      </c>
      <c r="M731" s="6"/>
    </row>
    <row r="732" spans="1:13" x14ac:dyDescent="0.35">
      <c r="A732" s="110" t="s">
        <v>242</v>
      </c>
      <c r="B732" s="11" t="s">
        <v>205</v>
      </c>
      <c r="C732" s="112"/>
      <c r="D732" s="113" t="s">
        <v>246</v>
      </c>
      <c r="E732" s="100"/>
      <c r="F732" s="100">
        <v>50000</v>
      </c>
      <c r="G732" s="100"/>
      <c r="H732" s="40">
        <f>F732+G732</f>
        <v>50000</v>
      </c>
      <c r="I732" s="47">
        <f>E732-H732</f>
        <v>-50000</v>
      </c>
      <c r="J732" s="103">
        <f>IFERROR(H732/E732,0)</f>
        <v>0</v>
      </c>
      <c r="K732" s="102" t="str">
        <f>IF(E732=0,"Sin Plan",IF(J732&gt;=1,"Completado",IF(J732&gt;0.001,"En Progreso","Pendiente de ejecutar")))</f>
        <v>Sin Plan</v>
      </c>
      <c r="L732" s="6" t="s">
        <v>321</v>
      </c>
      <c r="M732" s="6" t="s">
        <v>318</v>
      </c>
    </row>
    <row r="733" spans="1:13" x14ac:dyDescent="0.35">
      <c r="A733" s="110" t="s">
        <v>242</v>
      </c>
      <c r="B733" s="11" t="s">
        <v>205</v>
      </c>
      <c r="C733" s="111"/>
      <c r="D733" s="110" t="s">
        <v>340</v>
      </c>
      <c r="E733" s="100"/>
      <c r="F733" s="100">
        <v>92750</v>
      </c>
      <c r="G733" s="105"/>
      <c r="H733" s="40">
        <f>F733+G733</f>
        <v>92750</v>
      </c>
      <c r="I733" s="47">
        <f>E733-H733</f>
        <v>-92750</v>
      </c>
      <c r="J733" s="103">
        <f>IFERROR(H733/E733,0)</f>
        <v>0</v>
      </c>
      <c r="K733" s="102" t="str">
        <f>IF(E733=0,"Sin Plan",IF(J733&gt;=1,"Completado",IF(J733&gt;0.001,"En Progreso","Pendiente de ejecutar")))</f>
        <v>Sin Plan</v>
      </c>
      <c r="L733" s="6" t="s">
        <v>321</v>
      </c>
      <c r="M733" s="6"/>
    </row>
    <row r="734" spans="1:13" x14ac:dyDescent="0.35">
      <c r="A734" s="110" t="s">
        <v>242</v>
      </c>
      <c r="B734" s="11" t="s">
        <v>205</v>
      </c>
      <c r="C734" s="112"/>
      <c r="D734" s="108" t="s">
        <v>247</v>
      </c>
      <c r="E734" s="100"/>
      <c r="F734" s="100">
        <v>27542.37</v>
      </c>
      <c r="G734" s="100"/>
      <c r="H734" s="40">
        <f>F734+G734</f>
        <v>27542.37</v>
      </c>
      <c r="I734" s="47">
        <f>E734-H734</f>
        <v>-27542.37</v>
      </c>
      <c r="J734" s="103">
        <f>IFERROR(H734/E734,0)</f>
        <v>0</v>
      </c>
      <c r="K734" s="102" t="str">
        <f>IF(E734=0,"Sin Plan",IF(J734&gt;=1,"Completado",IF(J734&gt;0.001,"En Progreso","Pendiente de ejecutar")))</f>
        <v>Sin Plan</v>
      </c>
      <c r="L734" s="6" t="s">
        <v>323</v>
      </c>
      <c r="M734" s="6" t="s">
        <v>318</v>
      </c>
    </row>
    <row r="735" spans="1:13" x14ac:dyDescent="0.35">
      <c r="A735" s="19" t="s">
        <v>261</v>
      </c>
      <c r="B735" s="11" t="s">
        <v>205</v>
      </c>
      <c r="C735" s="93"/>
      <c r="D735" s="109" t="s">
        <v>325</v>
      </c>
      <c r="E735" s="100">
        <v>219500</v>
      </c>
      <c r="F735" s="100"/>
      <c r="G735" s="100"/>
      <c r="H735" s="40">
        <f>F735+G735</f>
        <v>0</v>
      </c>
      <c r="I735" s="47">
        <f>E735-H735</f>
        <v>219500</v>
      </c>
      <c r="J735" s="103">
        <f>IFERROR(H735/E735,0)</f>
        <v>0</v>
      </c>
      <c r="K735" s="102" t="str">
        <f>IF(E735=0,"Sin Plan",IF(J735&gt;=1,"Completado",IF(J735&gt;0.001,"En Progreso","Pendiente de ejecutar")))</f>
        <v>Pendiente de ejecutar</v>
      </c>
      <c r="L735" s="81" t="s">
        <v>321</v>
      </c>
      <c r="M735" s="6"/>
    </row>
    <row r="736" spans="1:13" x14ac:dyDescent="0.35">
      <c r="A736" s="19" t="s">
        <v>261</v>
      </c>
      <c r="B736" s="11" t="s">
        <v>205</v>
      </c>
      <c r="C736" s="99" t="s">
        <v>137</v>
      </c>
      <c r="D736" s="99" t="s">
        <v>138</v>
      </c>
      <c r="E736" s="13">
        <v>47500</v>
      </c>
      <c r="F736" s="13">
        <v>0</v>
      </c>
      <c r="G736" s="13">
        <v>0</v>
      </c>
      <c r="H736" s="40">
        <f>F736+G736</f>
        <v>0</v>
      </c>
      <c r="I736" s="47">
        <f>E736-H736</f>
        <v>47500</v>
      </c>
      <c r="J736" s="103">
        <f>IFERROR(H736/E736,0)</f>
        <v>0</v>
      </c>
      <c r="K736" s="102" t="str">
        <f>IF(E736=0,"Sin Plan",IF(J736&gt;=1,"Completado",IF(J736&gt;0.001,"En Progreso","Pendiente de ejecutar")))</f>
        <v>Pendiente de ejecutar</v>
      </c>
      <c r="L736" s="6" t="s">
        <v>323</v>
      </c>
      <c r="M736" s="8" t="s">
        <v>320</v>
      </c>
    </row>
    <row r="737" spans="1:14" x14ac:dyDescent="0.35">
      <c r="A737" s="19" t="s">
        <v>261</v>
      </c>
      <c r="B737" s="11" t="s">
        <v>205</v>
      </c>
      <c r="D737" s="109" t="s">
        <v>400</v>
      </c>
      <c r="E737" s="100"/>
      <c r="F737" s="100"/>
      <c r="G737" s="100">
        <v>261360</v>
      </c>
      <c r="H737" s="40"/>
      <c r="I737" s="47">
        <f>E737-H737</f>
        <v>0</v>
      </c>
      <c r="J737" s="90">
        <f>IFERROR(H737/E737,0)</f>
        <v>0</v>
      </c>
      <c r="K737" s="39" t="str">
        <f>IF(E737=0,"Sin Plan",IF(J737&gt;=1,"Completado",IF(J737&gt;0.001,"En Progreso","Pendiente de ejecutar")))</f>
        <v>Sin Plan</v>
      </c>
      <c r="L737" s="81" t="s">
        <v>321</v>
      </c>
      <c r="M737" s="6"/>
    </row>
    <row r="738" spans="1:14" x14ac:dyDescent="0.35">
      <c r="B738" s="20"/>
      <c r="D738" s="38"/>
      <c r="E738" s="94">
        <f>SUBTOTAL(109,Table2[Plan (RD$)])</f>
        <v>81033750.99000001</v>
      </c>
      <c r="F738" s="106">
        <f>SUBTOTAL(109,Table2[Real (RD$)])</f>
        <v>33852427.130000003</v>
      </c>
      <c r="G738" s="106">
        <f>SUBTOTAL(109,Table2[Comprometido (RD$)])</f>
        <v>33849157.739999995</v>
      </c>
      <c r="H738" s="94">
        <f>SUBTOTAL(109,Table2[Ejecutado Total (RD$)])</f>
        <v>67440224.870000005</v>
      </c>
      <c r="I738" s="37"/>
      <c r="L738" s="6"/>
      <c r="M738" s="6"/>
    </row>
    <row r="739" spans="1:14" x14ac:dyDescent="0.35">
      <c r="D739" s="38"/>
      <c r="H739" s="33"/>
    </row>
    <row r="740" spans="1:14" x14ac:dyDescent="0.35">
      <c r="C740" s="38"/>
      <c r="D740" s="38"/>
    </row>
    <row r="741" spans="1:14" x14ac:dyDescent="0.35">
      <c r="D741" s="7"/>
      <c r="F741" s="38"/>
    </row>
    <row r="742" spans="1:14" x14ac:dyDescent="0.35">
      <c r="D742" s="38"/>
      <c r="F742" s="38"/>
      <c r="J742" s="1"/>
      <c r="K742" s="38"/>
      <c r="L742" s="1"/>
      <c r="M742" s="1"/>
      <c r="N742" s="1"/>
    </row>
    <row r="743" spans="1:14" x14ac:dyDescent="0.35">
      <c r="B743" s="38"/>
      <c r="D743" s="38"/>
      <c r="F743" s="38"/>
      <c r="I743" s="38"/>
      <c r="J743" s="38"/>
      <c r="K743" s="38"/>
      <c r="L743" s="38"/>
      <c r="M743" s="38"/>
      <c r="N743" s="38"/>
    </row>
    <row r="744" spans="1:14" x14ac:dyDescent="0.35">
      <c r="D744" s="38"/>
      <c r="F744" s="38"/>
      <c r="I744" s="38"/>
      <c r="J744" s="38"/>
      <c r="K744" s="38"/>
      <c r="L744" s="38"/>
      <c r="M744" s="38"/>
      <c r="N744" s="38"/>
    </row>
    <row r="745" spans="1:14" x14ac:dyDescent="0.35">
      <c r="D745" s="38"/>
      <c r="F745" s="38"/>
      <c r="I745" s="33"/>
      <c r="J745" s="38"/>
      <c r="K745" s="38"/>
      <c r="L745" s="38"/>
      <c r="M745" s="38"/>
      <c r="N745" s="38"/>
    </row>
    <row r="746" spans="1:14" x14ac:dyDescent="0.35">
      <c r="D746" s="38"/>
      <c r="F746" s="38"/>
      <c r="I746" s="38"/>
      <c r="J746" s="53"/>
      <c r="K746" s="38"/>
      <c r="L746" s="38"/>
      <c r="M746" s="38"/>
      <c r="N746" s="38"/>
    </row>
    <row r="747" spans="1:14" x14ac:dyDescent="0.35">
      <c r="D747" s="38"/>
      <c r="F747" s="38"/>
      <c r="I747" s="38"/>
      <c r="J747" s="38"/>
      <c r="K747" s="38"/>
      <c r="L747" s="38"/>
      <c r="M747" s="38"/>
      <c r="N747" s="38"/>
    </row>
    <row r="748" spans="1:14" x14ac:dyDescent="0.35">
      <c r="D748" s="38"/>
      <c r="I748" s="38"/>
      <c r="J748" s="38"/>
      <c r="K748" s="38"/>
      <c r="L748" s="38"/>
      <c r="M748" s="38"/>
      <c r="N748" s="38"/>
    </row>
    <row r="749" spans="1:14" x14ac:dyDescent="0.35">
      <c r="D749" s="38"/>
      <c r="F749" s="38"/>
      <c r="I749" s="38"/>
      <c r="J749" s="38"/>
      <c r="K749" s="38"/>
      <c r="L749" s="38"/>
      <c r="M749" s="38"/>
      <c r="N749" s="38"/>
    </row>
    <row r="750" spans="1:14" x14ac:dyDescent="0.35">
      <c r="D750" s="38"/>
      <c r="F750" s="38"/>
      <c r="I750" s="38"/>
      <c r="J750" s="38"/>
      <c r="K750" s="38"/>
      <c r="L750" s="38"/>
      <c r="M750" s="38"/>
    </row>
    <row r="751" spans="1:14" x14ac:dyDescent="0.35">
      <c r="D751" s="38"/>
      <c r="I751" s="38"/>
      <c r="J751" s="38"/>
      <c r="K751" s="38"/>
      <c r="L751" s="38"/>
      <c r="M751" s="38"/>
    </row>
    <row r="752" spans="1:14" x14ac:dyDescent="0.35">
      <c r="D752" s="38"/>
      <c r="F752" s="38"/>
      <c r="I752" s="38"/>
      <c r="J752" s="38"/>
      <c r="K752" s="38"/>
      <c r="L752" s="38"/>
      <c r="M752" s="38"/>
    </row>
    <row r="753" spans="4:13" x14ac:dyDescent="0.35">
      <c r="D753" s="38"/>
      <c r="F753" s="38"/>
      <c r="I753" s="38"/>
      <c r="J753" s="38"/>
      <c r="K753" s="38"/>
      <c r="L753" s="38"/>
      <c r="M753" s="38"/>
    </row>
    <row r="754" spans="4:13" x14ac:dyDescent="0.35">
      <c r="D754" s="38"/>
      <c r="F754" s="38"/>
      <c r="I754" s="38"/>
      <c r="J754" s="38"/>
      <c r="K754" s="38"/>
      <c r="L754" s="38"/>
      <c r="M754" s="38"/>
    </row>
    <row r="755" spans="4:13" x14ac:dyDescent="0.35">
      <c r="D755" s="38"/>
      <c r="F755" s="38"/>
      <c r="I755" s="38"/>
      <c r="J755" s="38"/>
      <c r="K755" s="38"/>
      <c r="L755" s="38"/>
      <c r="M755" s="38"/>
    </row>
    <row r="756" spans="4:13" x14ac:dyDescent="0.35">
      <c r="D756" s="38"/>
      <c r="F756" s="38"/>
      <c r="I756" s="38"/>
      <c r="J756" s="38"/>
      <c r="K756" s="38"/>
      <c r="L756" s="38"/>
      <c r="M756" s="38"/>
    </row>
    <row r="757" spans="4:13" x14ac:dyDescent="0.35">
      <c r="D757" s="38"/>
      <c r="I757" s="38"/>
      <c r="J757" s="38"/>
      <c r="K757" s="38"/>
      <c r="L757" s="38"/>
      <c r="M757" s="38"/>
    </row>
    <row r="758" spans="4:13" x14ac:dyDescent="0.35">
      <c r="D758" s="38"/>
      <c r="I758" s="38"/>
      <c r="J758" s="38"/>
      <c r="K758" s="38"/>
      <c r="L758" s="38"/>
    </row>
    <row r="759" spans="4:13" x14ac:dyDescent="0.35">
      <c r="I759" s="38"/>
      <c r="J759" s="38"/>
      <c r="K759" s="38"/>
      <c r="L759" s="38"/>
      <c r="M759" s="38"/>
    </row>
    <row r="760" spans="4:13" x14ac:dyDescent="0.35">
      <c r="I760" s="38"/>
      <c r="J760" s="38"/>
      <c r="K760" s="38"/>
      <c r="L760" s="38"/>
    </row>
    <row r="761" spans="4:13" x14ac:dyDescent="0.35">
      <c r="D761" s="38"/>
      <c r="J761" s="38"/>
      <c r="K761" s="38"/>
      <c r="L761" s="38"/>
    </row>
    <row r="762" spans="4:13" x14ac:dyDescent="0.35">
      <c r="D762" s="38"/>
      <c r="J762" s="38"/>
      <c r="K762" s="38"/>
      <c r="L762" s="38"/>
    </row>
    <row r="763" spans="4:13" x14ac:dyDescent="0.35">
      <c r="D763" s="38"/>
      <c r="J763" s="38"/>
      <c r="K763" s="38"/>
      <c r="L763" s="38"/>
    </row>
    <row r="764" spans="4:13" x14ac:dyDescent="0.35">
      <c r="D764" s="38"/>
      <c r="J764" s="38"/>
      <c r="K764" s="38"/>
      <c r="L764" s="38"/>
    </row>
    <row r="765" spans="4:13" x14ac:dyDescent="0.35">
      <c r="D765" s="38"/>
      <c r="J765" s="38"/>
      <c r="K765" s="38"/>
      <c r="L765" s="38"/>
    </row>
    <row r="766" spans="4:13" x14ac:dyDescent="0.35">
      <c r="D766" s="38"/>
      <c r="J766" s="38"/>
      <c r="K766" s="38"/>
      <c r="L766" s="38"/>
    </row>
    <row r="767" spans="4:13" x14ac:dyDescent="0.35">
      <c r="D767" s="38"/>
      <c r="K767" s="38"/>
      <c r="L767" s="38"/>
    </row>
    <row r="768" spans="4:13" x14ac:dyDescent="0.35">
      <c r="D768" s="38"/>
      <c r="J768" s="38"/>
      <c r="K768" s="38"/>
      <c r="L768" s="38"/>
    </row>
    <row r="769" spans="4:12" x14ac:dyDescent="0.35">
      <c r="D769" s="38"/>
      <c r="J769" s="38"/>
      <c r="K769" s="38"/>
      <c r="L769" s="38"/>
    </row>
    <row r="770" spans="4:12" x14ac:dyDescent="0.35">
      <c r="D770" s="38"/>
      <c r="J770" s="38"/>
      <c r="K770" s="38"/>
      <c r="L770" s="38"/>
    </row>
    <row r="771" spans="4:12" x14ac:dyDescent="0.35">
      <c r="D771" s="38"/>
      <c r="J771" s="38"/>
      <c r="K771" s="38"/>
      <c r="L771" s="38"/>
    </row>
    <row r="772" spans="4:12" x14ac:dyDescent="0.35">
      <c r="D772" s="38"/>
      <c r="J772" s="38"/>
      <c r="K772" s="38"/>
      <c r="L772" s="38"/>
    </row>
    <row r="773" spans="4:12" x14ac:dyDescent="0.35">
      <c r="D773" s="38"/>
      <c r="K773" s="38"/>
      <c r="L773" s="38"/>
    </row>
    <row r="774" spans="4:12" x14ac:dyDescent="0.35">
      <c r="D774" s="38"/>
      <c r="L774" s="38"/>
    </row>
    <row r="775" spans="4:12" x14ac:dyDescent="0.35">
      <c r="D775" s="38"/>
      <c r="J775" s="38"/>
      <c r="K775" s="38"/>
      <c r="L775" s="38"/>
    </row>
    <row r="776" spans="4:12" x14ac:dyDescent="0.35">
      <c r="D776" s="38"/>
      <c r="L776" s="38"/>
    </row>
    <row r="777" spans="4:12" x14ac:dyDescent="0.35">
      <c r="D777" s="38"/>
      <c r="L777" s="38"/>
    </row>
    <row r="778" spans="4:12" x14ac:dyDescent="0.35">
      <c r="D778" s="38"/>
      <c r="L778" s="38"/>
    </row>
    <row r="779" spans="4:12" x14ac:dyDescent="0.35">
      <c r="D779" s="38"/>
      <c r="L779" s="38"/>
    </row>
    <row r="780" spans="4:12" x14ac:dyDescent="0.35">
      <c r="D780" s="38"/>
      <c r="L780" s="38"/>
    </row>
    <row r="781" spans="4:12" x14ac:dyDescent="0.35">
      <c r="D781" s="38"/>
      <c r="L781" s="38"/>
    </row>
    <row r="782" spans="4:12" x14ac:dyDescent="0.35">
      <c r="D782" s="38"/>
      <c r="L782" s="38"/>
    </row>
    <row r="783" spans="4:12" x14ac:dyDescent="0.35">
      <c r="D783" s="38"/>
      <c r="L783" s="38"/>
    </row>
    <row r="784" spans="4:12" x14ac:dyDescent="0.35">
      <c r="D784" s="38"/>
      <c r="L784" s="38"/>
    </row>
    <row r="785" spans="4:12" x14ac:dyDescent="0.35">
      <c r="D785" s="38"/>
      <c r="L785" s="38"/>
    </row>
    <row r="786" spans="4:12" x14ac:dyDescent="0.35">
      <c r="D786" s="38"/>
      <c r="L786" s="38"/>
    </row>
    <row r="787" spans="4:12" x14ac:dyDescent="0.35">
      <c r="D787" s="38"/>
      <c r="L787" s="38"/>
    </row>
    <row r="788" spans="4:12" x14ac:dyDescent="0.35">
      <c r="D788" s="38"/>
      <c r="L788" s="38"/>
    </row>
    <row r="789" spans="4:12" x14ac:dyDescent="0.35">
      <c r="D789" s="38"/>
      <c r="L789" s="38"/>
    </row>
    <row r="790" spans="4:12" x14ac:dyDescent="0.35">
      <c r="D790" s="38"/>
      <c r="L790" s="38"/>
    </row>
    <row r="791" spans="4:12" x14ac:dyDescent="0.35">
      <c r="D791" s="38"/>
      <c r="L791" s="38"/>
    </row>
    <row r="792" spans="4:12" x14ac:dyDescent="0.35">
      <c r="D792" s="38"/>
      <c r="L792" s="38"/>
    </row>
    <row r="793" spans="4:12" x14ac:dyDescent="0.35">
      <c r="D793" s="38"/>
      <c r="L793" s="38"/>
    </row>
    <row r="794" spans="4:12" x14ac:dyDescent="0.35">
      <c r="D794" s="38"/>
      <c r="L794" s="38"/>
    </row>
    <row r="795" spans="4:12" x14ac:dyDescent="0.35">
      <c r="D795" s="38"/>
      <c r="L795" s="38"/>
    </row>
    <row r="796" spans="4:12" x14ac:dyDescent="0.35">
      <c r="D796" s="38"/>
      <c r="L796" s="38"/>
    </row>
    <row r="797" spans="4:12" x14ac:dyDescent="0.35">
      <c r="D797" s="38"/>
      <c r="L797" s="38"/>
    </row>
    <row r="798" spans="4:12" x14ac:dyDescent="0.35">
      <c r="D798" s="38"/>
      <c r="L798" s="38"/>
    </row>
    <row r="799" spans="4:12" x14ac:dyDescent="0.35">
      <c r="D799" s="38"/>
      <c r="L799" s="38"/>
    </row>
    <row r="800" spans="4:12" x14ac:dyDescent="0.35">
      <c r="D800" s="38"/>
      <c r="L800" s="38"/>
    </row>
    <row r="801" spans="4:12" x14ac:dyDescent="0.35">
      <c r="D801" s="38"/>
      <c r="L801" s="38"/>
    </row>
    <row r="802" spans="4:12" x14ac:dyDescent="0.35">
      <c r="L802" s="38"/>
    </row>
    <row r="803" spans="4:12" x14ac:dyDescent="0.35">
      <c r="L803" s="38"/>
    </row>
    <row r="804" spans="4:12" x14ac:dyDescent="0.35">
      <c r="L804" s="38"/>
    </row>
    <row r="805" spans="4:12" x14ac:dyDescent="0.35">
      <c r="L805" s="38"/>
    </row>
    <row r="806" spans="4:12" x14ac:dyDescent="0.35">
      <c r="L806" s="38"/>
    </row>
    <row r="807" spans="4:12" x14ac:dyDescent="0.35">
      <c r="L807" s="38"/>
    </row>
    <row r="808" spans="4:12" x14ac:dyDescent="0.35">
      <c r="L808" s="38"/>
    </row>
    <row r="809" spans="4:12" x14ac:dyDescent="0.35">
      <c r="L809" s="38"/>
    </row>
    <row r="810" spans="4:12" x14ac:dyDescent="0.35">
      <c r="L810" s="38"/>
    </row>
    <row r="811" spans="4:12" x14ac:dyDescent="0.35">
      <c r="L811" s="38"/>
    </row>
    <row r="812" spans="4:12" x14ac:dyDescent="0.35">
      <c r="L812" s="38"/>
    </row>
    <row r="813" spans="4:12" x14ac:dyDescent="0.35">
      <c r="L813" s="38"/>
    </row>
    <row r="814" spans="4:12" x14ac:dyDescent="0.35">
      <c r="L814" s="38"/>
    </row>
    <row r="815" spans="4:12" x14ac:dyDescent="0.35">
      <c r="L815" s="38"/>
    </row>
    <row r="816" spans="4:12" x14ac:dyDescent="0.35">
      <c r="L816" s="38"/>
    </row>
    <row r="817" spans="12:12" x14ac:dyDescent="0.35">
      <c r="L817" s="38"/>
    </row>
    <row r="818" spans="12:12" x14ac:dyDescent="0.35">
      <c r="L818" s="38"/>
    </row>
    <row r="823" spans="12:12" x14ac:dyDescent="0.35">
      <c r="L823" s="38"/>
    </row>
  </sheetData>
  <conditionalFormatting sqref="J2:J737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BDB14-B77E-4038-9C65-06BB7069D981}">
  <dimension ref="A1"/>
  <sheetViews>
    <sheetView workbookViewId="0">
      <selection activeCell="S23" sqref="S23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workbookViewId="0">
      <selection activeCell="G4" sqref="G4"/>
    </sheetView>
  </sheetViews>
  <sheetFormatPr baseColWidth="10" defaultColWidth="8.7265625" defaultRowHeight="14.5" x14ac:dyDescent="0.35"/>
  <cols>
    <col min="1" max="1" width="13.26953125" customWidth="1"/>
    <col min="2" max="2" width="18.26953125" customWidth="1"/>
    <col min="3" max="3" width="14.7265625" bestFit="1" customWidth="1"/>
    <col min="4" max="4" width="12" customWidth="1"/>
    <col min="7" max="7" width="23.26953125" bestFit="1" customWidth="1"/>
    <col min="8" max="8" width="15.453125" customWidth="1"/>
    <col min="9" max="9" width="18.54296875" customWidth="1"/>
  </cols>
  <sheetData>
    <row r="1" spans="1:9" x14ac:dyDescent="0.35">
      <c r="A1" t="s">
        <v>301</v>
      </c>
      <c r="B1" t="s">
        <v>302</v>
      </c>
      <c r="C1" t="s">
        <v>303</v>
      </c>
      <c r="D1" t="s">
        <v>304</v>
      </c>
      <c r="G1" s="53"/>
      <c r="H1" s="53"/>
    </row>
    <row r="2" spans="1:9" x14ac:dyDescent="0.35">
      <c r="A2" t="s">
        <v>305</v>
      </c>
      <c r="B2" s="30">
        <v>51536510.600000001</v>
      </c>
      <c r="C2" s="53">
        <f>21993145+12513921.21</f>
        <v>34507066.210000001</v>
      </c>
      <c r="D2" s="4">
        <f t="shared" ref="D2:D12" si="0">+C2/B2</f>
        <v>0.66956543639180721</v>
      </c>
      <c r="F2" s="80"/>
      <c r="G2" s="53"/>
      <c r="I2" s="33"/>
    </row>
    <row r="3" spans="1:9" x14ac:dyDescent="0.35">
      <c r="A3" t="s">
        <v>306</v>
      </c>
      <c r="B3" s="31">
        <v>120966634</v>
      </c>
      <c r="C3" s="53">
        <f>36865460.62+12513921.21</f>
        <v>49379381.829999998</v>
      </c>
      <c r="D3" s="4">
        <f t="shared" si="0"/>
        <v>0.4082066285319636</v>
      </c>
      <c r="G3" s="53"/>
      <c r="I3" s="33"/>
    </row>
    <row r="4" spans="1:9" x14ac:dyDescent="0.35">
      <c r="A4" t="s">
        <v>307</v>
      </c>
      <c r="B4" s="30">
        <v>154979070</v>
      </c>
      <c r="C4" s="53">
        <f>61638435.05+12513921.21</f>
        <v>74152356.25999999</v>
      </c>
      <c r="D4" s="4">
        <f t="shared" si="0"/>
        <v>0.47846690691846316</v>
      </c>
      <c r="G4" s="53"/>
      <c r="I4" s="33"/>
    </row>
    <row r="5" spans="1:9" x14ac:dyDescent="0.35">
      <c r="A5" t="s">
        <v>308</v>
      </c>
      <c r="B5" s="32">
        <v>83743950</v>
      </c>
      <c r="C5" s="53">
        <v>95296182.25</v>
      </c>
      <c r="D5" s="4">
        <f t="shared" si="0"/>
        <v>1.1379470666239173</v>
      </c>
      <c r="G5" s="53"/>
      <c r="I5" s="33"/>
    </row>
    <row r="6" spans="1:9" x14ac:dyDescent="0.35">
      <c r="A6" t="s">
        <v>309</v>
      </c>
      <c r="B6" s="32">
        <v>36377532.420000002</v>
      </c>
      <c r="C6" s="53">
        <v>61437120.039999999</v>
      </c>
      <c r="D6" s="4">
        <f t="shared" si="0"/>
        <v>1.6888754116324418</v>
      </c>
      <c r="G6" s="53"/>
      <c r="I6" s="33"/>
    </row>
    <row r="7" spans="1:9" x14ac:dyDescent="0.35">
      <c r="A7" t="s">
        <v>310</v>
      </c>
      <c r="B7" s="30">
        <v>124271038</v>
      </c>
      <c r="C7" s="53">
        <v>48919726</v>
      </c>
      <c r="D7" s="4">
        <f t="shared" si="0"/>
        <v>0.39365347539786383</v>
      </c>
      <c r="G7" s="53"/>
      <c r="I7" s="33"/>
    </row>
    <row r="8" spans="1:9" x14ac:dyDescent="0.35">
      <c r="A8" t="s">
        <v>311</v>
      </c>
      <c r="B8" s="30">
        <v>34473720</v>
      </c>
      <c r="C8" s="53">
        <v>618204</v>
      </c>
      <c r="D8" s="4">
        <f t="shared" si="0"/>
        <v>1.7932616497436309E-2</v>
      </c>
      <c r="G8" s="53"/>
      <c r="I8" s="33"/>
    </row>
    <row r="9" spans="1:9" x14ac:dyDescent="0.35">
      <c r="A9" t="s">
        <v>312</v>
      </c>
      <c r="B9" s="31">
        <v>104633000</v>
      </c>
      <c r="C9" s="53">
        <v>18900</v>
      </c>
      <c r="D9" s="4">
        <f t="shared" si="0"/>
        <v>1.8063134957422609E-4</v>
      </c>
      <c r="G9" s="53"/>
      <c r="I9" s="33"/>
    </row>
    <row r="10" spans="1:9" x14ac:dyDescent="0.35">
      <c r="A10" t="s">
        <v>313</v>
      </c>
      <c r="B10" s="30">
        <v>7672000</v>
      </c>
      <c r="C10" s="1"/>
      <c r="D10" s="4">
        <f t="shared" si="0"/>
        <v>0</v>
      </c>
      <c r="G10" s="53"/>
      <c r="H10" s="53"/>
      <c r="I10" s="33"/>
    </row>
    <row r="11" spans="1:9" x14ac:dyDescent="0.35">
      <c r="A11" t="s">
        <v>314</v>
      </c>
      <c r="B11" s="30">
        <v>71532000</v>
      </c>
      <c r="C11" s="1"/>
      <c r="D11" s="4">
        <f t="shared" si="0"/>
        <v>0</v>
      </c>
      <c r="G11" s="53"/>
      <c r="H11" s="53"/>
    </row>
    <row r="12" spans="1:9" x14ac:dyDescent="0.35">
      <c r="A12" t="s">
        <v>315</v>
      </c>
      <c r="B12" s="30">
        <v>7756000</v>
      </c>
      <c r="C12" s="1"/>
      <c r="D12" s="4">
        <f t="shared" si="0"/>
        <v>0</v>
      </c>
      <c r="G12" s="53"/>
      <c r="H12" s="38"/>
    </row>
    <row r="14" spans="1:9" x14ac:dyDescent="0.35">
      <c r="G14" s="63"/>
      <c r="H14" s="74"/>
    </row>
    <row r="15" spans="1:9" x14ac:dyDescent="0.35">
      <c r="G15" s="53"/>
      <c r="H15" s="53"/>
    </row>
    <row r="17" spans="1:9" x14ac:dyDescent="0.35">
      <c r="I17" s="53"/>
    </row>
    <row r="18" spans="1:9" x14ac:dyDescent="0.35">
      <c r="A18" s="75"/>
      <c r="B18" s="76"/>
      <c r="C18" s="53"/>
      <c r="D18" s="34"/>
      <c r="G18" s="53"/>
    </row>
    <row r="19" spans="1:9" x14ac:dyDescent="0.35">
      <c r="A19" s="75"/>
      <c r="B19" s="77"/>
      <c r="C19" s="53"/>
      <c r="D19" s="34"/>
      <c r="F19" s="80"/>
    </row>
    <row r="20" spans="1:9" x14ac:dyDescent="0.35">
      <c r="A20" s="75"/>
      <c r="B20" s="76"/>
      <c r="C20" s="53"/>
      <c r="D20" s="34"/>
      <c r="I20" s="53"/>
    </row>
    <row r="21" spans="1:9" x14ac:dyDescent="0.35">
      <c r="A21" s="75"/>
      <c r="B21" s="78"/>
      <c r="C21" s="53"/>
      <c r="D21" s="34"/>
      <c r="F21" s="80"/>
    </row>
    <row r="22" spans="1:9" x14ac:dyDescent="0.35">
      <c r="A22" s="75"/>
      <c r="B22" s="78"/>
      <c r="C22" s="53"/>
      <c r="D22" s="34"/>
    </row>
    <row r="23" spans="1:9" x14ac:dyDescent="0.35">
      <c r="A23" s="75"/>
      <c r="B23" s="79"/>
      <c r="C23" s="53"/>
      <c r="D23" s="34"/>
    </row>
    <row r="24" spans="1:9" x14ac:dyDescent="0.35">
      <c r="B24" s="76"/>
    </row>
    <row r="25" spans="1:9" x14ac:dyDescent="0.35">
      <c r="B25" s="77"/>
    </row>
    <row r="26" spans="1:9" x14ac:dyDescent="0.35">
      <c r="B26" s="76"/>
    </row>
    <row r="27" spans="1:9" x14ac:dyDescent="0.35">
      <c r="B27" s="79"/>
    </row>
    <row r="28" spans="1:9" x14ac:dyDescent="0.35">
      <c r="B28" s="76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63F6649AD307468957A5075F0F351D" ma:contentTypeVersion="20" ma:contentTypeDescription="Crear nuevo documento." ma:contentTypeScope="" ma:versionID="c08624b0f9acfa229d338fae07c77eff">
  <xsd:schema xmlns:xsd="http://www.w3.org/2001/XMLSchema" xmlns:xs="http://www.w3.org/2001/XMLSchema" xmlns:p="http://schemas.microsoft.com/office/2006/metadata/properties" xmlns:ns1="http://schemas.microsoft.com/sharepoint/v3" xmlns:ns2="66e2d49c-54f0-4ad3-9b99-b0d0debbc4b6" xmlns:ns3="bb2fa667-4588-4881-9529-56fb49c453cc" targetNamespace="http://schemas.microsoft.com/office/2006/metadata/properties" ma:root="true" ma:fieldsID="98cf4d67a75678713553abf6f3c1bdfb" ns1:_="" ns2:_="" ns3:_="">
    <xsd:import namespace="http://schemas.microsoft.com/sharepoint/v3"/>
    <xsd:import namespace="66e2d49c-54f0-4ad3-9b99-b0d0debbc4b6"/>
    <xsd:import namespace="bb2fa667-4588-4881-9529-56fb49c453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2d49c-54f0-4ad3-9b99-b0d0debbc4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b9507462-83c8-406d-8407-3ee0896308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fa667-4588-4881-9529-56fb49c453c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93defd7-b99d-4f2d-9e28-6d2d795ea719}" ma:internalName="TaxCatchAll" ma:showField="CatchAllData" ma:web="bb2fa667-4588-4881-9529-56fb49c453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6e2d49c-54f0-4ad3-9b99-b0d0debbc4b6">
      <Terms xmlns="http://schemas.microsoft.com/office/infopath/2007/PartnerControls"/>
    </lcf76f155ced4ddcb4097134ff3c332f>
    <TaxCatchAll xmlns="bb2fa667-4588-4881-9529-56fb49c453cc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0CE35B1-0418-4178-A443-92C133427A21}"/>
</file>

<file path=customXml/itemProps2.xml><?xml version="1.0" encoding="utf-8"?>
<ds:datastoreItem xmlns:ds="http://schemas.openxmlformats.org/officeDocument/2006/customXml" ds:itemID="{89A5F88E-7125-4B0C-A686-5B51BA4C3B92}"/>
</file>

<file path=customXml/itemProps3.xml><?xml version="1.0" encoding="utf-8"?>
<ds:datastoreItem xmlns:ds="http://schemas.openxmlformats.org/officeDocument/2006/customXml" ds:itemID="{9507A75E-240E-40EC-A791-0D483FD2764C}"/>
</file>

<file path=docMetadata/LabelInfo.xml><?xml version="1.0" encoding="utf-8"?>
<clbl:labelList xmlns:clbl="http://schemas.microsoft.com/office/2020/mipLabelMetadata">
  <clbl:label id="{66c6c803-0d12-4084-96d3-26b73f9b324d}" enabled="1" method="Privileged" siteId="{a67e2ede-b825-48b9-bbe8-1250eedec66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 de Acción</vt:lpstr>
      <vt:lpstr>Detalle Centro-Supra</vt:lpstr>
      <vt:lpstr>SAP</vt:lpstr>
      <vt:lpstr>Ejecucion 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Analia Peguero Reynoso</dc:creator>
  <cp:lastModifiedBy>Analia Peguero Reynoso</cp:lastModifiedBy>
  <dcterms:created xsi:type="dcterms:W3CDTF">2026-08-28T02:45:14Z</dcterms:created>
  <dcterms:modified xsi:type="dcterms:W3CDTF">2026-10-19T21:10:02Z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0x010100DF63F6649AD307468957A5075F0F351D</vt:lpwstr>
  </property>
</Properties>
</file>